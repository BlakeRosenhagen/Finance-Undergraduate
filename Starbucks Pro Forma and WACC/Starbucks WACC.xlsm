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blake\Documents\Semester 8\Financial Modelling\"/>
    </mc:Choice>
  </mc:AlternateContent>
  <xr:revisionPtr revIDLastSave="0" documentId="13_ncr:1_{C97993D4-BD2E-4B0A-A767-5326231BFB65}" xr6:coauthVersionLast="44" xr6:coauthVersionMax="44" xr10:uidLastSave="{00000000-0000-0000-0000-000000000000}"/>
  <bookViews>
    <workbookView xWindow="-120" yWindow="-120" windowWidth="20730" windowHeight="11160" tabRatio="947" firstSheet="21" activeTab="26" xr2:uid="{00000000-000D-0000-FFFF-FFFF00000000}"/>
  </bookViews>
  <sheets>
    <sheet name="Income Statement" sheetId="68" r:id="rId1"/>
    <sheet name="Balance Sheet" sheetId="69" r:id="rId2"/>
    <sheet name="Cash Flow" sheetId="70" r:id="rId3"/>
    <sheet name="Key Stats" sheetId="71" r:id="rId4"/>
    <sheet name="Ratios" sheetId="72" r:id="rId5"/>
    <sheet name="Value of Equity via MC" sheetId="47" r:id="rId6"/>
    <sheet name="Net debt via BS" sheetId="24" r:id="rId7"/>
    <sheet name="Corporate Tax Rate via IS" sheetId="25" r:id="rId8"/>
    <sheet name="Cost of Debt via BS" sheetId="13" r:id="rId9"/>
    <sheet name="Cost of Debt via bonds" sheetId="55" r:id="rId10"/>
    <sheet name="Equity Rate via Gordon (DDM)" sheetId="48" r:id="rId11"/>
    <sheet name="Growth Rate via Dividends" sheetId="7" r:id="rId12"/>
    <sheet name="Cost of Equity via g via div &lt;-" sheetId="26" r:id="rId13"/>
    <sheet name="Cost of Equity via Payouts" sheetId="8" r:id="rId14"/>
    <sheet name="Gordon Two Stage" sheetId="50" r:id="rId15"/>
    <sheet name="Beta via S&amp;P 500" sheetId="28" r:id="rId16"/>
    <sheet name="Page 100" sheetId="18" r:id="rId17"/>
    <sheet name="Pretty Sure Regression Analysis" sheetId="30" r:id="rId18"/>
    <sheet name="CAPM" sheetId="29" r:id="rId19"/>
    <sheet name="Tax adjusted CAPM" sheetId="31" r:id="rId20"/>
    <sheet name="E(rm) via Historical Rates" sheetId="17" r:id="rId21"/>
    <sheet name="CAPM less assumptions" sheetId="21" r:id="rId22"/>
    <sheet name="E(rm) via Market Multiple" sheetId="22" r:id="rId23"/>
    <sheet name="WACC via AVG of 3" sheetId="2" r:id="rId24"/>
    <sheet name="3month_treasury_raw" sheetId="19" r:id="rId25"/>
    <sheet name="3month_treasury (2)" sheetId="20" r:id="rId26"/>
    <sheet name="Homework" sheetId="66" r:id="rId27"/>
  </sheets>
  <functionGroups builtInGroupCount="19"/>
  <definedNames>
    <definedName name="_xlnm.Print_Titles" localSheetId="1">'Balance Sheet'!$1:$3</definedName>
    <definedName name="_xlnm.Print_Titles" localSheetId="2">'Cash Flow'!$1:$3</definedName>
    <definedName name="_xlnm.Print_Titles" localSheetId="0">'Income Statement'!$1:$3</definedName>
    <definedName name="_xlnm.Print_Titles" localSheetId="3">'Key Stats'!$1:$3</definedName>
    <definedName name="_xlnm.Print_Titles" localSheetId="4">Ratios!$1:$3</definedName>
  </definedNames>
  <calcPr calcId="191029" concurrentCalc="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X61" i="66" l="1"/>
  <c r="CB79" i="66"/>
  <c r="CB80" i="66"/>
  <c r="CB81" i="66"/>
  <c r="CB82" i="66"/>
  <c r="CB83" i="66"/>
  <c r="CB84" i="66"/>
  <c r="CB85" i="66"/>
  <c r="CB86" i="66"/>
  <c r="CB87" i="66"/>
  <c r="CB88" i="66"/>
  <c r="CB89" i="66"/>
  <c r="CB90" i="66"/>
  <c r="CB91" i="66"/>
  <c r="CB92" i="66"/>
  <c r="CB93" i="66"/>
  <c r="CB94" i="66"/>
  <c r="CB95" i="66"/>
  <c r="CB96" i="66"/>
  <c r="CB97" i="66"/>
  <c r="CB98" i="66"/>
  <c r="CB99" i="66"/>
  <c r="CB100" i="66"/>
  <c r="CB101" i="66"/>
  <c r="CB102" i="66"/>
  <c r="CB103" i="66"/>
  <c r="CB104" i="66"/>
  <c r="CB105" i="66"/>
  <c r="CB106" i="66"/>
  <c r="CB107" i="66"/>
  <c r="CB108" i="66"/>
  <c r="CB109" i="66"/>
  <c r="CB110" i="66"/>
  <c r="CB111" i="66"/>
  <c r="CB112" i="66"/>
  <c r="CB113" i="66"/>
  <c r="CB114" i="66"/>
  <c r="CB115" i="66"/>
  <c r="CB116" i="66"/>
  <c r="CB70" i="66"/>
  <c r="CA69" i="66"/>
  <c r="CA116" i="66"/>
  <c r="CA78" i="66"/>
  <c r="CA79" i="66"/>
  <c r="CA80" i="66"/>
  <c r="CA81" i="66"/>
  <c r="CA82" i="66"/>
  <c r="CA83" i="66"/>
  <c r="CA84" i="66"/>
  <c r="CA85" i="66"/>
  <c r="CA86" i="66"/>
  <c r="CA87" i="66"/>
  <c r="CA88" i="66"/>
  <c r="CA89" i="66"/>
  <c r="CA90" i="66"/>
  <c r="CA91" i="66"/>
  <c r="CA92" i="66"/>
  <c r="CA93" i="66"/>
  <c r="CA94" i="66"/>
  <c r="CA95" i="66"/>
  <c r="CA96" i="66"/>
  <c r="CA97" i="66"/>
  <c r="CA98" i="66"/>
  <c r="CA99" i="66"/>
  <c r="CA100" i="66"/>
  <c r="CA101" i="66"/>
  <c r="CA102" i="66"/>
  <c r="CA103" i="66"/>
  <c r="CA104" i="66"/>
  <c r="CA105" i="66"/>
  <c r="CA106" i="66"/>
  <c r="CA107" i="66"/>
  <c r="CA108" i="66"/>
  <c r="CA109" i="66"/>
  <c r="CA110" i="66"/>
  <c r="CA111" i="66"/>
  <c r="CA112" i="66"/>
  <c r="CA113" i="66"/>
  <c r="CA114" i="66"/>
  <c r="CA115" i="66"/>
  <c r="CB71" i="66"/>
  <c r="AB58" i="66"/>
  <c r="AD48" i="66"/>
  <c r="AD49" i="66"/>
  <c r="AD50" i="66"/>
  <c r="AD51" i="66"/>
  <c r="AD52" i="66"/>
  <c r="AB48" i="66"/>
  <c r="AF48" i="66"/>
  <c r="AC48" i="66"/>
  <c r="AC52" i="66"/>
  <c r="AC51" i="66"/>
  <c r="AC50" i="66"/>
  <c r="AC49" i="66"/>
  <c r="AB52" i="66"/>
  <c r="AB51" i="66"/>
  <c r="AB50" i="66"/>
  <c r="AB49" i="66"/>
  <c r="V49" i="66"/>
  <c r="V50" i="66"/>
  <c r="E39" i="66"/>
  <c r="E40" i="66"/>
  <c r="E38" i="66"/>
  <c r="F39" i="66"/>
  <c r="F40" i="66"/>
  <c r="E34" i="66"/>
  <c r="E33" i="66"/>
  <c r="F33" i="66"/>
  <c r="F34" i="66"/>
  <c r="E30" i="66"/>
  <c r="F30" i="66"/>
  <c r="E29" i="66"/>
  <c r="F29" i="66"/>
  <c r="E24" i="66"/>
  <c r="F24" i="66"/>
  <c r="G24" i="66"/>
  <c r="E23" i="66"/>
  <c r="F23" i="66"/>
  <c r="G23" i="66"/>
  <c r="E17" i="66"/>
  <c r="E16" i="66"/>
  <c r="E19" i="66"/>
  <c r="E14" i="66"/>
  <c r="E13" i="66"/>
  <c r="E8" i="66"/>
  <c r="AB57" i="66"/>
  <c r="D29" i="69"/>
  <c r="F44" i="66"/>
  <c r="F43" i="66"/>
  <c r="E25" i="66"/>
  <c r="BJ108" i="66"/>
  <c r="BI108" i="66"/>
  <c r="BH108" i="66"/>
  <c r="D130" i="66"/>
  <c r="D129" i="66"/>
  <c r="D128" i="66"/>
  <c r="D123" i="66"/>
  <c r="D122" i="66"/>
  <c r="D124" i="66"/>
  <c r="D125" i="66"/>
  <c r="D141" i="66"/>
  <c r="D119" i="66"/>
  <c r="D118" i="66"/>
  <c r="D117" i="66"/>
  <c r="D115" i="66"/>
  <c r="D113" i="66"/>
  <c r="BP93" i="66"/>
  <c r="BJ102" i="66"/>
  <c r="BI102" i="66"/>
  <c r="BJ101" i="66"/>
  <c r="BI101" i="66"/>
  <c r="BJ100" i="66"/>
  <c r="BI100" i="66"/>
  <c r="BJ99" i="66"/>
  <c r="BI99" i="66"/>
  <c r="BJ98" i="66"/>
  <c r="BI98" i="66"/>
  <c r="CB78" i="66"/>
  <c r="CB77" i="66"/>
  <c r="CA77" i="66"/>
  <c r="CB76" i="66"/>
  <c r="CA76" i="66"/>
  <c r="CB75" i="66"/>
  <c r="CA75" i="66"/>
  <c r="CB74" i="66"/>
  <c r="CA74" i="66"/>
  <c r="CB73" i="66"/>
  <c r="CA73" i="66"/>
  <c r="CB72" i="66"/>
  <c r="CA72" i="66"/>
  <c r="CA71" i="66"/>
  <c r="CA70" i="66"/>
  <c r="CB69" i="66"/>
  <c r="B3" i="30"/>
  <c r="BK108" i="66"/>
  <c r="E141" i="66"/>
  <c r="E138" i="66"/>
  <c r="E134" i="66"/>
  <c r="E130" i="66"/>
  <c r="E128" i="66"/>
  <c r="E124" i="66"/>
  <c r="E122" i="66"/>
  <c r="E115" i="66"/>
  <c r="E117" i="66"/>
  <c r="E116" i="66"/>
  <c r="E139" i="66"/>
  <c r="E135" i="66"/>
  <c r="E131" i="66"/>
  <c r="E129" i="66"/>
  <c r="E125" i="66"/>
  <c r="E123" i="66"/>
  <c r="E119" i="66"/>
  <c r="E113" i="66"/>
  <c r="BQ93" i="66"/>
  <c r="BL99" i="66"/>
  <c r="BL98" i="66"/>
  <c r="BI94" i="66"/>
  <c r="BI91" i="66"/>
  <c r="BI90" i="66"/>
  <c r="BI93" i="66"/>
  <c r="BX64" i="66"/>
  <c r="BX63" i="66"/>
  <c r="CC69" i="66"/>
  <c r="CC70" i="66"/>
  <c r="BY63" i="66"/>
  <c r="BY61" i="66"/>
  <c r="BY64" i="66"/>
  <c r="BY62" i="66"/>
  <c r="BY60" i="66"/>
  <c r="CC71" i="66"/>
  <c r="BP61" i="66"/>
  <c r="D131" i="66"/>
  <c r="D138" i="66"/>
  <c r="D139" i="66"/>
  <c r="BX62" i="66"/>
  <c r="BX60" i="66"/>
  <c r="BK98" i="66"/>
  <c r="BK100" i="66"/>
  <c r="BK102" i="66"/>
  <c r="D134" i="66"/>
  <c r="D135" i="66"/>
  <c r="BK101" i="66"/>
  <c r="BK99" i="66"/>
  <c r="BL73" i="66"/>
  <c r="BK73" i="66"/>
  <c r="BL72" i="66"/>
  <c r="BK72" i="66"/>
  <c r="BL71" i="66"/>
  <c r="BK71" i="66"/>
  <c r="BL70" i="66"/>
  <c r="BK70" i="66"/>
  <c r="BL69" i="66"/>
  <c r="BK69" i="66"/>
  <c r="Z5" i="28"/>
  <c r="Z14" i="28"/>
  <c r="W39" i="28"/>
  <c r="AZ47" i="66"/>
  <c r="AZ49" i="66"/>
  <c r="AZ48" i="66"/>
  <c r="B8" i="21"/>
  <c r="B7" i="21"/>
  <c r="B6" i="31"/>
  <c r="C10" i="18"/>
  <c r="D10" i="18"/>
  <c r="AQ57" i="66"/>
  <c r="AQ59" i="66"/>
  <c r="AT52" i="66"/>
  <c r="AT51" i="66"/>
  <c r="AT50" i="66"/>
  <c r="AT49" i="66"/>
  <c r="AT48" i="66"/>
  <c r="G25" i="66"/>
  <c r="F25" i="66"/>
  <c r="C5" i="25"/>
  <c r="S9" i="26"/>
  <c r="M53" i="66"/>
  <c r="M54" i="66"/>
  <c r="M49" i="66"/>
  <c r="E10" i="66"/>
  <c r="BP67" i="66"/>
  <c r="BM70" i="66"/>
  <c r="BH64" i="66"/>
  <c r="BH63" i="66"/>
  <c r="BI64" i="66"/>
  <c r="BI61" i="66"/>
  <c r="BM71" i="66"/>
  <c r="BQ63" i="66"/>
  <c r="BQ62" i="66"/>
  <c r="BQ61" i="66"/>
  <c r="BI60" i="66"/>
  <c r="BM69" i="66"/>
  <c r="BI63" i="66"/>
  <c r="BI62" i="66"/>
  <c r="BA53" i="66"/>
  <c r="BA49" i="66"/>
  <c r="BA47" i="66"/>
  <c r="BA52" i="66"/>
  <c r="BA48" i="66"/>
  <c r="AR65" i="66"/>
  <c r="AN52" i="66"/>
  <c r="AR54" i="66"/>
  <c r="AM52" i="66"/>
  <c r="AR59" i="66"/>
  <c r="AU48" i="66"/>
  <c r="H25" i="66"/>
  <c r="F10" i="66"/>
  <c r="AZ52" i="66"/>
  <c r="BH90" i="66"/>
  <c r="BH93" i="66"/>
  <c r="BH91" i="66"/>
  <c r="BH94" i="66"/>
  <c r="BP71" i="66" a="1"/>
  <c r="BQ72" i="66"/>
  <c r="BH62" i="66"/>
  <c r="BP62" i="66"/>
  <c r="BH60" i="66"/>
  <c r="BH61" i="66"/>
  <c r="AZ53" i="66"/>
  <c r="AQ54" i="66"/>
  <c r="AF49" i="66"/>
  <c r="AF50" i="66"/>
  <c r="AF51" i="66"/>
  <c r="AF52" i="66"/>
  <c r="M3" i="8"/>
  <c r="E3" i="8"/>
  <c r="AB59" i="66"/>
  <c r="W10" i="8"/>
  <c r="B9" i="8"/>
  <c r="W9" i="8"/>
  <c r="S4" i="26"/>
  <c r="AB31" i="26"/>
  <c r="AB29" i="26"/>
  <c r="AB13" i="26"/>
  <c r="V53" i="66"/>
  <c r="S15" i="26"/>
  <c r="G28" i="26"/>
  <c r="S14" i="26"/>
  <c r="S8" i="26"/>
  <c r="G6" i="26"/>
  <c r="B11" i="26"/>
  <c r="M50" i="66"/>
  <c r="E8" i="7"/>
  <c r="E5" i="7"/>
  <c r="E4" i="7"/>
  <c r="E9" i="7"/>
  <c r="E50" i="66"/>
  <c r="L44" i="66"/>
  <c r="E8" i="55"/>
  <c r="F35" i="66"/>
  <c r="F37" i="66"/>
  <c r="E35" i="66"/>
  <c r="F31" i="66"/>
  <c r="E31" i="66"/>
  <c r="M15" i="13"/>
  <c r="C11" i="13"/>
  <c r="L5" i="13"/>
  <c r="C9" i="24"/>
  <c r="AB14" i="26"/>
  <c r="W38" i="28"/>
  <c r="S38" i="28"/>
  <c r="W37" i="28"/>
  <c r="S37" i="28"/>
  <c r="W36" i="28"/>
  <c r="S36" i="28"/>
  <c r="W35" i="28"/>
  <c r="S35" i="28"/>
  <c r="W34" i="28"/>
  <c r="S34" i="28"/>
  <c r="W33" i="28"/>
  <c r="S33" i="28"/>
  <c r="W32" i="28"/>
  <c r="S32" i="28"/>
  <c r="W31" i="28"/>
  <c r="S31" i="28"/>
  <c r="W30" i="28"/>
  <c r="S30" i="28"/>
  <c r="W29" i="28"/>
  <c r="S29" i="28"/>
  <c r="W28" i="28"/>
  <c r="S28" i="28"/>
  <c r="W27" i="28"/>
  <c r="S27" i="28"/>
  <c r="W26" i="28"/>
  <c r="S26" i="28"/>
  <c r="W25" i="28"/>
  <c r="S25" i="28"/>
  <c r="W24" i="28"/>
  <c r="S24" i="28"/>
  <c r="W23" i="28"/>
  <c r="S23" i="28"/>
  <c r="W22" i="28"/>
  <c r="S22" i="28"/>
  <c r="W21" i="28"/>
  <c r="S21" i="28"/>
  <c r="W20" i="28"/>
  <c r="S20" i="28"/>
  <c r="W19" i="28"/>
  <c r="S19" i="28"/>
  <c r="W18" i="28"/>
  <c r="S18" i="28"/>
  <c r="AQ65" i="66"/>
  <c r="AC61" i="66"/>
  <c r="AG48" i="66"/>
  <c r="AC54" i="66"/>
  <c r="AC59" i="66"/>
  <c r="W60" i="66"/>
  <c r="W54" i="66"/>
  <c r="W50" i="66"/>
  <c r="W59" i="66"/>
  <c r="W53" i="66"/>
  <c r="W49" i="66"/>
  <c r="N54" i="66"/>
  <c r="N50" i="66"/>
  <c r="N49" i="66"/>
  <c r="N53" i="66"/>
  <c r="F50" i="66"/>
  <c r="M44" i="66"/>
  <c r="G43" i="66"/>
  <c r="G44" i="66"/>
  <c r="G41" i="66"/>
  <c r="G35" i="66"/>
  <c r="G31" i="66"/>
  <c r="F19" i="66"/>
  <c r="AC31" i="26"/>
  <c r="AC14" i="26"/>
  <c r="AC29" i="26"/>
  <c r="AC13" i="26"/>
  <c r="AA17" i="28"/>
  <c r="AB54" i="66"/>
  <c r="AB61" i="66"/>
  <c r="V54" i="66"/>
  <c r="V59" i="66"/>
  <c r="V60" i="66"/>
  <c r="BP63" i="66"/>
  <c r="BQ71" i="66"/>
  <c r="BP74" i="66"/>
  <c r="BQ74" i="66"/>
  <c r="BQ73" i="66"/>
  <c r="BP71" i="66"/>
  <c r="BQ75" i="66"/>
  <c r="BP75" i="66"/>
  <c r="BP73" i="66"/>
  <c r="BP72" i="66"/>
  <c r="E37" i="66"/>
  <c r="F41" i="66"/>
  <c r="W17" i="28"/>
  <c r="S17" i="28"/>
  <c r="Z16" i="28"/>
  <c r="W16" i="28"/>
  <c r="S16" i="28"/>
  <c r="W15" i="28"/>
  <c r="S15" i="28"/>
  <c r="W14" i="28"/>
  <c r="S14" i="28"/>
  <c r="W13" i="28"/>
  <c r="S13" i="28"/>
  <c r="W12" i="28"/>
  <c r="S12" i="28"/>
  <c r="W11" i="28"/>
  <c r="S11" i="28"/>
  <c r="AA10" i="28"/>
  <c r="W10" i="28"/>
  <c r="S10" i="28"/>
  <c r="W9" i="28"/>
  <c r="S9" i="28"/>
  <c r="W8" i="28"/>
  <c r="S8" i="28"/>
  <c r="W7" i="28"/>
  <c r="S7" i="28"/>
  <c r="W6" i="28"/>
  <c r="S6" i="28"/>
  <c r="AA5" i="28"/>
  <c r="W5" i="28"/>
  <c r="W40" i="28"/>
  <c r="S5" i="28"/>
  <c r="S39" i="28"/>
  <c r="S40" i="28"/>
  <c r="Z7" i="8"/>
  <c r="Z6" i="8"/>
  <c r="Z5" i="8"/>
  <c r="Z4" i="8"/>
  <c r="Z3" i="8"/>
  <c r="G4" i="26"/>
  <c r="G5" i="26"/>
  <c r="G9" i="26"/>
  <c r="S5" i="26"/>
  <c r="M7" i="8"/>
  <c r="M6" i="8"/>
  <c r="M5" i="8"/>
  <c r="M4" i="8"/>
  <c r="X10" i="8"/>
  <c r="AA3" i="8"/>
  <c r="X9" i="8"/>
  <c r="T15" i="26"/>
  <c r="T9" i="26"/>
  <c r="T5" i="26"/>
  <c r="T8" i="26"/>
  <c r="T4" i="26"/>
  <c r="T14" i="26"/>
  <c r="N3" i="8"/>
  <c r="B15" i="2"/>
  <c r="B29" i="2"/>
  <c r="G7" i="26"/>
  <c r="G10" i="26"/>
  <c r="B16" i="8"/>
  <c r="B5" i="48"/>
  <c r="B5" i="26"/>
  <c r="B16" i="2"/>
  <c r="B5" i="22"/>
  <c r="J297" i="17"/>
  <c r="J298" i="17"/>
  <c r="J299" i="17"/>
  <c r="J300" i="17"/>
  <c r="J301" i="17"/>
  <c r="J302" i="17"/>
  <c r="J303" i="17"/>
  <c r="J304" i="17"/>
  <c r="J305" i="17"/>
  <c r="J306" i="17"/>
  <c r="J307" i="17"/>
  <c r="J308" i="17"/>
  <c r="J309" i="17"/>
  <c r="J310" i="17"/>
  <c r="J311" i="17"/>
  <c r="J296" i="17"/>
  <c r="J295" i="17"/>
  <c r="J294" i="17"/>
  <c r="J293" i="17"/>
  <c r="K293" i="17"/>
  <c r="J14" i="17"/>
  <c r="J15" i="17"/>
  <c r="J16" i="17"/>
  <c r="K16" i="17"/>
  <c r="J17" i="17"/>
  <c r="K17" i="17"/>
  <c r="J18" i="17"/>
  <c r="J19" i="17"/>
  <c r="J20" i="17"/>
  <c r="J21" i="17"/>
  <c r="K21" i="17"/>
  <c r="J22" i="17"/>
  <c r="J23" i="17"/>
  <c r="J24" i="17"/>
  <c r="J25" i="17"/>
  <c r="J26" i="17"/>
  <c r="J27" i="17"/>
  <c r="J28" i="17"/>
  <c r="J29" i="17"/>
  <c r="K29" i="17"/>
  <c r="J30" i="17"/>
  <c r="J31" i="17"/>
  <c r="J32" i="17"/>
  <c r="K32" i="17"/>
  <c r="J33" i="17"/>
  <c r="J34" i="17"/>
  <c r="J35" i="17"/>
  <c r="J36" i="17"/>
  <c r="J37" i="17"/>
  <c r="K37" i="17"/>
  <c r="J38" i="17"/>
  <c r="J39" i="17"/>
  <c r="J40" i="17"/>
  <c r="J41" i="17"/>
  <c r="K41" i="17"/>
  <c r="J42" i="17"/>
  <c r="J43" i="17"/>
  <c r="J44" i="17"/>
  <c r="J45" i="17"/>
  <c r="K45" i="17"/>
  <c r="J46" i="17"/>
  <c r="J47" i="17"/>
  <c r="J48" i="17"/>
  <c r="J49" i="17"/>
  <c r="K49" i="17"/>
  <c r="J50" i="17"/>
  <c r="J51" i="17"/>
  <c r="J52" i="17"/>
  <c r="K52" i="17"/>
  <c r="J53" i="17"/>
  <c r="K53" i="17"/>
  <c r="J54" i="17"/>
  <c r="J55" i="17"/>
  <c r="J56" i="17"/>
  <c r="J57" i="17"/>
  <c r="K57" i="17"/>
  <c r="J58" i="17"/>
  <c r="J59" i="17"/>
  <c r="J60" i="17"/>
  <c r="J61" i="17"/>
  <c r="J62" i="17"/>
  <c r="J63" i="17"/>
  <c r="J64" i="17"/>
  <c r="J65" i="17"/>
  <c r="K65" i="17"/>
  <c r="J66" i="17"/>
  <c r="J67" i="17"/>
  <c r="J68" i="17"/>
  <c r="K68" i="17"/>
  <c r="J69" i="17"/>
  <c r="J70" i="17"/>
  <c r="J71" i="17"/>
  <c r="J72" i="17"/>
  <c r="J73" i="17"/>
  <c r="K73" i="17"/>
  <c r="J74" i="17"/>
  <c r="J75" i="17"/>
  <c r="J76" i="17"/>
  <c r="J77" i="17"/>
  <c r="K77" i="17"/>
  <c r="J78" i="17"/>
  <c r="J79" i="17"/>
  <c r="J80" i="17"/>
  <c r="K80" i="17"/>
  <c r="J81" i="17"/>
  <c r="K81" i="17"/>
  <c r="J82" i="17"/>
  <c r="J83" i="17"/>
  <c r="J84" i="17"/>
  <c r="J85" i="17"/>
  <c r="K85" i="17"/>
  <c r="J86" i="17"/>
  <c r="J87" i="17"/>
  <c r="J88" i="17"/>
  <c r="J89" i="17"/>
  <c r="J90" i="17"/>
  <c r="J91" i="17"/>
  <c r="J92" i="17"/>
  <c r="J93" i="17"/>
  <c r="K93" i="17"/>
  <c r="J94" i="17"/>
  <c r="J95" i="17"/>
  <c r="J96" i="17"/>
  <c r="K96" i="17"/>
  <c r="J97" i="17"/>
  <c r="J98" i="17"/>
  <c r="J99" i="17"/>
  <c r="J100" i="17"/>
  <c r="J101" i="17"/>
  <c r="K101" i="17"/>
  <c r="J102" i="17"/>
  <c r="J103" i="17"/>
  <c r="J104" i="17"/>
  <c r="J105" i="17"/>
  <c r="K105" i="17"/>
  <c r="J106" i="17"/>
  <c r="J107" i="17"/>
  <c r="J108" i="17"/>
  <c r="J109" i="17"/>
  <c r="K109" i="17"/>
  <c r="J110" i="17"/>
  <c r="J111" i="17"/>
  <c r="J112" i="17"/>
  <c r="J113" i="17"/>
  <c r="K113" i="17"/>
  <c r="J114" i="17"/>
  <c r="J115" i="17"/>
  <c r="J116" i="17"/>
  <c r="K116" i="17"/>
  <c r="J117" i="17"/>
  <c r="K117" i="17"/>
  <c r="J118" i="17"/>
  <c r="J119" i="17"/>
  <c r="J120" i="17"/>
  <c r="J121" i="17"/>
  <c r="K121" i="17"/>
  <c r="J122" i="17"/>
  <c r="J123" i="17"/>
  <c r="J124" i="17"/>
  <c r="J125" i="17"/>
  <c r="J126" i="17"/>
  <c r="J127" i="17"/>
  <c r="J128" i="17"/>
  <c r="J129" i="17"/>
  <c r="K129" i="17"/>
  <c r="J130" i="17"/>
  <c r="J131" i="17"/>
  <c r="J132" i="17"/>
  <c r="K132" i="17"/>
  <c r="J133" i="17"/>
  <c r="J134" i="17"/>
  <c r="J135" i="17"/>
  <c r="J136" i="17"/>
  <c r="J137" i="17"/>
  <c r="K137" i="17"/>
  <c r="J138" i="17"/>
  <c r="J139" i="17"/>
  <c r="J140" i="17"/>
  <c r="J141" i="17"/>
  <c r="K141" i="17"/>
  <c r="J142" i="17"/>
  <c r="J143" i="17"/>
  <c r="J144" i="17"/>
  <c r="K144" i="17"/>
  <c r="J145" i="17"/>
  <c r="K145" i="17"/>
  <c r="J146" i="17"/>
  <c r="J147" i="17"/>
  <c r="J148" i="17"/>
  <c r="J149" i="17"/>
  <c r="K149" i="17"/>
  <c r="J150" i="17"/>
  <c r="J151" i="17"/>
  <c r="J152" i="17"/>
  <c r="J153" i="17"/>
  <c r="K153" i="17"/>
  <c r="J154" i="17"/>
  <c r="J155" i="17"/>
  <c r="J156" i="17"/>
  <c r="J157" i="17"/>
  <c r="K157" i="17"/>
  <c r="J158" i="17"/>
  <c r="J159" i="17"/>
  <c r="J160" i="17"/>
  <c r="J161" i="17"/>
  <c r="K161" i="17"/>
  <c r="J162" i="17"/>
  <c r="J163" i="17"/>
  <c r="J164" i="17"/>
  <c r="J165" i="17"/>
  <c r="J166" i="17"/>
  <c r="J167" i="17"/>
  <c r="J168" i="17"/>
  <c r="J169" i="17"/>
  <c r="K169" i="17"/>
  <c r="J170" i="17"/>
  <c r="J171" i="17"/>
  <c r="J172" i="17"/>
  <c r="J173" i="17"/>
  <c r="K173" i="17"/>
  <c r="J174" i="17"/>
  <c r="J175" i="17"/>
  <c r="J176" i="17"/>
  <c r="J177" i="17"/>
  <c r="J178" i="17"/>
  <c r="J179" i="17"/>
  <c r="J180" i="17"/>
  <c r="J181" i="17"/>
  <c r="K181" i="17"/>
  <c r="J182" i="17"/>
  <c r="J183" i="17"/>
  <c r="J184" i="17"/>
  <c r="J185" i="17"/>
  <c r="K185" i="17"/>
  <c r="J186" i="17"/>
  <c r="J187" i="17"/>
  <c r="J188" i="17"/>
  <c r="J189" i="17"/>
  <c r="K189" i="17"/>
  <c r="J190" i="17"/>
  <c r="J191" i="17"/>
  <c r="J192" i="17"/>
  <c r="J193" i="17"/>
  <c r="K193" i="17"/>
  <c r="J194" i="17"/>
  <c r="J195" i="17"/>
  <c r="J196" i="17"/>
  <c r="J197" i="17"/>
  <c r="J198" i="17"/>
  <c r="J199" i="17"/>
  <c r="J200" i="17"/>
  <c r="J201" i="17"/>
  <c r="K201" i="17"/>
  <c r="J202" i="17"/>
  <c r="J203" i="17"/>
  <c r="J204" i="17"/>
  <c r="J205" i="17"/>
  <c r="K205" i="17"/>
  <c r="J206" i="17"/>
  <c r="J207" i="17"/>
  <c r="J208" i="17"/>
  <c r="J209" i="17"/>
  <c r="J210" i="17"/>
  <c r="J211" i="17"/>
  <c r="J212" i="17"/>
  <c r="J213" i="17"/>
  <c r="K213" i="17"/>
  <c r="J214" i="17"/>
  <c r="J215" i="17"/>
  <c r="J216" i="17"/>
  <c r="J217" i="17"/>
  <c r="K217" i="17"/>
  <c r="J218" i="17"/>
  <c r="J219" i="17"/>
  <c r="J220" i="17"/>
  <c r="J221" i="17"/>
  <c r="K221" i="17"/>
  <c r="J222" i="17"/>
  <c r="J223" i="17"/>
  <c r="J224" i="17"/>
  <c r="J225" i="17"/>
  <c r="K225" i="17"/>
  <c r="J226" i="17"/>
  <c r="J227" i="17"/>
  <c r="J228" i="17"/>
  <c r="J229" i="17"/>
  <c r="J230" i="17"/>
  <c r="J231" i="17"/>
  <c r="J232" i="17"/>
  <c r="J233" i="17"/>
  <c r="K233" i="17"/>
  <c r="J234" i="17"/>
  <c r="J235" i="17"/>
  <c r="J236" i="17"/>
  <c r="J237" i="17"/>
  <c r="K237" i="17"/>
  <c r="J238" i="17"/>
  <c r="J239" i="17"/>
  <c r="J240" i="17"/>
  <c r="J241" i="17"/>
  <c r="J242" i="17"/>
  <c r="J243" i="17"/>
  <c r="J244" i="17"/>
  <c r="J245" i="17"/>
  <c r="K245" i="17"/>
  <c r="J246" i="17"/>
  <c r="J247" i="17"/>
  <c r="J248" i="17"/>
  <c r="J249" i="17"/>
  <c r="K249" i="17"/>
  <c r="J250" i="17"/>
  <c r="J251" i="17"/>
  <c r="J252" i="17"/>
  <c r="J253" i="17"/>
  <c r="K253" i="17"/>
  <c r="J254" i="17"/>
  <c r="J255" i="17"/>
  <c r="J256" i="17"/>
  <c r="J257" i="17"/>
  <c r="K257" i="17"/>
  <c r="J258" i="17"/>
  <c r="J259" i="17"/>
  <c r="J260" i="17"/>
  <c r="J261" i="17"/>
  <c r="J262" i="17"/>
  <c r="J263" i="17"/>
  <c r="J264" i="17"/>
  <c r="J265" i="17"/>
  <c r="K265" i="17"/>
  <c r="J266" i="17"/>
  <c r="J267" i="17"/>
  <c r="J268" i="17"/>
  <c r="J269" i="17"/>
  <c r="K269" i="17"/>
  <c r="J270" i="17"/>
  <c r="J271" i="17"/>
  <c r="J272" i="17"/>
  <c r="J273" i="17"/>
  <c r="J274" i="17"/>
  <c r="J275" i="17"/>
  <c r="J276" i="17"/>
  <c r="J277" i="17"/>
  <c r="K277" i="17"/>
  <c r="J278" i="17"/>
  <c r="J279" i="17"/>
  <c r="J280" i="17"/>
  <c r="J281" i="17"/>
  <c r="K281" i="17"/>
  <c r="J282" i="17"/>
  <c r="J283" i="17"/>
  <c r="J284" i="17"/>
  <c r="J285" i="17"/>
  <c r="K285" i="17"/>
  <c r="J286" i="17"/>
  <c r="J287" i="17"/>
  <c r="J288" i="17"/>
  <c r="J289" i="17"/>
  <c r="K289" i="17"/>
  <c r="J290" i="17"/>
  <c r="J291" i="17"/>
  <c r="J292" i="17"/>
  <c r="J12" i="17"/>
  <c r="J13" i="17"/>
  <c r="K14" i="17"/>
  <c r="K30" i="17"/>
  <c r="K46" i="17"/>
  <c r="K62" i="17"/>
  <c r="K78" i="17"/>
  <c r="K94" i="17"/>
  <c r="K110" i="17"/>
  <c r="K126" i="17"/>
  <c r="K142" i="17"/>
  <c r="K150" i="17"/>
  <c r="K158" i="17"/>
  <c r="K166" i="17"/>
  <c r="K174" i="17"/>
  <c r="K182" i="17"/>
  <c r="K190" i="17"/>
  <c r="K198" i="17"/>
  <c r="K206" i="17"/>
  <c r="K214" i="17"/>
  <c r="K222" i="17"/>
  <c r="K230" i="17"/>
  <c r="K238" i="17"/>
  <c r="K246" i="17"/>
  <c r="K254" i="17"/>
  <c r="K262" i="17"/>
  <c r="K270" i="17"/>
  <c r="K278" i="17"/>
  <c r="K286" i="17"/>
  <c r="K294" i="17"/>
  <c r="K302" i="17"/>
  <c r="K310" i="17"/>
  <c r="J11" i="17"/>
  <c r="J10" i="17"/>
  <c r="I311" i="17"/>
  <c r="I310" i="17"/>
  <c r="K309" i="17"/>
  <c r="I309" i="17"/>
  <c r="I308" i="17"/>
  <c r="I307" i="17"/>
  <c r="K306" i="17"/>
  <c r="I306" i="17"/>
  <c r="K305" i="17"/>
  <c r="I305" i="17"/>
  <c r="I304" i="17"/>
  <c r="I303" i="17"/>
  <c r="I302" i="17"/>
  <c r="K301" i="17"/>
  <c r="I301" i="17"/>
  <c r="I300" i="17"/>
  <c r="I299" i="17"/>
  <c r="K298" i="17"/>
  <c r="I298" i="17"/>
  <c r="K297" i="17"/>
  <c r="I297" i="17"/>
  <c r="I296" i="17"/>
  <c r="K296" i="17"/>
  <c r="I295" i="17"/>
  <c r="I294" i="17"/>
  <c r="I293" i="17"/>
  <c r="I292" i="17"/>
  <c r="I291" i="17"/>
  <c r="K290" i="17"/>
  <c r="I290" i="17"/>
  <c r="I289" i="17"/>
  <c r="I288" i="17"/>
  <c r="K288" i="17"/>
  <c r="I287" i="17"/>
  <c r="I286" i="17"/>
  <c r="I285" i="17"/>
  <c r="I284" i="17"/>
  <c r="I283" i="17"/>
  <c r="K282" i="17"/>
  <c r="I282" i="17"/>
  <c r="I281" i="17"/>
  <c r="I280" i="17"/>
  <c r="K280" i="17"/>
  <c r="I279" i="17"/>
  <c r="I278" i="17"/>
  <c r="I277" i="17"/>
  <c r="I276" i="17"/>
  <c r="K276" i="17"/>
  <c r="I275" i="17"/>
  <c r="K274" i="17"/>
  <c r="I274" i="17"/>
  <c r="K273" i="17"/>
  <c r="I273" i="17"/>
  <c r="I272" i="17"/>
  <c r="I271" i="17"/>
  <c r="I270" i="17"/>
  <c r="I269" i="17"/>
  <c r="I268" i="17"/>
  <c r="K268" i="17"/>
  <c r="I267" i="17"/>
  <c r="K266" i="17"/>
  <c r="I266" i="17"/>
  <c r="I265" i="17"/>
  <c r="I264" i="17"/>
  <c r="I263" i="17"/>
  <c r="I262" i="17"/>
  <c r="K261" i="17"/>
  <c r="I261" i="17"/>
  <c r="I260" i="17"/>
  <c r="I259" i="17"/>
  <c r="K258" i="17"/>
  <c r="I258" i="17"/>
  <c r="I257" i="17"/>
  <c r="I256" i="17"/>
  <c r="K256" i="17"/>
  <c r="I255" i="17"/>
  <c r="I254" i="17"/>
  <c r="I253" i="17"/>
  <c r="I252" i="17"/>
  <c r="I251" i="17"/>
  <c r="K250" i="17"/>
  <c r="I250" i="17"/>
  <c r="I249" i="17"/>
  <c r="I248" i="17"/>
  <c r="K248" i="17"/>
  <c r="I247" i="17"/>
  <c r="I246" i="17"/>
  <c r="I245" i="17"/>
  <c r="I244" i="17"/>
  <c r="K244" i="17"/>
  <c r="I243" i="17"/>
  <c r="K242" i="17"/>
  <c r="I242" i="17"/>
  <c r="K241" i="17"/>
  <c r="I241" i="17"/>
  <c r="I240" i="17"/>
  <c r="I239" i="17"/>
  <c r="I238" i="17"/>
  <c r="I237" i="17"/>
  <c r="I236" i="17"/>
  <c r="K236" i="17"/>
  <c r="I235" i="17"/>
  <c r="K234" i="17"/>
  <c r="I234" i="17"/>
  <c r="I233" i="17"/>
  <c r="I232" i="17"/>
  <c r="I231" i="17"/>
  <c r="I230" i="17"/>
  <c r="K229" i="17"/>
  <c r="I229" i="17"/>
  <c r="I228" i="17"/>
  <c r="I227" i="17"/>
  <c r="K226" i="17"/>
  <c r="I226" i="17"/>
  <c r="I225" i="17"/>
  <c r="I224" i="17"/>
  <c r="K224" i="17"/>
  <c r="I223" i="17"/>
  <c r="I222" i="17"/>
  <c r="I221" i="17"/>
  <c r="I220" i="17"/>
  <c r="I219" i="17"/>
  <c r="K218" i="17"/>
  <c r="I218" i="17"/>
  <c r="I217" i="17"/>
  <c r="I216" i="17"/>
  <c r="K216" i="17"/>
  <c r="I215" i="17"/>
  <c r="I214" i="17"/>
  <c r="I213" i="17"/>
  <c r="I212" i="17"/>
  <c r="K212" i="17"/>
  <c r="I211" i="17"/>
  <c r="K210" i="17"/>
  <c r="I210" i="17"/>
  <c r="K209" i="17"/>
  <c r="I209" i="17"/>
  <c r="I208" i="17"/>
  <c r="I207" i="17"/>
  <c r="I206" i="17"/>
  <c r="I205" i="17"/>
  <c r="I204" i="17"/>
  <c r="K204" i="17"/>
  <c r="I203" i="17"/>
  <c r="K202" i="17"/>
  <c r="I202" i="17"/>
  <c r="I201" i="17"/>
  <c r="I200" i="17"/>
  <c r="I199" i="17"/>
  <c r="I198" i="17"/>
  <c r="K197" i="17"/>
  <c r="I197" i="17"/>
  <c r="I196" i="17"/>
  <c r="I195" i="17"/>
  <c r="K194" i="17"/>
  <c r="I194" i="17"/>
  <c r="I193" i="17"/>
  <c r="I192" i="17"/>
  <c r="K192" i="17"/>
  <c r="I191" i="17"/>
  <c r="I190" i="17"/>
  <c r="I189" i="17"/>
  <c r="I188" i="17"/>
  <c r="I187" i="17"/>
  <c r="K186" i="17"/>
  <c r="I186" i="17"/>
  <c r="I185" i="17"/>
  <c r="I184" i="17"/>
  <c r="K184" i="17"/>
  <c r="I183" i="17"/>
  <c r="I182" i="17"/>
  <c r="I181" i="17"/>
  <c r="I180" i="17"/>
  <c r="K180" i="17"/>
  <c r="I179" i="17"/>
  <c r="K178" i="17"/>
  <c r="I178" i="17"/>
  <c r="K177" i="17"/>
  <c r="I177" i="17"/>
  <c r="I176" i="17"/>
  <c r="I175" i="17"/>
  <c r="I174" i="17"/>
  <c r="I173" i="17"/>
  <c r="I172" i="17"/>
  <c r="K172" i="17"/>
  <c r="I171" i="17"/>
  <c r="K170" i="17"/>
  <c r="I170" i="17"/>
  <c r="I169" i="17"/>
  <c r="I168" i="17"/>
  <c r="I167" i="17"/>
  <c r="I166" i="17"/>
  <c r="K165" i="17"/>
  <c r="I165" i="17"/>
  <c r="I164" i="17"/>
  <c r="I163" i="17"/>
  <c r="K162" i="17"/>
  <c r="I162" i="17"/>
  <c r="I161" i="17"/>
  <c r="I160" i="17"/>
  <c r="K160" i="17"/>
  <c r="I159" i="17"/>
  <c r="I158" i="17"/>
  <c r="I157" i="17"/>
  <c r="I156" i="17"/>
  <c r="I155" i="17"/>
  <c r="K154" i="17"/>
  <c r="I154" i="17"/>
  <c r="I153" i="17"/>
  <c r="I152" i="17"/>
  <c r="K152" i="17"/>
  <c r="I151" i="17"/>
  <c r="I150" i="17"/>
  <c r="I149" i="17"/>
  <c r="I148" i="17"/>
  <c r="K148" i="17"/>
  <c r="I147" i="17"/>
  <c r="I146" i="17"/>
  <c r="K146" i="17"/>
  <c r="I145" i="17"/>
  <c r="I144" i="17"/>
  <c r="I143" i="17"/>
  <c r="I142" i="17"/>
  <c r="I141" i="17"/>
  <c r="I140" i="17"/>
  <c r="K140" i="17"/>
  <c r="I139" i="17"/>
  <c r="K138" i="17"/>
  <c r="I138" i="17"/>
  <c r="I137" i="17"/>
  <c r="I136" i="17"/>
  <c r="I135" i="17"/>
  <c r="I134" i="17"/>
  <c r="K133" i="17"/>
  <c r="I133" i="17"/>
  <c r="I132" i="17"/>
  <c r="I131" i="17"/>
  <c r="I130" i="17"/>
  <c r="K130" i="17"/>
  <c r="I129" i="17"/>
  <c r="K128" i="17"/>
  <c r="I128" i="17"/>
  <c r="I127" i="17"/>
  <c r="I126" i="17"/>
  <c r="K125" i="17"/>
  <c r="I125" i="17"/>
  <c r="I124" i="17"/>
  <c r="I123" i="17"/>
  <c r="K122" i="17"/>
  <c r="I122" i="17"/>
  <c r="I121" i="17"/>
  <c r="I120" i="17"/>
  <c r="K120" i="17"/>
  <c r="I119" i="17"/>
  <c r="I118" i="17"/>
  <c r="I117" i="17"/>
  <c r="I116" i="17"/>
  <c r="I115" i="17"/>
  <c r="I114" i="17"/>
  <c r="K114" i="17"/>
  <c r="I113" i="17"/>
  <c r="K112" i="17"/>
  <c r="I112" i="17"/>
  <c r="I111" i="17"/>
  <c r="I110" i="17"/>
  <c r="I109" i="17"/>
  <c r="I108" i="17"/>
  <c r="I107" i="17"/>
  <c r="K106" i="17"/>
  <c r="I106" i="17"/>
  <c r="I105" i="17"/>
  <c r="I104" i="17"/>
  <c r="K104" i="17"/>
  <c r="I103" i="17"/>
  <c r="I102" i="17"/>
  <c r="I101" i="17"/>
  <c r="K100" i="17"/>
  <c r="I100" i="17"/>
  <c r="I99" i="17"/>
  <c r="I98" i="17"/>
  <c r="K98" i="17"/>
  <c r="K97" i="17"/>
  <c r="I97" i="17"/>
  <c r="I96" i="17"/>
  <c r="I95" i="17"/>
  <c r="I94" i="17"/>
  <c r="I93" i="17"/>
  <c r="I92" i="17"/>
  <c r="K92" i="17"/>
  <c r="I91" i="17"/>
  <c r="K90" i="17"/>
  <c r="I90" i="17"/>
  <c r="K89" i="17"/>
  <c r="I89" i="17"/>
  <c r="I88" i="17"/>
  <c r="I87" i="17"/>
  <c r="I86" i="17"/>
  <c r="I85" i="17"/>
  <c r="K84" i="17"/>
  <c r="I84" i="17"/>
  <c r="I83" i="17"/>
  <c r="I82" i="17"/>
  <c r="K82" i="17"/>
  <c r="I81" i="17"/>
  <c r="I80" i="17"/>
  <c r="I79" i="17"/>
  <c r="I78" i="17"/>
  <c r="I77" i="17"/>
  <c r="I76" i="17"/>
  <c r="K76" i="17"/>
  <c r="I75" i="17"/>
  <c r="K74" i="17"/>
  <c r="I74" i="17"/>
  <c r="I73" i="17"/>
  <c r="I72" i="17"/>
  <c r="I71" i="17"/>
  <c r="I70" i="17"/>
  <c r="K69" i="17"/>
  <c r="I69" i="17"/>
  <c r="I68" i="17"/>
  <c r="I67" i="17"/>
  <c r="I66" i="17"/>
  <c r="K66" i="17"/>
  <c r="I65" i="17"/>
  <c r="K64" i="17"/>
  <c r="I64" i="17"/>
  <c r="I63" i="17"/>
  <c r="I62" i="17"/>
  <c r="K61" i="17"/>
  <c r="I61" i="17"/>
  <c r="I60" i="17"/>
  <c r="I59" i="17"/>
  <c r="K58" i="17"/>
  <c r="I58" i="17"/>
  <c r="I57" i="17"/>
  <c r="I56" i="17"/>
  <c r="K56" i="17"/>
  <c r="I55" i="17"/>
  <c r="I54" i="17"/>
  <c r="I53" i="17"/>
  <c r="I52" i="17"/>
  <c r="I51" i="17"/>
  <c r="I50" i="17"/>
  <c r="K50" i="17"/>
  <c r="I49" i="17"/>
  <c r="K48" i="17"/>
  <c r="I48" i="17"/>
  <c r="I47" i="17"/>
  <c r="I46" i="17"/>
  <c r="I45" i="17"/>
  <c r="I44" i="17"/>
  <c r="I43" i="17"/>
  <c r="K42" i="17"/>
  <c r="I42" i="17"/>
  <c r="I41" i="17"/>
  <c r="I40" i="17"/>
  <c r="K40" i="17"/>
  <c r="I39" i="17"/>
  <c r="I38" i="17"/>
  <c r="I37" i="17"/>
  <c r="K36" i="17"/>
  <c r="I36" i="17"/>
  <c r="I35" i="17"/>
  <c r="I34" i="17"/>
  <c r="K34" i="17"/>
  <c r="K33" i="17"/>
  <c r="I33" i="17"/>
  <c r="I32" i="17"/>
  <c r="I31" i="17"/>
  <c r="I30" i="17"/>
  <c r="I29" i="17"/>
  <c r="I28" i="17"/>
  <c r="K28" i="17"/>
  <c r="I27" i="17"/>
  <c r="K26" i="17"/>
  <c r="I26" i="17"/>
  <c r="K25" i="17"/>
  <c r="I25" i="17"/>
  <c r="I24" i="17"/>
  <c r="I23" i="17"/>
  <c r="I22" i="17"/>
  <c r="I21" i="17"/>
  <c r="K20" i="17"/>
  <c r="I20" i="17"/>
  <c r="I19" i="17"/>
  <c r="I18" i="17"/>
  <c r="K18" i="17"/>
  <c r="I17" i="17"/>
  <c r="I16" i="17"/>
  <c r="I15" i="17"/>
  <c r="I14" i="17"/>
  <c r="K13" i="17"/>
  <c r="I13" i="17"/>
  <c r="I12" i="17"/>
  <c r="K12" i="17"/>
  <c r="I11" i="17"/>
  <c r="K11" i="17"/>
  <c r="K10" i="17"/>
  <c r="I10" i="17"/>
  <c r="H28" i="26"/>
  <c r="H9" i="26"/>
  <c r="H5" i="26"/>
  <c r="H6" i="26"/>
  <c r="H10" i="26"/>
  <c r="L11" i="17"/>
  <c r="L10" i="17"/>
  <c r="I6" i="17"/>
  <c r="I3" i="17"/>
  <c r="I5" i="17"/>
  <c r="I2" i="17"/>
  <c r="Z17" i="28"/>
  <c r="Z10" i="28"/>
  <c r="K308" i="17"/>
  <c r="K300" i="17"/>
  <c r="K304" i="17"/>
  <c r="K24" i="17"/>
  <c r="K60" i="17"/>
  <c r="K88" i="17"/>
  <c r="K124" i="17"/>
  <c r="K164" i="17"/>
  <c r="K176" i="17"/>
  <c r="K196" i="17"/>
  <c r="K208" i="17"/>
  <c r="K228" i="17"/>
  <c r="K240" i="17"/>
  <c r="K260" i="17"/>
  <c r="K272" i="17"/>
  <c r="K292" i="17"/>
  <c r="K44" i="17"/>
  <c r="K72" i="17"/>
  <c r="K108" i="17"/>
  <c r="K136" i="17"/>
  <c r="K156" i="17"/>
  <c r="K168" i="17"/>
  <c r="K188" i="17"/>
  <c r="K200" i="17"/>
  <c r="K220" i="17"/>
  <c r="K232" i="17"/>
  <c r="K252" i="17"/>
  <c r="K264" i="17"/>
  <c r="K284" i="17"/>
  <c r="K27" i="17"/>
  <c r="K43" i="17"/>
  <c r="K51" i="17"/>
  <c r="K59" i="17"/>
  <c r="K75" i="17"/>
  <c r="K83" i="17"/>
  <c r="K91" i="17"/>
  <c r="K99" i="17"/>
  <c r="K155" i="17"/>
  <c r="K179" i="17"/>
  <c r="K203" i="17"/>
  <c r="K219" i="17"/>
  <c r="K227" i="17"/>
  <c r="K243" i="17"/>
  <c r="K267" i="17"/>
  <c r="K275" i="17"/>
  <c r="K299" i="17"/>
  <c r="K307" i="17"/>
  <c r="K22" i="17"/>
  <c r="K38" i="17"/>
  <c r="K54" i="17"/>
  <c r="K70" i="17"/>
  <c r="K86" i="17"/>
  <c r="K102" i="17"/>
  <c r="K118" i="17"/>
  <c r="K134" i="17"/>
  <c r="K19" i="17"/>
  <c r="K35" i="17"/>
  <c r="K67" i="17"/>
  <c r="K107" i="17"/>
  <c r="K115" i="17"/>
  <c r="K123" i="17"/>
  <c r="K131" i="17"/>
  <c r="K139" i="17"/>
  <c r="K147" i="17"/>
  <c r="K163" i="17"/>
  <c r="K171" i="17"/>
  <c r="K187" i="17"/>
  <c r="K195" i="17"/>
  <c r="K211" i="17"/>
  <c r="K235" i="17"/>
  <c r="K251" i="17"/>
  <c r="K259" i="17"/>
  <c r="K283" i="17"/>
  <c r="K291" i="17"/>
  <c r="K15" i="17"/>
  <c r="K31" i="17"/>
  <c r="K47" i="17"/>
  <c r="K63" i="17"/>
  <c r="K79" i="17"/>
  <c r="K95" i="17"/>
  <c r="K111" i="17"/>
  <c r="K127" i="17"/>
  <c r="K143" i="17"/>
  <c r="K151" i="17"/>
  <c r="K159" i="17"/>
  <c r="K167" i="17"/>
  <c r="K175" i="17"/>
  <c r="K183" i="17"/>
  <c r="K191" i="17"/>
  <c r="K199" i="17"/>
  <c r="K207" i="17"/>
  <c r="K215" i="17"/>
  <c r="K223" i="17"/>
  <c r="K231" i="17"/>
  <c r="K239" i="17"/>
  <c r="K247" i="17"/>
  <c r="K255" i="17"/>
  <c r="K263" i="17"/>
  <c r="K271" i="17"/>
  <c r="K279" i="17"/>
  <c r="K287" i="17"/>
  <c r="K295" i="17"/>
  <c r="K303" i="17"/>
  <c r="K311" i="17"/>
  <c r="K23" i="17"/>
  <c r="K39" i="17"/>
  <c r="K55" i="17"/>
  <c r="K71" i="17"/>
  <c r="K87" i="17"/>
  <c r="K103" i="17"/>
  <c r="K119" i="17"/>
  <c r="K135" i="17"/>
  <c r="H3" i="17"/>
  <c r="H6" i="17"/>
  <c r="H2" i="17"/>
  <c r="H5" i="17"/>
  <c r="E10" i="18"/>
  <c r="B2" i="18"/>
  <c r="B5" i="18"/>
  <c r="B5" i="17"/>
  <c r="B2" i="17"/>
  <c r="B5" i="29"/>
  <c r="B3" i="31"/>
  <c r="E11" i="30"/>
  <c r="F12" i="30"/>
  <c r="F11" i="30"/>
  <c r="J4" i="28"/>
  <c r="J3" i="28"/>
  <c r="J5" i="28"/>
  <c r="F11" i="28"/>
  <c r="E11" i="28"/>
  <c r="B3" i="28"/>
  <c r="B2" i="28"/>
  <c r="B12" i="26"/>
  <c r="F14" i="50"/>
  <c r="F12" i="50"/>
  <c r="I7" i="50"/>
  <c r="F9" i="50"/>
  <c r="I6" i="50"/>
  <c r="I5" i="50"/>
  <c r="I4" i="50"/>
  <c r="I3" i="50"/>
  <c r="B14" i="8"/>
  <c r="B12" i="8"/>
  <c r="N14" i="13"/>
  <c r="N15" i="13"/>
  <c r="N18" i="13"/>
  <c r="N17" i="13"/>
  <c r="M17" i="13"/>
  <c r="Z3" i="55"/>
  <c r="M18" i="13"/>
  <c r="M14" i="13"/>
  <c r="L14" i="13"/>
  <c r="N9" i="13"/>
  <c r="N11" i="13"/>
  <c r="M9" i="13"/>
  <c r="L9" i="13"/>
  <c r="L11" i="13"/>
  <c r="N5" i="13"/>
  <c r="M5" i="13"/>
  <c r="I8" i="24"/>
  <c r="H8" i="24"/>
  <c r="B6" i="28"/>
  <c r="B5" i="28"/>
  <c r="G20" i="50"/>
  <c r="G9" i="50"/>
  <c r="J3" i="50"/>
  <c r="F20" i="50"/>
  <c r="G14" i="50"/>
  <c r="B7" i="50"/>
  <c r="AA3" i="55"/>
  <c r="O18" i="13"/>
  <c r="O14" i="13"/>
  <c r="O11" i="13"/>
  <c r="O9" i="13"/>
  <c r="O5" i="13"/>
  <c r="O15" i="13"/>
  <c r="O17" i="13"/>
  <c r="J8" i="24"/>
  <c r="B21" i="2"/>
  <c r="B22" i="2"/>
  <c r="M11" i="13"/>
  <c r="E9" i="13"/>
  <c r="E1007" i="55"/>
  <c r="E1006" i="55"/>
  <c r="E1005" i="55"/>
  <c r="E1004" i="55"/>
  <c r="E1003" i="55"/>
  <c r="E1002" i="55"/>
  <c r="E1001" i="55"/>
  <c r="E1000" i="55"/>
  <c r="E999" i="55"/>
  <c r="E998" i="55"/>
  <c r="E997" i="55"/>
  <c r="E996" i="55"/>
  <c r="E995" i="55"/>
  <c r="E994" i="55"/>
  <c r="E993" i="55"/>
  <c r="E992" i="55"/>
  <c r="E991" i="55"/>
  <c r="E990" i="55"/>
  <c r="E989" i="55"/>
  <c r="E988" i="55"/>
  <c r="E987" i="55"/>
  <c r="E986" i="55"/>
  <c r="E985" i="55"/>
  <c r="E984" i="55"/>
  <c r="E983" i="55"/>
  <c r="E982" i="55"/>
  <c r="E981" i="55"/>
  <c r="E980" i="55"/>
  <c r="E979" i="55"/>
  <c r="E978" i="55"/>
  <c r="E977" i="55"/>
  <c r="E976" i="55"/>
  <c r="E975" i="55"/>
  <c r="E974" i="55"/>
  <c r="E973" i="55"/>
  <c r="E972" i="55"/>
  <c r="E971" i="55"/>
  <c r="E970" i="55"/>
  <c r="E969" i="55"/>
  <c r="E968" i="55"/>
  <c r="E967" i="55"/>
  <c r="E966" i="55"/>
  <c r="E965" i="55"/>
  <c r="E964" i="55"/>
  <c r="E963" i="55"/>
  <c r="E962" i="55"/>
  <c r="E961" i="55"/>
  <c r="E960" i="55"/>
  <c r="E959" i="55"/>
  <c r="E958" i="55"/>
  <c r="E957" i="55"/>
  <c r="E956" i="55"/>
  <c r="E955" i="55"/>
  <c r="E954" i="55"/>
  <c r="E953" i="55"/>
  <c r="E952" i="55"/>
  <c r="E951" i="55"/>
  <c r="E950" i="55"/>
  <c r="E949" i="55"/>
  <c r="E948" i="55"/>
  <c r="E947" i="55"/>
  <c r="E946" i="55"/>
  <c r="E945" i="55"/>
  <c r="E944" i="55"/>
  <c r="E943" i="55"/>
  <c r="E942" i="55"/>
  <c r="E941" i="55"/>
  <c r="E940" i="55"/>
  <c r="E939" i="55"/>
  <c r="E938" i="55"/>
  <c r="E937" i="55"/>
  <c r="E936" i="55"/>
  <c r="E935" i="55"/>
  <c r="E934" i="55"/>
  <c r="E933" i="55"/>
  <c r="E932" i="55"/>
  <c r="E931" i="55"/>
  <c r="E930" i="55"/>
  <c r="E929" i="55"/>
  <c r="E928" i="55"/>
  <c r="E927" i="55"/>
  <c r="E926" i="55"/>
  <c r="E925" i="55"/>
  <c r="E924" i="55"/>
  <c r="E923" i="55"/>
  <c r="E922" i="55"/>
  <c r="E921" i="55"/>
  <c r="E920" i="55"/>
  <c r="E919" i="55"/>
  <c r="E918" i="55"/>
  <c r="E917" i="55"/>
  <c r="E916" i="55"/>
  <c r="E915" i="55"/>
  <c r="E914" i="55"/>
  <c r="E913" i="55"/>
  <c r="E912" i="55"/>
  <c r="E911" i="55"/>
  <c r="E910" i="55"/>
  <c r="E909" i="55"/>
  <c r="E908" i="55"/>
  <c r="E907" i="55"/>
  <c r="E906" i="55"/>
  <c r="E905" i="55"/>
  <c r="E904" i="55"/>
  <c r="E903" i="55"/>
  <c r="E902" i="55"/>
  <c r="E901" i="55"/>
  <c r="E900" i="55"/>
  <c r="E899" i="55"/>
  <c r="E898" i="55"/>
  <c r="E897" i="55"/>
  <c r="E896" i="55"/>
  <c r="E895" i="55"/>
  <c r="E894" i="55"/>
  <c r="E893" i="55"/>
  <c r="E892" i="55"/>
  <c r="E891" i="55"/>
  <c r="E890" i="55"/>
  <c r="E889" i="55"/>
  <c r="E888" i="55"/>
  <c r="E887" i="55"/>
  <c r="E886" i="55"/>
  <c r="E885" i="55"/>
  <c r="E884" i="55"/>
  <c r="E883" i="55"/>
  <c r="E882" i="55"/>
  <c r="E881" i="55"/>
  <c r="E880" i="55"/>
  <c r="E879" i="55"/>
  <c r="E878" i="55"/>
  <c r="E877" i="55"/>
  <c r="E876" i="55"/>
  <c r="E875" i="55"/>
  <c r="E874" i="55"/>
  <c r="E873" i="55"/>
  <c r="E872" i="55"/>
  <c r="E871" i="55"/>
  <c r="E870" i="55"/>
  <c r="E869" i="55"/>
  <c r="E868" i="55"/>
  <c r="E867" i="55"/>
  <c r="E866" i="55"/>
  <c r="E865" i="55"/>
  <c r="E864" i="55"/>
  <c r="E863" i="55"/>
  <c r="E862" i="55"/>
  <c r="E861" i="55"/>
  <c r="E860" i="55"/>
  <c r="E859" i="55"/>
  <c r="E858" i="55"/>
  <c r="E857" i="55"/>
  <c r="E856" i="55"/>
  <c r="E855" i="55"/>
  <c r="E854" i="55"/>
  <c r="E853" i="55"/>
  <c r="E852" i="55"/>
  <c r="E851" i="55"/>
  <c r="E850" i="55"/>
  <c r="E849" i="55"/>
  <c r="E848" i="55"/>
  <c r="E847" i="55"/>
  <c r="E846" i="55"/>
  <c r="E845" i="55"/>
  <c r="E844" i="55"/>
  <c r="E843" i="55"/>
  <c r="E842" i="55"/>
  <c r="E841" i="55"/>
  <c r="E840" i="55"/>
  <c r="E839" i="55"/>
  <c r="E838" i="55"/>
  <c r="E837" i="55"/>
  <c r="E836" i="55"/>
  <c r="E835" i="55"/>
  <c r="E834" i="55"/>
  <c r="E833" i="55"/>
  <c r="E832" i="55"/>
  <c r="E831" i="55"/>
  <c r="E830" i="55"/>
  <c r="E829" i="55"/>
  <c r="E828" i="55"/>
  <c r="E827" i="55"/>
  <c r="E826" i="55"/>
  <c r="E825" i="55"/>
  <c r="E824" i="55"/>
  <c r="E823" i="55"/>
  <c r="E822" i="55"/>
  <c r="E821" i="55"/>
  <c r="E820" i="55"/>
  <c r="E819" i="55"/>
  <c r="E818" i="55"/>
  <c r="E817" i="55"/>
  <c r="E816" i="55"/>
  <c r="E815" i="55"/>
  <c r="E814" i="55"/>
  <c r="E813" i="55"/>
  <c r="E812" i="55"/>
  <c r="E811" i="55"/>
  <c r="E810" i="55"/>
  <c r="E809" i="55"/>
  <c r="E808" i="55"/>
  <c r="E807" i="55"/>
  <c r="E806" i="55"/>
  <c r="E805" i="55"/>
  <c r="E804" i="55"/>
  <c r="E803" i="55"/>
  <c r="E802" i="55"/>
  <c r="E801" i="55"/>
  <c r="E800" i="55"/>
  <c r="E799" i="55"/>
  <c r="E798" i="55"/>
  <c r="E797" i="55"/>
  <c r="E796" i="55"/>
  <c r="E795" i="55"/>
  <c r="E794" i="55"/>
  <c r="E793" i="55"/>
  <c r="E792" i="55"/>
  <c r="E791" i="55"/>
  <c r="E790" i="55"/>
  <c r="E789" i="55"/>
  <c r="E788" i="55"/>
  <c r="E787" i="55"/>
  <c r="E786" i="55"/>
  <c r="E785" i="55"/>
  <c r="E784" i="55"/>
  <c r="E783" i="55"/>
  <c r="E782" i="55"/>
  <c r="E781" i="55"/>
  <c r="E780" i="55"/>
  <c r="E779" i="55"/>
  <c r="E778" i="55"/>
  <c r="E777" i="55"/>
  <c r="E776" i="55"/>
  <c r="E775" i="55"/>
  <c r="E774" i="55"/>
  <c r="E773" i="55"/>
  <c r="E772" i="55"/>
  <c r="E771" i="55"/>
  <c r="E770" i="55"/>
  <c r="E769" i="55"/>
  <c r="E768" i="55"/>
  <c r="E767" i="55"/>
  <c r="E766" i="55"/>
  <c r="E765" i="55"/>
  <c r="E764" i="55"/>
  <c r="E763" i="55"/>
  <c r="E762" i="55"/>
  <c r="E761" i="55"/>
  <c r="E760" i="55"/>
  <c r="E759" i="55"/>
  <c r="E758" i="55"/>
  <c r="E757" i="55"/>
  <c r="E756" i="55"/>
  <c r="E755" i="55"/>
  <c r="E754" i="55"/>
  <c r="E753" i="55"/>
  <c r="E752" i="55"/>
  <c r="E751" i="55"/>
  <c r="E750" i="55"/>
  <c r="E749" i="55"/>
  <c r="E748" i="55"/>
  <c r="E747" i="55"/>
  <c r="E746" i="55"/>
  <c r="E745" i="55"/>
  <c r="E744" i="55"/>
  <c r="E743" i="55"/>
  <c r="E742" i="55"/>
  <c r="E741" i="55"/>
  <c r="E740" i="55"/>
  <c r="E739" i="55"/>
  <c r="E738" i="55"/>
  <c r="E737" i="55"/>
  <c r="E736" i="55"/>
  <c r="E735" i="55"/>
  <c r="E734" i="55"/>
  <c r="E733" i="55"/>
  <c r="E732" i="55"/>
  <c r="E731" i="55"/>
  <c r="E730" i="55"/>
  <c r="E729" i="55"/>
  <c r="E728" i="55"/>
  <c r="E727" i="55"/>
  <c r="E726" i="55"/>
  <c r="E725" i="55"/>
  <c r="E724" i="55"/>
  <c r="E723" i="55"/>
  <c r="E722" i="55"/>
  <c r="E721" i="55"/>
  <c r="E720" i="55"/>
  <c r="E719" i="55"/>
  <c r="E718" i="55"/>
  <c r="E717" i="55"/>
  <c r="E716" i="55"/>
  <c r="E715" i="55"/>
  <c r="E714" i="55"/>
  <c r="E713" i="55"/>
  <c r="E712" i="55"/>
  <c r="E711" i="55"/>
  <c r="E710" i="55"/>
  <c r="E709" i="55"/>
  <c r="E708" i="55"/>
  <c r="E707" i="55"/>
  <c r="E706" i="55"/>
  <c r="E705" i="55"/>
  <c r="E704" i="55"/>
  <c r="E703" i="55"/>
  <c r="E702" i="55"/>
  <c r="E701" i="55"/>
  <c r="E700" i="55"/>
  <c r="E699" i="55"/>
  <c r="E698" i="55"/>
  <c r="E697" i="55"/>
  <c r="E696" i="55"/>
  <c r="E695" i="55"/>
  <c r="E694" i="55"/>
  <c r="E693" i="55"/>
  <c r="E692" i="55"/>
  <c r="E691" i="55"/>
  <c r="E690" i="55"/>
  <c r="E689" i="55"/>
  <c r="E688" i="55"/>
  <c r="E687" i="55"/>
  <c r="E686" i="55"/>
  <c r="E685" i="55"/>
  <c r="E684" i="55"/>
  <c r="E683" i="55"/>
  <c r="E682" i="55"/>
  <c r="E681" i="55"/>
  <c r="E680" i="55"/>
  <c r="E679" i="55"/>
  <c r="E678" i="55"/>
  <c r="E677" i="55"/>
  <c r="E676" i="55"/>
  <c r="E675" i="55"/>
  <c r="E674" i="55"/>
  <c r="E673" i="55"/>
  <c r="E672" i="55"/>
  <c r="E671" i="55"/>
  <c r="E670" i="55"/>
  <c r="E669" i="55"/>
  <c r="E668" i="55"/>
  <c r="E667" i="55"/>
  <c r="E666" i="55"/>
  <c r="E665" i="55"/>
  <c r="E664" i="55"/>
  <c r="E663" i="55"/>
  <c r="E662" i="55"/>
  <c r="E661" i="55"/>
  <c r="E660" i="55"/>
  <c r="E659" i="55"/>
  <c r="E658" i="55"/>
  <c r="E657" i="55"/>
  <c r="E656" i="55"/>
  <c r="E655" i="55"/>
  <c r="E654" i="55"/>
  <c r="E653" i="55"/>
  <c r="E652" i="55"/>
  <c r="E651" i="55"/>
  <c r="E650" i="55"/>
  <c r="E649" i="55"/>
  <c r="E648" i="55"/>
  <c r="E647" i="55"/>
  <c r="E646" i="55"/>
  <c r="E645" i="55"/>
  <c r="E644" i="55"/>
  <c r="E643" i="55"/>
  <c r="E642" i="55"/>
  <c r="E641" i="55"/>
  <c r="E640" i="55"/>
  <c r="E639" i="55"/>
  <c r="E638" i="55"/>
  <c r="E637" i="55"/>
  <c r="E636" i="55"/>
  <c r="E635" i="55"/>
  <c r="E634" i="55"/>
  <c r="E633" i="55"/>
  <c r="E632" i="55"/>
  <c r="E631" i="55"/>
  <c r="E630" i="55"/>
  <c r="E629" i="55"/>
  <c r="E628" i="55"/>
  <c r="E627" i="55"/>
  <c r="E626" i="55"/>
  <c r="E625" i="55"/>
  <c r="E624" i="55"/>
  <c r="E623" i="55"/>
  <c r="E622" i="55"/>
  <c r="E621" i="55"/>
  <c r="E620" i="55"/>
  <c r="E619" i="55"/>
  <c r="E618" i="55"/>
  <c r="E617" i="55"/>
  <c r="E616" i="55"/>
  <c r="E615" i="55"/>
  <c r="E614" i="55"/>
  <c r="E613" i="55"/>
  <c r="E612" i="55"/>
  <c r="E611" i="55"/>
  <c r="E610" i="55"/>
  <c r="E609" i="55"/>
  <c r="E608" i="55"/>
  <c r="E607" i="55"/>
  <c r="E606" i="55"/>
  <c r="E605" i="55"/>
  <c r="E604" i="55"/>
  <c r="E603" i="55"/>
  <c r="E602" i="55"/>
  <c r="E601" i="55"/>
  <c r="E600" i="55"/>
  <c r="E599" i="55"/>
  <c r="E598" i="55"/>
  <c r="E597" i="55"/>
  <c r="E596" i="55"/>
  <c r="E595" i="55"/>
  <c r="E594" i="55"/>
  <c r="E593" i="55"/>
  <c r="E592" i="55"/>
  <c r="E591" i="55"/>
  <c r="E590" i="55"/>
  <c r="E589" i="55"/>
  <c r="E588" i="55"/>
  <c r="E587" i="55"/>
  <c r="E586" i="55"/>
  <c r="E585" i="55"/>
  <c r="E584" i="55"/>
  <c r="E583" i="55"/>
  <c r="E582" i="55"/>
  <c r="E581" i="55"/>
  <c r="E580" i="55"/>
  <c r="E579" i="55"/>
  <c r="E578" i="55"/>
  <c r="E577" i="55"/>
  <c r="E576" i="55"/>
  <c r="E575" i="55"/>
  <c r="E574" i="55"/>
  <c r="E573" i="55"/>
  <c r="E572" i="55"/>
  <c r="E571" i="55"/>
  <c r="E570" i="55"/>
  <c r="E569" i="55"/>
  <c r="E568" i="55"/>
  <c r="E567" i="55"/>
  <c r="E566" i="55"/>
  <c r="E565" i="55"/>
  <c r="E564" i="55"/>
  <c r="E563" i="55"/>
  <c r="E562" i="55"/>
  <c r="E561" i="55"/>
  <c r="E560" i="55"/>
  <c r="E559" i="55"/>
  <c r="E558" i="55"/>
  <c r="E557" i="55"/>
  <c r="E556" i="55"/>
  <c r="E555" i="55"/>
  <c r="E554" i="55"/>
  <c r="E553" i="55"/>
  <c r="E552" i="55"/>
  <c r="E551" i="55"/>
  <c r="E550" i="55"/>
  <c r="E549" i="55"/>
  <c r="E548" i="55"/>
  <c r="E547" i="55"/>
  <c r="E546" i="55"/>
  <c r="E545" i="55"/>
  <c r="E544" i="55"/>
  <c r="E543" i="55"/>
  <c r="E542" i="55"/>
  <c r="E541" i="55"/>
  <c r="E540" i="55"/>
  <c r="E539" i="55"/>
  <c r="E538" i="55"/>
  <c r="E537" i="55"/>
  <c r="E536" i="55"/>
  <c r="E535" i="55"/>
  <c r="E534" i="55"/>
  <c r="E533" i="55"/>
  <c r="E532" i="55"/>
  <c r="E531" i="55"/>
  <c r="E530" i="55"/>
  <c r="E529" i="55"/>
  <c r="E528" i="55"/>
  <c r="E527" i="55"/>
  <c r="E526" i="55"/>
  <c r="E525" i="55"/>
  <c r="E524" i="55"/>
  <c r="E523" i="55"/>
  <c r="E522" i="55"/>
  <c r="E521" i="55"/>
  <c r="E520" i="55"/>
  <c r="E519" i="55"/>
  <c r="E518" i="55"/>
  <c r="E517" i="55"/>
  <c r="E516" i="55"/>
  <c r="E515" i="55"/>
  <c r="E514" i="55"/>
  <c r="E513" i="55"/>
  <c r="E512" i="55"/>
  <c r="E511" i="55"/>
  <c r="E510" i="55"/>
  <c r="E509" i="55"/>
  <c r="E508" i="55"/>
  <c r="E507" i="55"/>
  <c r="E506" i="55"/>
  <c r="E505" i="55"/>
  <c r="E504" i="55"/>
  <c r="E503" i="55"/>
  <c r="E502" i="55"/>
  <c r="E501" i="55"/>
  <c r="E500" i="55"/>
  <c r="E499" i="55"/>
  <c r="E498" i="55"/>
  <c r="E497" i="55"/>
  <c r="E496" i="55"/>
  <c r="E495" i="55"/>
  <c r="E494" i="55"/>
  <c r="E493" i="55"/>
  <c r="E492" i="55"/>
  <c r="E491" i="55"/>
  <c r="E490" i="55"/>
  <c r="E489" i="55"/>
  <c r="E488" i="55"/>
  <c r="E487" i="55"/>
  <c r="E486" i="55"/>
  <c r="E485" i="55"/>
  <c r="E484" i="55"/>
  <c r="E483" i="55"/>
  <c r="E482" i="55"/>
  <c r="E481" i="55"/>
  <c r="E480" i="55"/>
  <c r="E479" i="55"/>
  <c r="E478" i="55"/>
  <c r="E477" i="55"/>
  <c r="E476" i="55"/>
  <c r="E475" i="55"/>
  <c r="E474" i="55"/>
  <c r="E473" i="55"/>
  <c r="E472" i="55"/>
  <c r="E471" i="55"/>
  <c r="E470" i="55"/>
  <c r="E469" i="55"/>
  <c r="E468" i="55"/>
  <c r="E467" i="55"/>
  <c r="E466" i="55"/>
  <c r="E465" i="55"/>
  <c r="E464" i="55"/>
  <c r="E463" i="55"/>
  <c r="E462" i="55"/>
  <c r="E461" i="55"/>
  <c r="E460" i="55"/>
  <c r="E459" i="55"/>
  <c r="E458" i="55"/>
  <c r="E457" i="55"/>
  <c r="E456" i="55"/>
  <c r="E455" i="55"/>
  <c r="E454" i="55"/>
  <c r="E453" i="55"/>
  <c r="E452" i="55"/>
  <c r="E451" i="55"/>
  <c r="E450" i="55"/>
  <c r="E449" i="55"/>
  <c r="E448" i="55"/>
  <c r="E447" i="55"/>
  <c r="E446" i="55"/>
  <c r="E445" i="55"/>
  <c r="E444" i="55"/>
  <c r="E443" i="55"/>
  <c r="E442" i="55"/>
  <c r="E441" i="55"/>
  <c r="E440" i="55"/>
  <c r="E439" i="55"/>
  <c r="E438" i="55"/>
  <c r="E437" i="55"/>
  <c r="E436" i="55"/>
  <c r="E435" i="55"/>
  <c r="E434" i="55"/>
  <c r="E433" i="55"/>
  <c r="E432" i="55"/>
  <c r="E431" i="55"/>
  <c r="E430" i="55"/>
  <c r="E429" i="55"/>
  <c r="E428" i="55"/>
  <c r="E427" i="55"/>
  <c r="E426" i="55"/>
  <c r="E425" i="55"/>
  <c r="E424" i="55"/>
  <c r="E423" i="55"/>
  <c r="E422" i="55"/>
  <c r="E421" i="55"/>
  <c r="E420" i="55"/>
  <c r="E419" i="55"/>
  <c r="E418" i="55"/>
  <c r="E417" i="55"/>
  <c r="E416" i="55"/>
  <c r="E415" i="55"/>
  <c r="E414" i="55"/>
  <c r="E413" i="55"/>
  <c r="E412" i="55"/>
  <c r="E411" i="55"/>
  <c r="E410" i="55"/>
  <c r="E409" i="55"/>
  <c r="E408" i="55"/>
  <c r="E407" i="55"/>
  <c r="E406" i="55"/>
  <c r="E405" i="55"/>
  <c r="E404" i="55"/>
  <c r="E403" i="55"/>
  <c r="E402" i="55"/>
  <c r="E401" i="55"/>
  <c r="E400" i="55"/>
  <c r="E399" i="55"/>
  <c r="E398" i="55"/>
  <c r="E397" i="55"/>
  <c r="E396" i="55"/>
  <c r="E395" i="55"/>
  <c r="E394" i="55"/>
  <c r="E393" i="55"/>
  <c r="E392" i="55"/>
  <c r="E391" i="55"/>
  <c r="E390" i="55"/>
  <c r="E389" i="55"/>
  <c r="E388" i="55"/>
  <c r="E387" i="55"/>
  <c r="E386" i="55"/>
  <c r="E385" i="55"/>
  <c r="E384" i="55"/>
  <c r="E383" i="55"/>
  <c r="E382" i="55"/>
  <c r="E381" i="55"/>
  <c r="E380" i="55"/>
  <c r="E379" i="55"/>
  <c r="E378" i="55"/>
  <c r="E377" i="55"/>
  <c r="E376" i="55"/>
  <c r="E375" i="55"/>
  <c r="E374" i="55"/>
  <c r="E373" i="55"/>
  <c r="E372" i="55"/>
  <c r="E371" i="55"/>
  <c r="E370" i="55"/>
  <c r="E369" i="55"/>
  <c r="E368" i="55"/>
  <c r="E367" i="55"/>
  <c r="E366" i="55"/>
  <c r="E365" i="55"/>
  <c r="E364" i="55"/>
  <c r="E363" i="55"/>
  <c r="E362" i="55"/>
  <c r="E361" i="55"/>
  <c r="E360" i="55"/>
  <c r="E359" i="55"/>
  <c r="E358" i="55"/>
  <c r="E357" i="55"/>
  <c r="E356" i="55"/>
  <c r="E355" i="55"/>
  <c r="E354" i="55"/>
  <c r="E353" i="55"/>
  <c r="E352" i="55"/>
  <c r="E351" i="55"/>
  <c r="E350" i="55"/>
  <c r="E349" i="55"/>
  <c r="E348" i="55"/>
  <c r="E347" i="55"/>
  <c r="E346" i="55"/>
  <c r="E345" i="55"/>
  <c r="E344" i="55"/>
  <c r="E343" i="55"/>
  <c r="E342" i="55"/>
  <c r="E341" i="55"/>
  <c r="E340" i="55"/>
  <c r="E339" i="55"/>
  <c r="E338" i="55"/>
  <c r="E337" i="55"/>
  <c r="E336" i="55"/>
  <c r="E335" i="55"/>
  <c r="E334" i="55"/>
  <c r="E333" i="55"/>
  <c r="E332" i="55"/>
  <c r="E331" i="55"/>
  <c r="E330" i="55"/>
  <c r="E329" i="55"/>
  <c r="E328" i="55"/>
  <c r="E327" i="55"/>
  <c r="E326" i="55"/>
  <c r="E325" i="55"/>
  <c r="E324" i="55"/>
  <c r="E323" i="55"/>
  <c r="E322" i="55"/>
  <c r="E321" i="55"/>
  <c r="E320" i="55"/>
  <c r="E319" i="55"/>
  <c r="E318" i="55"/>
  <c r="E317" i="55"/>
  <c r="E316" i="55"/>
  <c r="E315" i="55"/>
  <c r="E314" i="55"/>
  <c r="E313" i="55"/>
  <c r="E312" i="55"/>
  <c r="E311" i="55"/>
  <c r="E310" i="55"/>
  <c r="E309" i="55"/>
  <c r="E308" i="55"/>
  <c r="E307" i="55"/>
  <c r="E306" i="55"/>
  <c r="E305" i="55"/>
  <c r="E304" i="55"/>
  <c r="E303" i="55"/>
  <c r="E302" i="55"/>
  <c r="E301" i="55"/>
  <c r="E300" i="55"/>
  <c r="E299" i="55"/>
  <c r="E298" i="55"/>
  <c r="E297" i="55"/>
  <c r="E296" i="55"/>
  <c r="E295" i="55"/>
  <c r="E294" i="55"/>
  <c r="E293" i="55"/>
  <c r="E292" i="55"/>
  <c r="E291" i="55"/>
  <c r="E290" i="55"/>
  <c r="E289" i="55"/>
  <c r="E288" i="55"/>
  <c r="E287" i="55"/>
  <c r="E286" i="55"/>
  <c r="E285" i="55"/>
  <c r="E284" i="55"/>
  <c r="E283" i="55"/>
  <c r="E282" i="55"/>
  <c r="E281" i="55"/>
  <c r="E280" i="55"/>
  <c r="E279" i="55"/>
  <c r="E278" i="55"/>
  <c r="E277" i="55"/>
  <c r="E276" i="55"/>
  <c r="E275" i="55"/>
  <c r="E274" i="55"/>
  <c r="E273" i="55"/>
  <c r="E272" i="55"/>
  <c r="E271" i="55"/>
  <c r="E270" i="55"/>
  <c r="E269" i="55"/>
  <c r="E268" i="55"/>
  <c r="E267" i="55"/>
  <c r="E266" i="55"/>
  <c r="E265" i="55"/>
  <c r="E264" i="55"/>
  <c r="E263" i="55"/>
  <c r="E262" i="55"/>
  <c r="E261" i="55"/>
  <c r="E260" i="55"/>
  <c r="E259" i="55"/>
  <c r="E258" i="55"/>
  <c r="E257" i="55"/>
  <c r="E256" i="55"/>
  <c r="E255" i="55"/>
  <c r="E254" i="55"/>
  <c r="E253" i="55"/>
  <c r="E252" i="55"/>
  <c r="E251" i="55"/>
  <c r="E250" i="55"/>
  <c r="E249" i="55"/>
  <c r="E248" i="55"/>
  <c r="E247" i="55"/>
  <c r="E246" i="55"/>
  <c r="E245" i="55"/>
  <c r="E244" i="55"/>
  <c r="E243" i="55"/>
  <c r="E242" i="55"/>
  <c r="E241" i="55"/>
  <c r="E240" i="55"/>
  <c r="E239" i="55"/>
  <c r="E238" i="55"/>
  <c r="E237" i="55"/>
  <c r="E236" i="55"/>
  <c r="E235" i="55"/>
  <c r="E234" i="55"/>
  <c r="E233" i="55"/>
  <c r="E232" i="55"/>
  <c r="E231" i="55"/>
  <c r="E230" i="55"/>
  <c r="E229" i="55"/>
  <c r="E228" i="55"/>
  <c r="E227" i="55"/>
  <c r="E226" i="55"/>
  <c r="E225" i="55"/>
  <c r="E224" i="55"/>
  <c r="E223" i="55"/>
  <c r="E222" i="55"/>
  <c r="E221" i="55"/>
  <c r="E220" i="55"/>
  <c r="E219" i="55"/>
  <c r="E218" i="55"/>
  <c r="E217" i="55"/>
  <c r="E216" i="55"/>
  <c r="E215" i="55"/>
  <c r="E214" i="55"/>
  <c r="E213" i="55"/>
  <c r="E212" i="55"/>
  <c r="E211" i="55"/>
  <c r="E210" i="55"/>
  <c r="E209" i="55"/>
  <c r="E208" i="55"/>
  <c r="E207" i="55"/>
  <c r="E206" i="55"/>
  <c r="E205" i="55"/>
  <c r="E204" i="55"/>
  <c r="E203" i="55"/>
  <c r="E202" i="55"/>
  <c r="E201" i="55"/>
  <c r="E200" i="55"/>
  <c r="E199" i="55"/>
  <c r="E198" i="55"/>
  <c r="E197" i="55"/>
  <c r="E196" i="55"/>
  <c r="E195" i="55"/>
  <c r="E194" i="55"/>
  <c r="E193" i="55"/>
  <c r="E192" i="55"/>
  <c r="E191" i="55"/>
  <c r="E190" i="55"/>
  <c r="E189" i="55"/>
  <c r="E188" i="55"/>
  <c r="E187" i="55"/>
  <c r="E186" i="55"/>
  <c r="E185" i="55"/>
  <c r="E184" i="55"/>
  <c r="E183" i="55"/>
  <c r="E182" i="55"/>
  <c r="E181" i="55"/>
  <c r="E180" i="55"/>
  <c r="E179" i="55"/>
  <c r="E178" i="55"/>
  <c r="E177" i="55"/>
  <c r="E176" i="55"/>
  <c r="E175" i="55"/>
  <c r="E174" i="55"/>
  <c r="E173" i="55"/>
  <c r="E172" i="55"/>
  <c r="E171" i="55"/>
  <c r="E170" i="55"/>
  <c r="E169" i="55"/>
  <c r="E168" i="55"/>
  <c r="E167" i="55"/>
  <c r="E166" i="55"/>
  <c r="E165" i="55"/>
  <c r="E164" i="55"/>
  <c r="E163" i="55"/>
  <c r="E162" i="55"/>
  <c r="E161" i="55"/>
  <c r="E160" i="55"/>
  <c r="E159" i="55"/>
  <c r="E158" i="55"/>
  <c r="E157" i="55"/>
  <c r="E156" i="55"/>
  <c r="E155" i="55"/>
  <c r="E154" i="55"/>
  <c r="E153" i="55"/>
  <c r="E152" i="55"/>
  <c r="E151" i="55"/>
  <c r="E150" i="55"/>
  <c r="E149" i="55"/>
  <c r="E148" i="55"/>
  <c r="E147" i="55"/>
  <c r="E146" i="55"/>
  <c r="E145" i="55"/>
  <c r="E144" i="55"/>
  <c r="E143" i="55"/>
  <c r="E142" i="55"/>
  <c r="E141" i="55"/>
  <c r="E140" i="55"/>
  <c r="E139" i="55"/>
  <c r="E138" i="55"/>
  <c r="E137" i="55"/>
  <c r="E136" i="55"/>
  <c r="E135" i="55"/>
  <c r="E134" i="55"/>
  <c r="E133" i="55"/>
  <c r="E132" i="55"/>
  <c r="E131" i="55"/>
  <c r="E130" i="55"/>
  <c r="E129" i="55"/>
  <c r="E128" i="55"/>
  <c r="E127" i="55"/>
  <c r="E126" i="55"/>
  <c r="E125" i="55"/>
  <c r="E124" i="55"/>
  <c r="E123" i="55"/>
  <c r="E122" i="55"/>
  <c r="E121" i="55"/>
  <c r="E120" i="55"/>
  <c r="E119" i="55"/>
  <c r="E118" i="55"/>
  <c r="E117" i="55"/>
  <c r="E116" i="55"/>
  <c r="E115" i="55"/>
  <c r="E114" i="55"/>
  <c r="E113" i="55"/>
  <c r="E112" i="55"/>
  <c r="E111" i="55"/>
  <c r="E110" i="55"/>
  <c r="E109" i="55"/>
  <c r="E108" i="55"/>
  <c r="E107" i="55"/>
  <c r="E106" i="55"/>
  <c r="E105" i="55"/>
  <c r="E104" i="55"/>
  <c r="E103" i="55"/>
  <c r="E102" i="55"/>
  <c r="E101" i="55"/>
  <c r="E100" i="55"/>
  <c r="E99" i="55"/>
  <c r="E98" i="55"/>
  <c r="E97" i="55"/>
  <c r="E96" i="55"/>
  <c r="E95" i="55"/>
  <c r="E94" i="55"/>
  <c r="E93" i="55"/>
  <c r="E92" i="55"/>
  <c r="E91" i="55"/>
  <c r="E90" i="55"/>
  <c r="E89" i="55"/>
  <c r="E88" i="55"/>
  <c r="E87" i="55"/>
  <c r="E86" i="55"/>
  <c r="E85" i="55"/>
  <c r="E84" i="55"/>
  <c r="E83" i="55"/>
  <c r="E82" i="55"/>
  <c r="E81" i="55"/>
  <c r="E80" i="55"/>
  <c r="E79" i="55"/>
  <c r="E78" i="55"/>
  <c r="E77" i="55"/>
  <c r="E76" i="55"/>
  <c r="E75" i="55"/>
  <c r="E74" i="55"/>
  <c r="E73" i="55"/>
  <c r="E72" i="55"/>
  <c r="E71" i="55"/>
  <c r="E70" i="55"/>
  <c r="E69" i="55"/>
  <c r="E68" i="55"/>
  <c r="E67" i="55"/>
  <c r="E66" i="55"/>
  <c r="E65" i="55"/>
  <c r="E64" i="55"/>
  <c r="E63" i="55"/>
  <c r="E62" i="55"/>
  <c r="E61" i="55"/>
  <c r="E60" i="55"/>
  <c r="E59" i="55"/>
  <c r="E58" i="55"/>
  <c r="E57" i="55"/>
  <c r="E56" i="55"/>
  <c r="E55" i="55"/>
  <c r="E54" i="55"/>
  <c r="E53" i="55"/>
  <c r="E52" i="55"/>
  <c r="E51" i="55"/>
  <c r="E50" i="55"/>
  <c r="E49" i="55"/>
  <c r="E48" i="55"/>
  <c r="E47" i="55"/>
  <c r="E46" i="55"/>
  <c r="E45" i="55"/>
  <c r="E44" i="55"/>
  <c r="E43" i="55"/>
  <c r="E42" i="55"/>
  <c r="E41" i="55"/>
  <c r="E40" i="55"/>
  <c r="E39" i="55"/>
  <c r="E38" i="55"/>
  <c r="E37" i="55"/>
  <c r="E36" i="55"/>
  <c r="E35" i="55"/>
  <c r="E34" i="55"/>
  <c r="E33" i="55"/>
  <c r="E32" i="55"/>
  <c r="E31" i="55"/>
  <c r="E30" i="55"/>
  <c r="E29" i="55"/>
  <c r="E28" i="55"/>
  <c r="E27" i="55"/>
  <c r="E26" i="55"/>
  <c r="E25" i="55"/>
  <c r="E24" i="55"/>
  <c r="E23" i="55"/>
  <c r="E22" i="55"/>
  <c r="E21" i="55"/>
  <c r="E20" i="55"/>
  <c r="E19" i="55"/>
  <c r="E18" i="55"/>
  <c r="E17" i="55"/>
  <c r="E16" i="55"/>
  <c r="E15" i="55"/>
  <c r="E14" i="55"/>
  <c r="E13" i="55"/>
  <c r="E12" i="55"/>
  <c r="E11" i="55"/>
  <c r="E10" i="55"/>
  <c r="E9" i="55"/>
  <c r="E7" i="55"/>
  <c r="E6" i="55"/>
  <c r="E5" i="55"/>
  <c r="E4" i="55"/>
  <c r="E3" i="55"/>
  <c r="B9" i="2"/>
  <c r="C8" i="2"/>
  <c r="C7" i="2"/>
  <c r="C10" i="2"/>
  <c r="B6" i="2"/>
  <c r="C3" i="21"/>
  <c r="C4" i="21"/>
  <c r="C2" i="21"/>
  <c r="B4" i="21"/>
  <c r="C5" i="48"/>
  <c r="C7" i="50"/>
  <c r="B4" i="47"/>
  <c r="C4" i="47"/>
  <c r="C6" i="31"/>
  <c r="C5" i="29"/>
  <c r="C3" i="31"/>
  <c r="F70" i="30"/>
  <c r="E70" i="30"/>
  <c r="F69" i="30"/>
  <c r="E69" i="30"/>
  <c r="F68" i="30"/>
  <c r="E68" i="30"/>
  <c r="F67" i="30"/>
  <c r="E67" i="30"/>
  <c r="F66" i="30"/>
  <c r="E66" i="30"/>
  <c r="F65" i="30"/>
  <c r="E65" i="30"/>
  <c r="F64" i="30"/>
  <c r="E64" i="30"/>
  <c r="F63" i="30"/>
  <c r="E63" i="30"/>
  <c r="F62" i="30"/>
  <c r="E62" i="30"/>
  <c r="F61" i="30"/>
  <c r="E61" i="30"/>
  <c r="F60" i="30"/>
  <c r="E60" i="30"/>
  <c r="F59" i="30"/>
  <c r="E59" i="30"/>
  <c r="F58" i="30"/>
  <c r="E58" i="30"/>
  <c r="F57" i="30"/>
  <c r="E57" i="30"/>
  <c r="F56" i="30"/>
  <c r="E56" i="30"/>
  <c r="F55" i="30"/>
  <c r="E55" i="30"/>
  <c r="F54" i="30"/>
  <c r="E54" i="30"/>
  <c r="F53" i="30"/>
  <c r="E53" i="30"/>
  <c r="F52" i="30"/>
  <c r="E52" i="30"/>
  <c r="F51" i="30"/>
  <c r="E51" i="30"/>
  <c r="F50" i="30"/>
  <c r="E50" i="30"/>
  <c r="F49" i="30"/>
  <c r="E49" i="30"/>
  <c r="F48" i="30"/>
  <c r="E48" i="30"/>
  <c r="F47" i="30"/>
  <c r="E47" i="30"/>
  <c r="F46" i="30"/>
  <c r="E46" i="30"/>
  <c r="F45" i="30"/>
  <c r="E45" i="30"/>
  <c r="F44" i="30"/>
  <c r="E44" i="30"/>
  <c r="F43" i="30"/>
  <c r="E43" i="30"/>
  <c r="F42" i="30"/>
  <c r="E42" i="30"/>
  <c r="F41" i="30"/>
  <c r="E41" i="30"/>
  <c r="F40" i="30"/>
  <c r="E40" i="30"/>
  <c r="F39" i="30"/>
  <c r="E39" i="30"/>
  <c r="F38" i="30"/>
  <c r="E38" i="30"/>
  <c r="F37" i="30"/>
  <c r="E37" i="30"/>
  <c r="F36" i="30"/>
  <c r="E36" i="30"/>
  <c r="F35" i="30"/>
  <c r="E35" i="30"/>
  <c r="F34" i="30"/>
  <c r="E34" i="30"/>
  <c r="F33" i="30"/>
  <c r="E33" i="30"/>
  <c r="F32" i="30"/>
  <c r="E32" i="30"/>
  <c r="F31" i="30"/>
  <c r="E31" i="30"/>
  <c r="F30" i="30"/>
  <c r="E30" i="30"/>
  <c r="F29" i="30"/>
  <c r="E29" i="30"/>
  <c r="F28" i="30"/>
  <c r="E28" i="30"/>
  <c r="F27" i="30"/>
  <c r="E27" i="30"/>
  <c r="F26" i="30"/>
  <c r="E26" i="30"/>
  <c r="F25" i="30"/>
  <c r="E25" i="30"/>
  <c r="F24" i="30"/>
  <c r="E24" i="30"/>
  <c r="F23" i="30"/>
  <c r="E23" i="30"/>
  <c r="F22" i="30"/>
  <c r="E22" i="30"/>
  <c r="F21" i="30"/>
  <c r="E21" i="30"/>
  <c r="F20" i="30"/>
  <c r="E20" i="30"/>
  <c r="F19" i="30"/>
  <c r="E19" i="30"/>
  <c r="F18" i="30"/>
  <c r="E18" i="30"/>
  <c r="F17" i="30"/>
  <c r="E17" i="30"/>
  <c r="F16" i="30"/>
  <c r="E16" i="30"/>
  <c r="F15" i="30"/>
  <c r="E15" i="30"/>
  <c r="F14" i="30"/>
  <c r="E14" i="30"/>
  <c r="F13" i="30"/>
  <c r="E13" i="30"/>
  <c r="E12" i="30"/>
  <c r="F70" i="28"/>
  <c r="E70" i="28"/>
  <c r="F69" i="28"/>
  <c r="E69" i="28"/>
  <c r="F68" i="28"/>
  <c r="E68" i="28"/>
  <c r="F67" i="28"/>
  <c r="E67" i="28"/>
  <c r="F66" i="28"/>
  <c r="E66" i="28"/>
  <c r="F65" i="28"/>
  <c r="E65" i="28"/>
  <c r="F64" i="28"/>
  <c r="E64" i="28"/>
  <c r="F63" i="28"/>
  <c r="E63" i="28"/>
  <c r="F62" i="28"/>
  <c r="E62" i="28"/>
  <c r="F61" i="28"/>
  <c r="E61" i="28"/>
  <c r="F60" i="28"/>
  <c r="E60" i="28"/>
  <c r="F59" i="28"/>
  <c r="E59" i="28"/>
  <c r="F58" i="28"/>
  <c r="E58" i="28"/>
  <c r="F57" i="28"/>
  <c r="E57" i="28"/>
  <c r="F56" i="28"/>
  <c r="E56" i="28"/>
  <c r="F55" i="28"/>
  <c r="E55" i="28"/>
  <c r="F54" i="28"/>
  <c r="E54" i="28"/>
  <c r="F53" i="28"/>
  <c r="E53" i="28"/>
  <c r="F52" i="28"/>
  <c r="E52" i="28"/>
  <c r="F51" i="28"/>
  <c r="E51" i="28"/>
  <c r="F50" i="28"/>
  <c r="E50" i="28"/>
  <c r="F49" i="28"/>
  <c r="E49" i="28"/>
  <c r="F48" i="28"/>
  <c r="E48" i="28"/>
  <c r="F47" i="28"/>
  <c r="E47" i="28"/>
  <c r="F46" i="28"/>
  <c r="E46" i="28"/>
  <c r="F45" i="28"/>
  <c r="E45" i="28"/>
  <c r="F44" i="28"/>
  <c r="E44" i="28"/>
  <c r="F43" i="28"/>
  <c r="E43" i="28"/>
  <c r="F42" i="28"/>
  <c r="E42" i="28"/>
  <c r="F41" i="28"/>
  <c r="E41" i="28"/>
  <c r="F40" i="28"/>
  <c r="E40" i="28"/>
  <c r="F39" i="28"/>
  <c r="E39" i="28"/>
  <c r="F38" i="28"/>
  <c r="E38" i="28"/>
  <c r="F37" i="28"/>
  <c r="E37" i="28"/>
  <c r="F36" i="28"/>
  <c r="E36" i="28"/>
  <c r="F35" i="28"/>
  <c r="E35" i="28"/>
  <c r="F34" i="28"/>
  <c r="E34" i="28"/>
  <c r="F33" i="28"/>
  <c r="E33" i="28"/>
  <c r="F32" i="28"/>
  <c r="E32" i="28"/>
  <c r="F31" i="28"/>
  <c r="E31" i="28"/>
  <c r="F30" i="28"/>
  <c r="E30" i="28"/>
  <c r="F29" i="28"/>
  <c r="E29" i="28"/>
  <c r="F28" i="28"/>
  <c r="E28" i="28"/>
  <c r="F27" i="28"/>
  <c r="E27" i="28"/>
  <c r="F26" i="28"/>
  <c r="E26" i="28"/>
  <c r="F25" i="28"/>
  <c r="E25" i="28"/>
  <c r="F24" i="28"/>
  <c r="E24" i="28"/>
  <c r="F23" i="28"/>
  <c r="E23" i="28"/>
  <c r="F22" i="28"/>
  <c r="E22" i="28"/>
  <c r="F21" i="28"/>
  <c r="E21" i="28"/>
  <c r="F20" i="28"/>
  <c r="E20" i="28"/>
  <c r="F19" i="28"/>
  <c r="E19" i="28"/>
  <c r="F18" i="28"/>
  <c r="E18" i="28"/>
  <c r="F17" i="28"/>
  <c r="E17" i="28"/>
  <c r="F16" i="28"/>
  <c r="E16" i="28"/>
  <c r="F15" i="28"/>
  <c r="E15" i="28"/>
  <c r="F14" i="28"/>
  <c r="E14" i="28"/>
  <c r="F13" i="28"/>
  <c r="E13" i="28"/>
  <c r="F12" i="28"/>
  <c r="J13" i="28" a="1"/>
  <c r="E12" i="28"/>
  <c r="D9" i="13"/>
  <c r="C9" i="13"/>
  <c r="B9" i="13"/>
  <c r="B5" i="25"/>
  <c r="D5" i="25"/>
  <c r="K3" i="28"/>
  <c r="G13" i="30"/>
  <c r="J9" i="28"/>
  <c r="E11" i="13"/>
  <c r="K4" i="28"/>
  <c r="C12" i="26"/>
  <c r="C4" i="30"/>
  <c r="B5" i="30"/>
  <c r="G13" i="28"/>
  <c r="C16" i="8"/>
  <c r="C2" i="30"/>
  <c r="G12" i="28"/>
  <c r="C3" i="30"/>
  <c r="C2" i="28"/>
  <c r="E5" i="25"/>
  <c r="C3" i="28"/>
  <c r="C5" i="28"/>
  <c r="B6" i="30"/>
  <c r="F3" i="8"/>
  <c r="C14" i="8"/>
  <c r="C5" i="26"/>
  <c r="G11" i="28"/>
  <c r="G12" i="30"/>
  <c r="C5" i="30"/>
  <c r="C4" i="28"/>
  <c r="C6" i="30"/>
  <c r="C6" i="28"/>
  <c r="G11" i="30"/>
  <c r="C11" i="26"/>
  <c r="K5" i="28"/>
  <c r="D11" i="13"/>
  <c r="B4" i="30"/>
  <c r="B2" i="30"/>
  <c r="B4" i="28"/>
  <c r="K16" i="28"/>
  <c r="K14" i="28"/>
  <c r="J16" i="28"/>
  <c r="J14" i="28"/>
  <c r="K17" i="28"/>
  <c r="K15" i="28"/>
  <c r="K13" i="28"/>
  <c r="J17" i="28"/>
  <c r="J15" i="28"/>
  <c r="J13" i="28"/>
  <c r="B10" i="2"/>
  <c r="B9" i="24"/>
  <c r="D29" i="20"/>
  <c r="D35" i="18"/>
  <c r="D45" i="20"/>
  <c r="D51" i="18"/>
  <c r="D61" i="20"/>
  <c r="D67" i="18"/>
  <c r="D77" i="20"/>
  <c r="D83" i="18"/>
  <c r="D93" i="20"/>
  <c r="D99" i="18"/>
  <c r="D109" i="20"/>
  <c r="D115" i="18"/>
  <c r="D125" i="20"/>
  <c r="D131" i="18"/>
  <c r="D141" i="20"/>
  <c r="D147" i="18"/>
  <c r="D157" i="20"/>
  <c r="D163" i="18"/>
  <c r="D173" i="20"/>
  <c r="D179" i="18"/>
  <c r="D193" i="20"/>
  <c r="D199" i="18"/>
  <c r="C5" i="20"/>
  <c r="D5" i="20"/>
  <c r="D11" i="18"/>
  <c r="C6" i="20"/>
  <c r="D6" i="20"/>
  <c r="D12" i="18"/>
  <c r="C7" i="20"/>
  <c r="D7" i="20"/>
  <c r="D13" i="18"/>
  <c r="C8" i="20"/>
  <c r="D8" i="20"/>
  <c r="D14" i="18"/>
  <c r="C9" i="20"/>
  <c r="D9" i="20"/>
  <c r="D15" i="18"/>
  <c r="C10" i="20"/>
  <c r="D10" i="20"/>
  <c r="D16" i="18"/>
  <c r="C11" i="20"/>
  <c r="D11" i="20"/>
  <c r="D17" i="18"/>
  <c r="C12" i="20"/>
  <c r="D12" i="20"/>
  <c r="D18" i="18"/>
  <c r="C13" i="20"/>
  <c r="D13" i="20"/>
  <c r="D19" i="18"/>
  <c r="C14" i="20"/>
  <c r="D14" i="20"/>
  <c r="D20" i="18"/>
  <c r="C15" i="20"/>
  <c r="D15" i="20"/>
  <c r="D21" i="18"/>
  <c r="C16" i="20"/>
  <c r="D16" i="20"/>
  <c r="D22" i="18"/>
  <c r="C17" i="20"/>
  <c r="D17" i="20"/>
  <c r="D23" i="18"/>
  <c r="C18" i="20"/>
  <c r="D18" i="20"/>
  <c r="D24" i="18"/>
  <c r="C19" i="20"/>
  <c r="D19" i="20"/>
  <c r="D25" i="18"/>
  <c r="C20" i="20"/>
  <c r="D20" i="20"/>
  <c r="D26" i="18"/>
  <c r="C21" i="20"/>
  <c r="D21" i="20"/>
  <c r="D27" i="18"/>
  <c r="C22" i="20"/>
  <c r="D22" i="20"/>
  <c r="D28" i="18"/>
  <c r="C23" i="20"/>
  <c r="D23" i="20"/>
  <c r="D29" i="18"/>
  <c r="C24" i="20"/>
  <c r="D24" i="20"/>
  <c r="D30" i="18"/>
  <c r="C25" i="20"/>
  <c r="D25" i="20"/>
  <c r="D31" i="18"/>
  <c r="C26" i="20"/>
  <c r="D26" i="20"/>
  <c r="D32" i="18"/>
  <c r="C27" i="20"/>
  <c r="D27" i="20"/>
  <c r="D33" i="18"/>
  <c r="C28" i="20"/>
  <c r="D28" i="20"/>
  <c r="D34" i="18"/>
  <c r="C29" i="20"/>
  <c r="C30" i="20"/>
  <c r="D30" i="20"/>
  <c r="D36" i="18"/>
  <c r="C31" i="20"/>
  <c r="D31" i="20"/>
  <c r="D37" i="18"/>
  <c r="C32" i="20"/>
  <c r="D32" i="20"/>
  <c r="D38" i="18"/>
  <c r="C33" i="20"/>
  <c r="D33" i="20"/>
  <c r="D39" i="18"/>
  <c r="C34" i="20"/>
  <c r="D34" i="20"/>
  <c r="D40" i="18"/>
  <c r="C35" i="20"/>
  <c r="D35" i="20"/>
  <c r="D41" i="18"/>
  <c r="C36" i="20"/>
  <c r="D36" i="20"/>
  <c r="D42" i="18"/>
  <c r="C37" i="20"/>
  <c r="D37" i="20"/>
  <c r="D43" i="18"/>
  <c r="C38" i="20"/>
  <c r="D38" i="20"/>
  <c r="D44" i="18"/>
  <c r="C39" i="20"/>
  <c r="D39" i="20"/>
  <c r="D45" i="18"/>
  <c r="C40" i="20"/>
  <c r="D40" i="20"/>
  <c r="D46" i="18"/>
  <c r="C41" i="20"/>
  <c r="D41" i="20"/>
  <c r="D47" i="18"/>
  <c r="C42" i="20"/>
  <c r="D42" i="20"/>
  <c r="D48" i="18"/>
  <c r="C43" i="20"/>
  <c r="D43" i="20"/>
  <c r="D49" i="18"/>
  <c r="C44" i="20"/>
  <c r="D44" i="20"/>
  <c r="D50" i="18"/>
  <c r="C45" i="20"/>
  <c r="C46" i="20"/>
  <c r="D46" i="20"/>
  <c r="D52" i="18"/>
  <c r="C47" i="20"/>
  <c r="D47" i="20"/>
  <c r="D53" i="18"/>
  <c r="C48" i="20"/>
  <c r="D48" i="20"/>
  <c r="D54" i="18"/>
  <c r="C49" i="20"/>
  <c r="D49" i="20"/>
  <c r="D55" i="18"/>
  <c r="C50" i="20"/>
  <c r="D50" i="20"/>
  <c r="D56" i="18"/>
  <c r="C51" i="20"/>
  <c r="D51" i="20"/>
  <c r="D57" i="18"/>
  <c r="C52" i="20"/>
  <c r="D52" i="20"/>
  <c r="D58" i="18"/>
  <c r="C53" i="20"/>
  <c r="D53" i="20"/>
  <c r="D59" i="18"/>
  <c r="C54" i="20"/>
  <c r="D54" i="20"/>
  <c r="D60" i="18"/>
  <c r="C55" i="20"/>
  <c r="D55" i="20"/>
  <c r="D61" i="18"/>
  <c r="C56" i="20"/>
  <c r="D56" i="20"/>
  <c r="D62" i="18"/>
  <c r="C57" i="20"/>
  <c r="D57" i="20"/>
  <c r="D63" i="18"/>
  <c r="C58" i="20"/>
  <c r="D58" i="20"/>
  <c r="D64" i="18"/>
  <c r="C59" i="20"/>
  <c r="D59" i="20"/>
  <c r="D65" i="18"/>
  <c r="C60" i="20"/>
  <c r="D60" i="20"/>
  <c r="D66" i="18"/>
  <c r="C61" i="20"/>
  <c r="C62" i="20"/>
  <c r="D62" i="20"/>
  <c r="D68" i="18"/>
  <c r="C63" i="20"/>
  <c r="D63" i="20"/>
  <c r="D69" i="18"/>
  <c r="C64" i="20"/>
  <c r="D64" i="20"/>
  <c r="D70" i="18"/>
  <c r="C65" i="20"/>
  <c r="D65" i="20"/>
  <c r="D71" i="18"/>
  <c r="C66" i="20"/>
  <c r="D66" i="20"/>
  <c r="D72" i="18"/>
  <c r="C67" i="20"/>
  <c r="D67" i="20"/>
  <c r="D73" i="18"/>
  <c r="C68" i="20"/>
  <c r="D68" i="20"/>
  <c r="D74" i="18"/>
  <c r="C69" i="20"/>
  <c r="D69" i="20"/>
  <c r="D75" i="18"/>
  <c r="C70" i="20"/>
  <c r="D70" i="20"/>
  <c r="D76" i="18"/>
  <c r="C71" i="20"/>
  <c r="D71" i="20"/>
  <c r="D77" i="18"/>
  <c r="C72" i="20"/>
  <c r="D72" i="20"/>
  <c r="D78" i="18"/>
  <c r="C73" i="20"/>
  <c r="D73" i="20"/>
  <c r="D79" i="18"/>
  <c r="C74" i="20"/>
  <c r="D74" i="20"/>
  <c r="D80" i="18"/>
  <c r="C75" i="20"/>
  <c r="D75" i="20"/>
  <c r="D81" i="18"/>
  <c r="C76" i="20"/>
  <c r="D76" i="20"/>
  <c r="D82" i="18"/>
  <c r="C77" i="20"/>
  <c r="C78" i="20"/>
  <c r="D78" i="20"/>
  <c r="D84" i="18"/>
  <c r="C79" i="20"/>
  <c r="D79" i="20"/>
  <c r="D85" i="18"/>
  <c r="C80" i="20"/>
  <c r="D80" i="20"/>
  <c r="D86" i="18"/>
  <c r="C81" i="20"/>
  <c r="D81" i="20"/>
  <c r="D87" i="18"/>
  <c r="C82" i="20"/>
  <c r="D82" i="20"/>
  <c r="D88" i="18"/>
  <c r="C83" i="20"/>
  <c r="D83" i="20"/>
  <c r="D89" i="18"/>
  <c r="C84" i="20"/>
  <c r="D84" i="20"/>
  <c r="D90" i="18"/>
  <c r="C85" i="20"/>
  <c r="D85" i="20"/>
  <c r="D91" i="18"/>
  <c r="C86" i="20"/>
  <c r="D86" i="20"/>
  <c r="D92" i="18"/>
  <c r="C87" i="20"/>
  <c r="D87" i="20"/>
  <c r="D93" i="18"/>
  <c r="C88" i="20"/>
  <c r="D88" i="20"/>
  <c r="D94" i="18"/>
  <c r="C89" i="20"/>
  <c r="D89" i="20"/>
  <c r="D95" i="18"/>
  <c r="C90" i="20"/>
  <c r="D90" i="20"/>
  <c r="D96" i="18"/>
  <c r="C91" i="20"/>
  <c r="D91" i="20"/>
  <c r="D97" i="18"/>
  <c r="C92" i="20"/>
  <c r="D92" i="20"/>
  <c r="D98" i="18"/>
  <c r="C93" i="20"/>
  <c r="C94" i="20"/>
  <c r="D94" i="20"/>
  <c r="D100" i="18"/>
  <c r="C95" i="20"/>
  <c r="D95" i="20"/>
  <c r="D101" i="18"/>
  <c r="C96" i="20"/>
  <c r="D96" i="20"/>
  <c r="D102" i="18"/>
  <c r="C97" i="20"/>
  <c r="D97" i="20"/>
  <c r="D103" i="18"/>
  <c r="C98" i="20"/>
  <c r="D98" i="20"/>
  <c r="D104" i="18"/>
  <c r="C99" i="20"/>
  <c r="D99" i="20"/>
  <c r="D105" i="18"/>
  <c r="C100" i="20"/>
  <c r="D100" i="20"/>
  <c r="D106" i="18"/>
  <c r="C101" i="20"/>
  <c r="D101" i="20"/>
  <c r="D107" i="18"/>
  <c r="C102" i="20"/>
  <c r="D102" i="20"/>
  <c r="D108" i="18"/>
  <c r="C103" i="20"/>
  <c r="D103" i="20"/>
  <c r="D109" i="18"/>
  <c r="C104" i="20"/>
  <c r="D104" i="20"/>
  <c r="D110" i="18"/>
  <c r="C105" i="20"/>
  <c r="D105" i="20"/>
  <c r="D111" i="18"/>
  <c r="C106" i="20"/>
  <c r="D106" i="20"/>
  <c r="D112" i="18"/>
  <c r="C107" i="20"/>
  <c r="D107" i="20"/>
  <c r="D113" i="18"/>
  <c r="C108" i="20"/>
  <c r="D108" i="20"/>
  <c r="D114" i="18"/>
  <c r="C109" i="20"/>
  <c r="C110" i="20"/>
  <c r="D110" i="20"/>
  <c r="D116" i="18"/>
  <c r="C111" i="20"/>
  <c r="D111" i="20"/>
  <c r="D117" i="18"/>
  <c r="C112" i="20"/>
  <c r="D112" i="20"/>
  <c r="D118" i="18"/>
  <c r="C113" i="20"/>
  <c r="D113" i="20"/>
  <c r="D119" i="18"/>
  <c r="C114" i="20"/>
  <c r="D114" i="20"/>
  <c r="D120" i="18"/>
  <c r="C115" i="20"/>
  <c r="D115" i="20"/>
  <c r="D121" i="18"/>
  <c r="C116" i="20"/>
  <c r="D116" i="20"/>
  <c r="D122" i="18"/>
  <c r="C117" i="20"/>
  <c r="D117" i="20"/>
  <c r="D123" i="18"/>
  <c r="C118" i="20"/>
  <c r="D118" i="20"/>
  <c r="D124" i="18"/>
  <c r="C119" i="20"/>
  <c r="D119" i="20"/>
  <c r="D125" i="18"/>
  <c r="C120" i="20"/>
  <c r="D120" i="20"/>
  <c r="D126" i="18"/>
  <c r="C121" i="20"/>
  <c r="D121" i="20"/>
  <c r="D127" i="18"/>
  <c r="C122" i="20"/>
  <c r="D122" i="20"/>
  <c r="D128" i="18"/>
  <c r="C123" i="20"/>
  <c r="D123" i="20"/>
  <c r="D129" i="18"/>
  <c r="C124" i="20"/>
  <c r="D124" i="20"/>
  <c r="D130" i="18"/>
  <c r="C125" i="20"/>
  <c r="C126" i="20"/>
  <c r="D126" i="20"/>
  <c r="D132" i="18"/>
  <c r="C127" i="20"/>
  <c r="D127" i="20"/>
  <c r="D133" i="18"/>
  <c r="C128" i="20"/>
  <c r="D128" i="20"/>
  <c r="D134" i="18"/>
  <c r="C129" i="20"/>
  <c r="D129" i="20"/>
  <c r="D135" i="18"/>
  <c r="C130" i="20"/>
  <c r="D130" i="20"/>
  <c r="D136" i="18"/>
  <c r="C131" i="20"/>
  <c r="D131" i="20"/>
  <c r="D137" i="18"/>
  <c r="C132" i="20"/>
  <c r="D132" i="20"/>
  <c r="D138" i="18"/>
  <c r="C133" i="20"/>
  <c r="D133" i="20"/>
  <c r="D139" i="18"/>
  <c r="C134" i="20"/>
  <c r="D134" i="20"/>
  <c r="D140" i="18"/>
  <c r="C135" i="20"/>
  <c r="D135" i="20"/>
  <c r="D141" i="18"/>
  <c r="C136" i="20"/>
  <c r="D136" i="20"/>
  <c r="D142" i="18"/>
  <c r="C137" i="20"/>
  <c r="D137" i="20"/>
  <c r="D143" i="18"/>
  <c r="C138" i="20"/>
  <c r="D138" i="20"/>
  <c r="D144" i="18"/>
  <c r="C139" i="20"/>
  <c r="D139" i="20"/>
  <c r="D145" i="18"/>
  <c r="C140" i="20"/>
  <c r="D140" i="20"/>
  <c r="D146" i="18"/>
  <c r="C141" i="20"/>
  <c r="C142" i="20"/>
  <c r="D142" i="20"/>
  <c r="D148" i="18"/>
  <c r="C143" i="20"/>
  <c r="D143" i="20"/>
  <c r="D149" i="18"/>
  <c r="C144" i="20"/>
  <c r="D144" i="20"/>
  <c r="D150" i="18"/>
  <c r="C145" i="20"/>
  <c r="D145" i="20"/>
  <c r="D151" i="18"/>
  <c r="C146" i="20"/>
  <c r="D146" i="20"/>
  <c r="D152" i="18"/>
  <c r="C147" i="20"/>
  <c r="D147" i="20"/>
  <c r="D153" i="18"/>
  <c r="C148" i="20"/>
  <c r="D148" i="20"/>
  <c r="D154" i="18"/>
  <c r="C149" i="20"/>
  <c r="D149" i="20"/>
  <c r="D155" i="18"/>
  <c r="C150" i="20"/>
  <c r="D150" i="20"/>
  <c r="D156" i="18"/>
  <c r="C151" i="20"/>
  <c r="D151" i="20"/>
  <c r="D157" i="18"/>
  <c r="C152" i="20"/>
  <c r="D152" i="20"/>
  <c r="D158" i="18"/>
  <c r="C153" i="20"/>
  <c r="D153" i="20"/>
  <c r="D159" i="18"/>
  <c r="C154" i="20"/>
  <c r="D154" i="20"/>
  <c r="D160" i="18"/>
  <c r="C155" i="20"/>
  <c r="D155" i="20"/>
  <c r="D161" i="18"/>
  <c r="C156" i="20"/>
  <c r="D156" i="20"/>
  <c r="D162" i="18"/>
  <c r="C157" i="20"/>
  <c r="C158" i="20"/>
  <c r="D158" i="20"/>
  <c r="D164" i="18"/>
  <c r="C159" i="20"/>
  <c r="D159" i="20"/>
  <c r="D165" i="18"/>
  <c r="C160" i="20"/>
  <c r="D160" i="20"/>
  <c r="D166" i="18"/>
  <c r="C161" i="20"/>
  <c r="D161" i="20"/>
  <c r="D167" i="18"/>
  <c r="C162" i="20"/>
  <c r="D162" i="20"/>
  <c r="D168" i="18"/>
  <c r="C163" i="20"/>
  <c r="D163" i="20"/>
  <c r="D169" i="18"/>
  <c r="C164" i="20"/>
  <c r="D164" i="20"/>
  <c r="D170" i="18"/>
  <c r="C165" i="20"/>
  <c r="D165" i="20"/>
  <c r="D171" i="18"/>
  <c r="C166" i="20"/>
  <c r="D166" i="20"/>
  <c r="D172" i="18"/>
  <c r="C167" i="20"/>
  <c r="D167" i="20"/>
  <c r="D173" i="18"/>
  <c r="C168" i="20"/>
  <c r="D168" i="20"/>
  <c r="D174" i="18"/>
  <c r="C169" i="20"/>
  <c r="D169" i="20"/>
  <c r="D175" i="18"/>
  <c r="C170" i="20"/>
  <c r="D170" i="20"/>
  <c r="D176" i="18"/>
  <c r="C171" i="20"/>
  <c r="D171" i="20"/>
  <c r="D177" i="18"/>
  <c r="C172" i="20"/>
  <c r="D172" i="20"/>
  <c r="D178" i="18"/>
  <c r="C173" i="20"/>
  <c r="C174" i="20"/>
  <c r="D174" i="20"/>
  <c r="D180" i="18"/>
  <c r="C175" i="20"/>
  <c r="D175" i="20"/>
  <c r="D181" i="18"/>
  <c r="C176" i="20"/>
  <c r="D176" i="20"/>
  <c r="D182" i="18"/>
  <c r="C177" i="20"/>
  <c r="D177" i="20"/>
  <c r="D183" i="18"/>
  <c r="C178" i="20"/>
  <c r="D178" i="20"/>
  <c r="D184" i="18"/>
  <c r="C179" i="20"/>
  <c r="D179" i="20"/>
  <c r="D185" i="18"/>
  <c r="C180" i="20"/>
  <c r="D180" i="20"/>
  <c r="D186" i="18"/>
  <c r="C181" i="20"/>
  <c r="D181" i="20"/>
  <c r="D187" i="18"/>
  <c r="C182" i="20"/>
  <c r="D182" i="20"/>
  <c r="D188" i="18"/>
  <c r="C183" i="20"/>
  <c r="D183" i="20"/>
  <c r="D189" i="18"/>
  <c r="C184" i="20"/>
  <c r="D184" i="20"/>
  <c r="D190" i="18"/>
  <c r="C185" i="20"/>
  <c r="D185" i="20"/>
  <c r="D191" i="18"/>
  <c r="C186" i="20"/>
  <c r="D186" i="20"/>
  <c r="D192" i="18"/>
  <c r="C187" i="20"/>
  <c r="D187" i="20"/>
  <c r="D193" i="18"/>
  <c r="C188" i="20"/>
  <c r="D188" i="20"/>
  <c r="D194" i="18"/>
  <c r="C189" i="20"/>
  <c r="D189" i="20"/>
  <c r="D195" i="18"/>
  <c r="C190" i="20"/>
  <c r="D190" i="20"/>
  <c r="D196" i="18"/>
  <c r="C191" i="20"/>
  <c r="D191" i="20"/>
  <c r="D197" i="18"/>
  <c r="C192" i="20"/>
  <c r="D192" i="20"/>
  <c r="D198" i="18"/>
  <c r="C193" i="20"/>
  <c r="C194" i="20"/>
  <c r="D194" i="20"/>
  <c r="D200" i="18"/>
  <c r="C195" i="20"/>
  <c r="D195" i="20"/>
  <c r="D201" i="18"/>
  <c r="C196" i="20"/>
  <c r="D196" i="20"/>
  <c r="D202" i="18"/>
  <c r="C197" i="20"/>
  <c r="D197" i="20"/>
  <c r="D203" i="18"/>
  <c r="C198" i="20"/>
  <c r="D198" i="20"/>
  <c r="D204" i="18"/>
  <c r="C199" i="20"/>
  <c r="D199" i="20"/>
  <c r="D205" i="18"/>
  <c r="C200" i="20"/>
  <c r="D200" i="20"/>
  <c r="D206" i="18"/>
  <c r="C201" i="20"/>
  <c r="D201" i="20"/>
  <c r="D207" i="18"/>
  <c r="C202" i="20"/>
  <c r="D202" i="20"/>
  <c r="D208" i="18"/>
  <c r="C203" i="20"/>
  <c r="D203" i="20"/>
  <c r="D209" i="18"/>
  <c r="C204" i="20"/>
  <c r="D204" i="20"/>
  <c r="D210" i="18"/>
  <c r="C205" i="20"/>
  <c r="D205" i="20"/>
  <c r="D211" i="18"/>
  <c r="C206" i="20"/>
  <c r="D206" i="20"/>
  <c r="D212" i="18"/>
  <c r="C207" i="20"/>
  <c r="D207" i="20"/>
  <c r="D213" i="18"/>
  <c r="C208" i="20"/>
  <c r="D208" i="20"/>
  <c r="D214" i="18"/>
  <c r="C209" i="20"/>
  <c r="D209" i="20"/>
  <c r="D215" i="18"/>
  <c r="C210" i="20"/>
  <c r="D210" i="20"/>
  <c r="D216" i="18"/>
  <c r="C211" i="20"/>
  <c r="D211" i="20"/>
  <c r="D217" i="18"/>
  <c r="C212" i="20"/>
  <c r="D212" i="20"/>
  <c r="D218" i="18"/>
  <c r="C213" i="20"/>
  <c r="D213" i="20"/>
  <c r="D219" i="18"/>
  <c r="C214" i="20"/>
  <c r="D214" i="20"/>
  <c r="D220" i="18"/>
  <c r="C215" i="20"/>
  <c r="D215" i="20"/>
  <c r="D221" i="18"/>
  <c r="C216" i="20"/>
  <c r="D216" i="20"/>
  <c r="D222" i="18"/>
  <c r="C217" i="20"/>
  <c r="D217" i="20"/>
  <c r="D223" i="18"/>
  <c r="C218" i="20"/>
  <c r="D218" i="20"/>
  <c r="D224" i="18"/>
  <c r="C219" i="20"/>
  <c r="D219" i="20"/>
  <c r="D225" i="18"/>
  <c r="C220" i="20"/>
  <c r="D220" i="20"/>
  <c r="D226" i="18"/>
  <c r="C221" i="20"/>
  <c r="D221" i="20"/>
  <c r="D227" i="18"/>
  <c r="C222" i="20"/>
  <c r="D222" i="20"/>
  <c r="D228" i="18"/>
  <c r="C223" i="20"/>
  <c r="D223" i="20"/>
  <c r="D229" i="18"/>
  <c r="C224" i="20"/>
  <c r="D224" i="20"/>
  <c r="D230" i="18"/>
  <c r="C225" i="20"/>
  <c r="D225" i="20"/>
  <c r="D231" i="18"/>
  <c r="C226" i="20"/>
  <c r="D226" i="20"/>
  <c r="D232" i="18"/>
  <c r="C227" i="20"/>
  <c r="D227" i="20"/>
  <c r="D233" i="18"/>
  <c r="C228" i="20"/>
  <c r="D228" i="20"/>
  <c r="D234" i="18"/>
  <c r="C229" i="20"/>
  <c r="D229" i="20"/>
  <c r="D235" i="18"/>
  <c r="C230" i="20"/>
  <c r="D230" i="20"/>
  <c r="D236" i="18"/>
  <c r="C231" i="20"/>
  <c r="D231" i="20"/>
  <c r="D237" i="18"/>
  <c r="C232" i="20"/>
  <c r="D232" i="20"/>
  <c r="D238" i="18"/>
  <c r="C233" i="20"/>
  <c r="D233" i="20"/>
  <c r="D239" i="18"/>
  <c r="C234" i="20"/>
  <c r="D234" i="20"/>
  <c r="D240" i="18"/>
  <c r="C235" i="20"/>
  <c r="D235" i="20"/>
  <c r="D241" i="18"/>
  <c r="C236" i="20"/>
  <c r="D236" i="20"/>
  <c r="D242" i="18"/>
  <c r="C237" i="20"/>
  <c r="D237" i="20"/>
  <c r="D243" i="18"/>
  <c r="C238" i="20"/>
  <c r="D238" i="20"/>
  <c r="D244" i="18"/>
  <c r="C239" i="20"/>
  <c r="D239" i="20"/>
  <c r="D245" i="18"/>
  <c r="C240" i="20"/>
  <c r="D240" i="20"/>
  <c r="D246" i="18"/>
  <c r="C241" i="20"/>
  <c r="D241" i="20"/>
  <c r="D247" i="18"/>
  <c r="C242" i="20"/>
  <c r="D242" i="20"/>
  <c r="D248" i="18"/>
  <c r="C243" i="20"/>
  <c r="D243" i="20"/>
  <c r="D249" i="18"/>
  <c r="C244" i="20"/>
  <c r="D244" i="20"/>
  <c r="D250" i="18"/>
  <c r="C245" i="20"/>
  <c r="D245" i="20"/>
  <c r="D251" i="18"/>
  <c r="C246" i="20"/>
  <c r="D246" i="20"/>
  <c r="D252" i="18"/>
  <c r="C247" i="20"/>
  <c r="D247" i="20"/>
  <c r="D253" i="18"/>
  <c r="C248" i="20"/>
  <c r="D248" i="20"/>
  <c r="D254" i="18"/>
  <c r="C249" i="20"/>
  <c r="D249" i="20"/>
  <c r="D255" i="18"/>
  <c r="C250" i="20"/>
  <c r="D250" i="20"/>
  <c r="D256" i="18"/>
  <c r="C251" i="20"/>
  <c r="D251" i="20"/>
  <c r="D257" i="18"/>
  <c r="C252" i="20"/>
  <c r="D252" i="20"/>
  <c r="D258" i="18"/>
  <c r="C253" i="20"/>
  <c r="D253" i="20"/>
  <c r="D259" i="18"/>
  <c r="C254" i="20"/>
  <c r="D254" i="20"/>
  <c r="D260" i="18"/>
  <c r="C255" i="20"/>
  <c r="D255" i="20"/>
  <c r="D261" i="18"/>
  <c r="C256" i="20"/>
  <c r="D256" i="20"/>
  <c r="D262" i="18"/>
  <c r="C257" i="20"/>
  <c r="D257" i="20"/>
  <c r="D263" i="18"/>
  <c r="C258" i="20"/>
  <c r="D258" i="20"/>
  <c r="D264" i="18"/>
  <c r="C259" i="20"/>
  <c r="D259" i="20"/>
  <c r="D265" i="18"/>
  <c r="C260" i="20"/>
  <c r="D260" i="20"/>
  <c r="D266" i="18"/>
  <c r="C261" i="20"/>
  <c r="D261" i="20"/>
  <c r="D267" i="18"/>
  <c r="C262" i="20"/>
  <c r="D262" i="20"/>
  <c r="D268" i="18"/>
  <c r="C263" i="20"/>
  <c r="D263" i="20"/>
  <c r="D269" i="18"/>
  <c r="C264" i="20"/>
  <c r="D264" i="20"/>
  <c r="D270" i="18"/>
  <c r="C265" i="20"/>
  <c r="D265" i="20"/>
  <c r="D271" i="18"/>
  <c r="C266" i="20"/>
  <c r="D266" i="20"/>
  <c r="D272" i="18"/>
  <c r="C267" i="20"/>
  <c r="D267" i="20"/>
  <c r="D273" i="18"/>
  <c r="C268" i="20"/>
  <c r="D268" i="20"/>
  <c r="D274" i="18"/>
  <c r="C269" i="20"/>
  <c r="D269" i="20"/>
  <c r="D275" i="18"/>
  <c r="C270" i="20"/>
  <c r="D270" i="20"/>
  <c r="D276" i="18"/>
  <c r="C271" i="20"/>
  <c r="D271" i="20"/>
  <c r="D277" i="18"/>
  <c r="C272" i="20"/>
  <c r="D272" i="20"/>
  <c r="D278" i="18"/>
  <c r="C273" i="20"/>
  <c r="D273" i="20"/>
  <c r="D279" i="18"/>
  <c r="C274" i="20"/>
  <c r="D274" i="20"/>
  <c r="D280" i="18"/>
  <c r="C275" i="20"/>
  <c r="D275" i="20"/>
  <c r="D281" i="18"/>
  <c r="C276" i="20"/>
  <c r="D276" i="20"/>
  <c r="D282" i="18"/>
  <c r="C277" i="20"/>
  <c r="D277" i="20"/>
  <c r="D283" i="18"/>
  <c r="C278" i="20"/>
  <c r="D278" i="20"/>
  <c r="D284" i="18"/>
  <c r="C279" i="20"/>
  <c r="D279" i="20"/>
  <c r="D285" i="18"/>
  <c r="C280" i="20"/>
  <c r="D280" i="20"/>
  <c r="D286" i="18"/>
  <c r="C281" i="20"/>
  <c r="D281" i="20"/>
  <c r="D287" i="18"/>
  <c r="C282" i="20"/>
  <c r="D282" i="20"/>
  <c r="D288" i="18"/>
  <c r="C283" i="20"/>
  <c r="D283" i="20"/>
  <c r="D289" i="18"/>
  <c r="C284" i="20"/>
  <c r="D284" i="20"/>
  <c r="D290" i="18"/>
  <c r="C285" i="20"/>
  <c r="D285" i="20"/>
  <c r="D291" i="18"/>
  <c r="C286" i="20"/>
  <c r="D286" i="20"/>
  <c r="D292" i="18"/>
  <c r="C287" i="20"/>
  <c r="D287" i="20"/>
  <c r="D293" i="18"/>
  <c r="C288" i="20"/>
  <c r="D288" i="20"/>
  <c r="D294" i="18"/>
  <c r="C289" i="20"/>
  <c r="D289" i="20"/>
  <c r="D295" i="18"/>
  <c r="C290" i="20"/>
  <c r="D290" i="20"/>
  <c r="D296" i="18"/>
  <c r="C291" i="20"/>
  <c r="D291" i="20"/>
  <c r="D297" i="18"/>
  <c r="C292" i="20"/>
  <c r="D292" i="20"/>
  <c r="D298" i="18"/>
  <c r="C293" i="20"/>
  <c r="D293" i="20"/>
  <c r="D299" i="18"/>
  <c r="C294" i="20"/>
  <c r="D294" i="20"/>
  <c r="D300" i="18"/>
  <c r="C295" i="20"/>
  <c r="D295" i="20"/>
  <c r="D301" i="18"/>
  <c r="C296" i="20"/>
  <c r="D296" i="20"/>
  <c r="D302" i="18"/>
  <c r="C297" i="20"/>
  <c r="D297" i="20"/>
  <c r="D303" i="18"/>
  <c r="C298" i="20"/>
  <c r="D298" i="20"/>
  <c r="D304" i="18"/>
  <c r="C299" i="20"/>
  <c r="D299" i="20"/>
  <c r="D305" i="18"/>
  <c r="C300" i="20"/>
  <c r="D300" i="20"/>
  <c r="D306" i="18"/>
  <c r="E306" i="18"/>
  <c r="C301" i="20"/>
  <c r="D301" i="20"/>
  <c r="D307" i="18"/>
  <c r="C302" i="20"/>
  <c r="D302" i="20"/>
  <c r="D308" i="18"/>
  <c r="C303" i="20"/>
  <c r="D303" i="20"/>
  <c r="D309" i="18"/>
  <c r="C304" i="20"/>
  <c r="D304" i="20"/>
  <c r="D310" i="18"/>
  <c r="E310" i="18"/>
  <c r="C305" i="20"/>
  <c r="D305" i="20"/>
  <c r="D311" i="18"/>
  <c r="C4" i="20"/>
  <c r="D4" i="20"/>
  <c r="C242" i="18"/>
  <c r="C243" i="18"/>
  <c r="C244" i="18"/>
  <c r="C245" i="18"/>
  <c r="C246" i="18"/>
  <c r="C247" i="18"/>
  <c r="C248" i="18"/>
  <c r="C249" i="18"/>
  <c r="C250" i="18"/>
  <c r="C251" i="18"/>
  <c r="C252" i="18"/>
  <c r="C253" i="18"/>
  <c r="C254" i="18"/>
  <c r="C255" i="18"/>
  <c r="C256" i="18"/>
  <c r="C257" i="18"/>
  <c r="C258" i="18"/>
  <c r="C259" i="18"/>
  <c r="C260" i="18"/>
  <c r="C261" i="18"/>
  <c r="C262" i="18"/>
  <c r="C263" i="18"/>
  <c r="C264" i="18"/>
  <c r="C265" i="18"/>
  <c r="C266" i="18"/>
  <c r="C267" i="18"/>
  <c r="C268" i="18"/>
  <c r="C269" i="18"/>
  <c r="C270" i="18"/>
  <c r="C271" i="18"/>
  <c r="C272" i="18"/>
  <c r="C273" i="18"/>
  <c r="C274" i="18"/>
  <c r="C275" i="18"/>
  <c r="C276" i="18"/>
  <c r="C277" i="18"/>
  <c r="C278" i="18"/>
  <c r="C279" i="18"/>
  <c r="C280" i="18"/>
  <c r="C281" i="18"/>
  <c r="C282" i="18"/>
  <c r="C283" i="18"/>
  <c r="C284" i="18"/>
  <c r="C285" i="18"/>
  <c r="C286" i="18"/>
  <c r="C287" i="18"/>
  <c r="C288" i="18"/>
  <c r="C289" i="18"/>
  <c r="C290" i="18"/>
  <c r="C291" i="18"/>
  <c r="C292" i="18"/>
  <c r="C293" i="18"/>
  <c r="C294" i="18"/>
  <c r="C295" i="18"/>
  <c r="C296" i="18"/>
  <c r="C297" i="18"/>
  <c r="C298" i="18"/>
  <c r="C299" i="18"/>
  <c r="C300" i="18"/>
  <c r="C301" i="18"/>
  <c r="C302" i="18"/>
  <c r="C303" i="18"/>
  <c r="C304" i="18"/>
  <c r="C305" i="18"/>
  <c r="C306" i="18"/>
  <c r="C307" i="18"/>
  <c r="C308" i="18"/>
  <c r="C309" i="18"/>
  <c r="C310" i="18"/>
  <c r="C311" i="18"/>
  <c r="C242" i="17"/>
  <c r="C243" i="17"/>
  <c r="C244" i="17"/>
  <c r="C245" i="17"/>
  <c r="C246" i="17"/>
  <c r="C247" i="17"/>
  <c r="C248" i="17"/>
  <c r="C249" i="17"/>
  <c r="C250" i="17"/>
  <c r="C251" i="17"/>
  <c r="C252" i="17"/>
  <c r="C253" i="17"/>
  <c r="C254" i="17"/>
  <c r="C255" i="17"/>
  <c r="C256" i="17"/>
  <c r="C257" i="17"/>
  <c r="C258" i="17"/>
  <c r="C259" i="17"/>
  <c r="C260" i="17"/>
  <c r="C261" i="17"/>
  <c r="C262" i="17"/>
  <c r="C263" i="17"/>
  <c r="C264" i="17"/>
  <c r="C265" i="17"/>
  <c r="C266" i="17"/>
  <c r="C267" i="17"/>
  <c r="C268" i="17"/>
  <c r="C269" i="17"/>
  <c r="C270" i="17"/>
  <c r="C271" i="17"/>
  <c r="C272" i="17"/>
  <c r="C273" i="17"/>
  <c r="C274" i="17"/>
  <c r="C275" i="17"/>
  <c r="C276" i="17"/>
  <c r="C277" i="17"/>
  <c r="C278" i="17"/>
  <c r="C279" i="17"/>
  <c r="C280" i="17"/>
  <c r="C281" i="17"/>
  <c r="C282" i="17"/>
  <c r="C283" i="17"/>
  <c r="C284" i="17"/>
  <c r="C285" i="17"/>
  <c r="C286" i="17"/>
  <c r="C287" i="17"/>
  <c r="C288" i="17"/>
  <c r="C289" i="17"/>
  <c r="C290" i="17"/>
  <c r="C291" i="17"/>
  <c r="C292" i="17"/>
  <c r="C293" i="17"/>
  <c r="C294" i="17"/>
  <c r="C295" i="17"/>
  <c r="C296" i="17"/>
  <c r="C297" i="17"/>
  <c r="C298" i="17"/>
  <c r="C299" i="17"/>
  <c r="C300" i="17"/>
  <c r="C301" i="17"/>
  <c r="C302" i="17"/>
  <c r="C303" i="17"/>
  <c r="C304" i="17"/>
  <c r="C305" i="17"/>
  <c r="C306" i="17"/>
  <c r="C307" i="17"/>
  <c r="C308" i="17"/>
  <c r="C309" i="17"/>
  <c r="C310" i="17"/>
  <c r="C311" i="17"/>
  <c r="C6" i="18"/>
  <c r="C7" i="21"/>
  <c r="C5" i="22"/>
  <c r="E4" i="20"/>
  <c r="E8" i="20"/>
  <c r="E7" i="20"/>
  <c r="D9" i="24"/>
  <c r="E10" i="20"/>
  <c r="C5" i="18"/>
  <c r="C8" i="21"/>
  <c r="E6" i="20"/>
  <c r="E9" i="20"/>
  <c r="E5" i="20"/>
  <c r="C3" i="18"/>
  <c r="C2" i="18"/>
  <c r="F3" i="20"/>
  <c r="E308" i="18"/>
  <c r="E304" i="18"/>
  <c r="E300" i="18"/>
  <c r="E296" i="18"/>
  <c r="B8" i="2"/>
  <c r="E302" i="18"/>
  <c r="E298" i="18"/>
  <c r="E294" i="18"/>
  <c r="E290" i="18"/>
  <c r="E286" i="18"/>
  <c r="E282" i="18"/>
  <c r="E278" i="18"/>
  <c r="E274" i="18"/>
  <c r="E270" i="18"/>
  <c r="E266" i="18"/>
  <c r="E262" i="18"/>
  <c r="E258" i="18"/>
  <c r="E254" i="18"/>
  <c r="E250" i="18"/>
  <c r="E246" i="18"/>
  <c r="E242" i="18"/>
  <c r="E299" i="18"/>
  <c r="E243" i="18"/>
  <c r="E309" i="18"/>
  <c r="E301" i="18"/>
  <c r="E293" i="18"/>
  <c r="E285" i="18"/>
  <c r="E277" i="18"/>
  <c r="E269" i="18"/>
  <c r="E261" i="18"/>
  <c r="E253" i="18"/>
  <c r="E245" i="18"/>
  <c r="E307" i="18"/>
  <c r="E287" i="18"/>
  <c r="E275" i="18"/>
  <c r="E267" i="18"/>
  <c r="E259" i="18"/>
  <c r="E251" i="18"/>
  <c r="E311" i="18"/>
  <c r="E295" i="18"/>
  <c r="E291" i="18"/>
  <c r="E279" i="18"/>
  <c r="E271" i="18"/>
  <c r="E263" i="18"/>
  <c r="E255" i="18"/>
  <c r="E247" i="18"/>
  <c r="E303" i="18"/>
  <c r="E283" i="18"/>
  <c r="E305" i="18"/>
  <c r="E297" i="18"/>
  <c r="E289" i="18"/>
  <c r="E281" i="18"/>
  <c r="E273" i="18"/>
  <c r="E265" i="18"/>
  <c r="E257" i="18"/>
  <c r="E249" i="18"/>
  <c r="B2" i="29"/>
  <c r="B2" i="31"/>
  <c r="E288" i="18"/>
  <c r="E280" i="18"/>
  <c r="E272" i="18"/>
  <c r="E264" i="18"/>
  <c r="E256" i="18"/>
  <c r="E248" i="18"/>
  <c r="E292" i="18"/>
  <c r="E284" i="18"/>
  <c r="E276" i="18"/>
  <c r="E268" i="18"/>
  <c r="E260" i="18"/>
  <c r="E252" i="18"/>
  <c r="E244" i="18"/>
  <c r="F10" i="18"/>
  <c r="B2" i="21"/>
  <c r="C11" i="18"/>
  <c r="E11" i="18"/>
  <c r="F11" i="18"/>
  <c r="C12" i="18"/>
  <c r="E12" i="18"/>
  <c r="C13" i="18"/>
  <c r="E13" i="18"/>
  <c r="C14" i="18"/>
  <c r="E14" i="18"/>
  <c r="C15" i="18"/>
  <c r="E15" i="18"/>
  <c r="C16" i="18"/>
  <c r="E16" i="18"/>
  <c r="C17" i="18"/>
  <c r="E17" i="18"/>
  <c r="C18" i="18"/>
  <c r="E18" i="18"/>
  <c r="C19" i="18"/>
  <c r="E19" i="18"/>
  <c r="C20" i="18"/>
  <c r="E20" i="18"/>
  <c r="C21" i="18"/>
  <c r="E21" i="18"/>
  <c r="C22" i="18"/>
  <c r="E22" i="18"/>
  <c r="C23" i="18"/>
  <c r="E23" i="18"/>
  <c r="C24" i="18"/>
  <c r="E24" i="18"/>
  <c r="C25" i="18"/>
  <c r="E25" i="18"/>
  <c r="C26" i="18"/>
  <c r="E26" i="18"/>
  <c r="C27" i="18"/>
  <c r="E27" i="18"/>
  <c r="C28" i="18"/>
  <c r="E28" i="18"/>
  <c r="C29" i="18"/>
  <c r="E29" i="18"/>
  <c r="C30" i="18"/>
  <c r="E30" i="18"/>
  <c r="C31" i="18"/>
  <c r="E31" i="18"/>
  <c r="C32" i="18"/>
  <c r="E32" i="18"/>
  <c r="C33" i="18"/>
  <c r="E33" i="18"/>
  <c r="C34" i="18"/>
  <c r="E34" i="18"/>
  <c r="C35" i="18"/>
  <c r="E35" i="18"/>
  <c r="C36" i="18"/>
  <c r="E36" i="18"/>
  <c r="C37" i="18"/>
  <c r="E37" i="18"/>
  <c r="C38" i="18"/>
  <c r="E38" i="18"/>
  <c r="C39" i="18"/>
  <c r="E39" i="18"/>
  <c r="C40" i="18"/>
  <c r="E40" i="18"/>
  <c r="C41" i="18"/>
  <c r="E41" i="18"/>
  <c r="C42" i="18"/>
  <c r="E42" i="18"/>
  <c r="C43" i="18"/>
  <c r="E43" i="18"/>
  <c r="C44" i="18"/>
  <c r="E44" i="18"/>
  <c r="C45" i="18"/>
  <c r="E45" i="18"/>
  <c r="C46" i="18"/>
  <c r="E46" i="18"/>
  <c r="C47" i="18"/>
  <c r="E47" i="18"/>
  <c r="C48" i="18"/>
  <c r="E48" i="18"/>
  <c r="C49" i="18"/>
  <c r="E49" i="18"/>
  <c r="C50" i="18"/>
  <c r="E50" i="18"/>
  <c r="C51" i="18"/>
  <c r="E51" i="18"/>
  <c r="C52" i="18"/>
  <c r="E52" i="18"/>
  <c r="C53" i="18"/>
  <c r="E53" i="18"/>
  <c r="C54" i="18"/>
  <c r="E54" i="18"/>
  <c r="C55" i="18"/>
  <c r="E55" i="18"/>
  <c r="C56" i="18"/>
  <c r="E56" i="18"/>
  <c r="C57" i="18"/>
  <c r="E57" i="18"/>
  <c r="C58" i="18"/>
  <c r="E58" i="18"/>
  <c r="C59" i="18"/>
  <c r="E59" i="18"/>
  <c r="C60" i="18"/>
  <c r="E60" i="18"/>
  <c r="C61" i="18"/>
  <c r="E61" i="18"/>
  <c r="C62" i="18"/>
  <c r="E62" i="18"/>
  <c r="C63" i="18"/>
  <c r="E63" i="18"/>
  <c r="C64" i="18"/>
  <c r="E64" i="18"/>
  <c r="C65" i="18"/>
  <c r="E65" i="18"/>
  <c r="C66" i="18"/>
  <c r="E66" i="18"/>
  <c r="C67" i="18"/>
  <c r="E67" i="18"/>
  <c r="C68" i="18"/>
  <c r="E68" i="18"/>
  <c r="C69" i="18"/>
  <c r="E69" i="18"/>
  <c r="C70" i="18"/>
  <c r="E70" i="18"/>
  <c r="C71" i="18"/>
  <c r="E71" i="18"/>
  <c r="C72" i="18"/>
  <c r="E72" i="18"/>
  <c r="C73" i="18"/>
  <c r="E73" i="18"/>
  <c r="C74" i="18"/>
  <c r="E74" i="18"/>
  <c r="C75" i="18"/>
  <c r="E75" i="18"/>
  <c r="C76" i="18"/>
  <c r="E76" i="18"/>
  <c r="C77" i="18"/>
  <c r="E77" i="18"/>
  <c r="C78" i="18"/>
  <c r="E78" i="18"/>
  <c r="C79" i="18"/>
  <c r="E79" i="18"/>
  <c r="C80" i="18"/>
  <c r="E80" i="18"/>
  <c r="C81" i="18"/>
  <c r="E81" i="18"/>
  <c r="C82" i="18"/>
  <c r="E82" i="18"/>
  <c r="C83" i="18"/>
  <c r="E83" i="18"/>
  <c r="C84" i="18"/>
  <c r="E84" i="18"/>
  <c r="C85" i="18"/>
  <c r="E85" i="18"/>
  <c r="C86" i="18"/>
  <c r="E86" i="18"/>
  <c r="C87" i="18"/>
  <c r="E87" i="18"/>
  <c r="C88" i="18"/>
  <c r="E88" i="18"/>
  <c r="C89" i="18"/>
  <c r="E89" i="18"/>
  <c r="C90" i="18"/>
  <c r="E90" i="18"/>
  <c r="C91" i="18"/>
  <c r="E91" i="18"/>
  <c r="C92" i="18"/>
  <c r="E92" i="18"/>
  <c r="C93" i="18"/>
  <c r="E93" i="18"/>
  <c r="C94" i="18"/>
  <c r="E94" i="18"/>
  <c r="C95" i="18"/>
  <c r="E95" i="18"/>
  <c r="C96" i="18"/>
  <c r="E96" i="18"/>
  <c r="C97" i="18"/>
  <c r="E97" i="18"/>
  <c r="C98" i="18"/>
  <c r="E98" i="18"/>
  <c r="C99" i="18"/>
  <c r="E99" i="18"/>
  <c r="C100" i="18"/>
  <c r="E100" i="18"/>
  <c r="C101" i="18"/>
  <c r="E101" i="18"/>
  <c r="C102" i="18"/>
  <c r="E102" i="18"/>
  <c r="C103" i="18"/>
  <c r="E103" i="18"/>
  <c r="C104" i="18"/>
  <c r="E104" i="18"/>
  <c r="C105" i="18"/>
  <c r="E105" i="18"/>
  <c r="C106" i="18"/>
  <c r="E106" i="18"/>
  <c r="C107" i="18"/>
  <c r="E107" i="18"/>
  <c r="C108" i="18"/>
  <c r="E108" i="18"/>
  <c r="C109" i="18"/>
  <c r="E109" i="18"/>
  <c r="C110" i="18"/>
  <c r="E110" i="18"/>
  <c r="C111" i="18"/>
  <c r="E111" i="18"/>
  <c r="C112" i="18"/>
  <c r="E112" i="18"/>
  <c r="C113" i="18"/>
  <c r="E113" i="18"/>
  <c r="C114" i="18"/>
  <c r="E114" i="18"/>
  <c r="C115" i="18"/>
  <c r="E115" i="18"/>
  <c r="C116" i="18"/>
  <c r="E116" i="18"/>
  <c r="C117" i="18"/>
  <c r="E117" i="18"/>
  <c r="C118" i="18"/>
  <c r="E118" i="18"/>
  <c r="C119" i="18"/>
  <c r="E119" i="18"/>
  <c r="C120" i="18"/>
  <c r="E120" i="18"/>
  <c r="C121" i="18"/>
  <c r="E121" i="18"/>
  <c r="C122" i="18"/>
  <c r="E122" i="18"/>
  <c r="C123" i="18"/>
  <c r="E123" i="18"/>
  <c r="C124" i="18"/>
  <c r="E124" i="18"/>
  <c r="C125" i="18"/>
  <c r="E125" i="18"/>
  <c r="C126" i="18"/>
  <c r="E126" i="18"/>
  <c r="C127" i="18"/>
  <c r="E127" i="18"/>
  <c r="C128" i="18"/>
  <c r="E128" i="18"/>
  <c r="C129" i="18"/>
  <c r="E129" i="18"/>
  <c r="C130" i="18"/>
  <c r="E130" i="18"/>
  <c r="C131" i="18"/>
  <c r="E131" i="18"/>
  <c r="C132" i="18"/>
  <c r="E132" i="18"/>
  <c r="C133" i="18"/>
  <c r="E133" i="18"/>
  <c r="C134" i="18"/>
  <c r="E134" i="18"/>
  <c r="C135" i="18"/>
  <c r="E135" i="18"/>
  <c r="C136" i="18"/>
  <c r="E136" i="18"/>
  <c r="C137" i="18"/>
  <c r="E137" i="18"/>
  <c r="C138" i="18"/>
  <c r="E138" i="18"/>
  <c r="C139" i="18"/>
  <c r="E139" i="18"/>
  <c r="C140" i="18"/>
  <c r="E140" i="18"/>
  <c r="C141" i="18"/>
  <c r="E141" i="18"/>
  <c r="C142" i="18"/>
  <c r="E142" i="18"/>
  <c r="C143" i="18"/>
  <c r="E143" i="18"/>
  <c r="C144" i="18"/>
  <c r="E144" i="18"/>
  <c r="C145" i="18"/>
  <c r="E145" i="18"/>
  <c r="C146" i="18"/>
  <c r="E146" i="18"/>
  <c r="C147" i="18"/>
  <c r="E147" i="18"/>
  <c r="C148" i="18"/>
  <c r="E148" i="18"/>
  <c r="C149" i="18"/>
  <c r="E149" i="18"/>
  <c r="C150" i="18"/>
  <c r="E150" i="18"/>
  <c r="C151" i="18"/>
  <c r="E151" i="18"/>
  <c r="C152" i="18"/>
  <c r="E152" i="18"/>
  <c r="C153" i="18"/>
  <c r="E153" i="18"/>
  <c r="C154" i="18"/>
  <c r="E154" i="18"/>
  <c r="C155" i="18"/>
  <c r="E155" i="18"/>
  <c r="C156" i="18"/>
  <c r="E156" i="18"/>
  <c r="C157" i="18"/>
  <c r="E157" i="18"/>
  <c r="C158" i="18"/>
  <c r="E158" i="18"/>
  <c r="C159" i="18"/>
  <c r="E159" i="18"/>
  <c r="C160" i="18"/>
  <c r="E160" i="18"/>
  <c r="C161" i="18"/>
  <c r="E161" i="18"/>
  <c r="C162" i="18"/>
  <c r="E162" i="18"/>
  <c r="C163" i="18"/>
  <c r="E163" i="18"/>
  <c r="C164" i="18"/>
  <c r="E164" i="18"/>
  <c r="C165" i="18"/>
  <c r="E165" i="18"/>
  <c r="C166" i="18"/>
  <c r="E166" i="18"/>
  <c r="C167" i="18"/>
  <c r="E167" i="18"/>
  <c r="C168" i="18"/>
  <c r="E168" i="18"/>
  <c r="C169" i="18"/>
  <c r="E169" i="18"/>
  <c r="C170" i="18"/>
  <c r="E170" i="18"/>
  <c r="C171" i="18"/>
  <c r="E171" i="18"/>
  <c r="C172" i="18"/>
  <c r="E172" i="18"/>
  <c r="C173" i="18"/>
  <c r="E173" i="18"/>
  <c r="C174" i="18"/>
  <c r="E174" i="18"/>
  <c r="C175" i="18"/>
  <c r="E175" i="18"/>
  <c r="C176" i="18"/>
  <c r="E176" i="18"/>
  <c r="C177" i="18"/>
  <c r="E177" i="18"/>
  <c r="C178" i="18"/>
  <c r="E178" i="18"/>
  <c r="C179" i="18"/>
  <c r="E179" i="18"/>
  <c r="C180" i="18"/>
  <c r="E180" i="18"/>
  <c r="C181" i="18"/>
  <c r="E181" i="18"/>
  <c r="C182" i="18"/>
  <c r="E182" i="18"/>
  <c r="C183" i="18"/>
  <c r="E183" i="18"/>
  <c r="C184" i="18"/>
  <c r="E184" i="18"/>
  <c r="C185" i="18"/>
  <c r="E185" i="18"/>
  <c r="C186" i="18"/>
  <c r="E186" i="18"/>
  <c r="C187" i="18"/>
  <c r="E187" i="18"/>
  <c r="C188" i="18"/>
  <c r="E188" i="18"/>
  <c r="C189" i="18"/>
  <c r="E189" i="18"/>
  <c r="C190" i="18"/>
  <c r="E190" i="18"/>
  <c r="C191" i="18"/>
  <c r="E191" i="18"/>
  <c r="C192" i="18"/>
  <c r="E192" i="18"/>
  <c r="C193" i="18"/>
  <c r="E193" i="18"/>
  <c r="C194" i="18"/>
  <c r="E194" i="18"/>
  <c r="C195" i="18"/>
  <c r="E195" i="18"/>
  <c r="C196" i="18"/>
  <c r="E196" i="18"/>
  <c r="C197" i="18"/>
  <c r="E197" i="18"/>
  <c r="C198" i="18"/>
  <c r="E198" i="18"/>
  <c r="C199" i="18"/>
  <c r="E199" i="18"/>
  <c r="C200" i="18"/>
  <c r="E200" i="18"/>
  <c r="C201" i="18"/>
  <c r="E201" i="18"/>
  <c r="C202" i="18"/>
  <c r="E202" i="18"/>
  <c r="C203" i="18"/>
  <c r="E203" i="18"/>
  <c r="C204" i="18"/>
  <c r="E204" i="18"/>
  <c r="C205" i="18"/>
  <c r="E205" i="18"/>
  <c r="C206" i="18"/>
  <c r="E206" i="18"/>
  <c r="C207" i="18"/>
  <c r="E207" i="18"/>
  <c r="C208" i="18"/>
  <c r="E208" i="18"/>
  <c r="C209" i="18"/>
  <c r="E209" i="18"/>
  <c r="C210" i="18"/>
  <c r="E210" i="18"/>
  <c r="C211" i="18"/>
  <c r="E211" i="18"/>
  <c r="C212" i="18"/>
  <c r="E212" i="18"/>
  <c r="C213" i="18"/>
  <c r="E213" i="18"/>
  <c r="C214" i="18"/>
  <c r="E214" i="18"/>
  <c r="C215" i="18"/>
  <c r="E215" i="18"/>
  <c r="C216" i="18"/>
  <c r="E216" i="18"/>
  <c r="C217" i="18"/>
  <c r="E217" i="18"/>
  <c r="C218" i="18"/>
  <c r="E218" i="18"/>
  <c r="C219" i="18"/>
  <c r="E219" i="18"/>
  <c r="C220" i="18"/>
  <c r="E220" i="18"/>
  <c r="C221" i="18"/>
  <c r="E221" i="18"/>
  <c r="C222" i="18"/>
  <c r="E222" i="18"/>
  <c r="C223" i="18"/>
  <c r="E223" i="18"/>
  <c r="C224" i="18"/>
  <c r="E224" i="18"/>
  <c r="C225" i="18"/>
  <c r="E225" i="18"/>
  <c r="C226" i="18"/>
  <c r="E226" i="18"/>
  <c r="C227" i="18"/>
  <c r="E227" i="18"/>
  <c r="C228" i="18"/>
  <c r="E228" i="18"/>
  <c r="C229" i="18"/>
  <c r="E229" i="18"/>
  <c r="C230" i="18"/>
  <c r="E230" i="18"/>
  <c r="C231" i="18"/>
  <c r="E231" i="18"/>
  <c r="C232" i="18"/>
  <c r="E232" i="18"/>
  <c r="C233" i="18"/>
  <c r="E233" i="18"/>
  <c r="C234" i="18"/>
  <c r="E234" i="18"/>
  <c r="C235" i="18"/>
  <c r="E235" i="18"/>
  <c r="C236" i="18"/>
  <c r="E236" i="18"/>
  <c r="C237" i="18"/>
  <c r="E237" i="18"/>
  <c r="C238" i="18"/>
  <c r="E238" i="18"/>
  <c r="C239" i="18"/>
  <c r="E239" i="18"/>
  <c r="C240" i="18"/>
  <c r="E240" i="18"/>
  <c r="C241" i="18"/>
  <c r="E241" i="18"/>
  <c r="C2" i="17"/>
  <c r="B3" i="18"/>
  <c r="B6" i="18"/>
  <c r="B3" i="21"/>
  <c r="C10" i="17"/>
  <c r="D10" i="17"/>
  <c r="C5" i="17"/>
  <c r="C6" i="17"/>
  <c r="C3" i="17"/>
  <c r="C11" i="17"/>
  <c r="D11" i="17"/>
  <c r="C12" i="17"/>
  <c r="D12" i="17"/>
  <c r="C13" i="17"/>
  <c r="D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3" i="17"/>
  <c r="C44" i="17"/>
  <c r="C45" i="17"/>
  <c r="C46" i="17"/>
  <c r="C47" i="17"/>
  <c r="C48" i="17"/>
  <c r="C49" i="17"/>
  <c r="C50" i="17"/>
  <c r="C51" i="17"/>
  <c r="C52" i="17"/>
  <c r="C53" i="17"/>
  <c r="C54" i="17"/>
  <c r="C55" i="17"/>
  <c r="C56" i="17"/>
  <c r="C57" i="17"/>
  <c r="C58" i="17"/>
  <c r="C59" i="17"/>
  <c r="C60" i="17"/>
  <c r="C61" i="17"/>
  <c r="C62" i="17"/>
  <c r="C63" i="17"/>
  <c r="C64" i="17"/>
  <c r="C65" i="17"/>
  <c r="C66" i="17"/>
  <c r="C67" i="17"/>
  <c r="C68" i="17"/>
  <c r="C69" i="17"/>
  <c r="C70" i="17"/>
  <c r="C71" i="17"/>
  <c r="C72" i="17"/>
  <c r="C73" i="17"/>
  <c r="C74" i="17"/>
  <c r="C75" i="17"/>
  <c r="C76" i="17"/>
  <c r="C77" i="17"/>
  <c r="C78" i="17"/>
  <c r="C79" i="17"/>
  <c r="C80" i="17"/>
  <c r="C81" i="17"/>
  <c r="C82" i="17"/>
  <c r="C83" i="17"/>
  <c r="C84" i="17"/>
  <c r="C85" i="17"/>
  <c r="C86" i="17"/>
  <c r="C87" i="17"/>
  <c r="C88" i="17"/>
  <c r="C89" i="17"/>
  <c r="C90" i="17"/>
  <c r="C91" i="17"/>
  <c r="C92" i="17"/>
  <c r="C93" i="17"/>
  <c r="C94" i="17"/>
  <c r="C95" i="17"/>
  <c r="C96" i="17"/>
  <c r="C97" i="17"/>
  <c r="C98" i="17"/>
  <c r="C99" i="17"/>
  <c r="C100" i="17"/>
  <c r="C101" i="17"/>
  <c r="C102" i="17"/>
  <c r="C103" i="17"/>
  <c r="C104" i="17"/>
  <c r="C105" i="17"/>
  <c r="C106" i="17"/>
  <c r="C107" i="17"/>
  <c r="C108" i="17"/>
  <c r="C109" i="17"/>
  <c r="C110" i="17"/>
  <c r="C111" i="17"/>
  <c r="C112" i="17"/>
  <c r="C113" i="17"/>
  <c r="C114" i="17"/>
  <c r="C115" i="17"/>
  <c r="C116" i="17"/>
  <c r="C117" i="17"/>
  <c r="C118" i="17"/>
  <c r="C119" i="17"/>
  <c r="C120" i="17"/>
  <c r="C121" i="17"/>
  <c r="C122" i="17"/>
  <c r="C123" i="17"/>
  <c r="C124" i="17"/>
  <c r="C125" i="17"/>
  <c r="C126" i="17"/>
  <c r="C127" i="17"/>
  <c r="C128" i="17"/>
  <c r="C129" i="17"/>
  <c r="C130" i="17"/>
  <c r="C131" i="17"/>
  <c r="C132" i="17"/>
  <c r="C133" i="17"/>
  <c r="C134" i="17"/>
  <c r="C135" i="17"/>
  <c r="C136" i="17"/>
  <c r="C137" i="17"/>
  <c r="C138" i="17"/>
  <c r="C139" i="17"/>
  <c r="C140" i="17"/>
  <c r="C141" i="17"/>
  <c r="C142" i="17"/>
  <c r="C143" i="17"/>
  <c r="C144" i="17"/>
  <c r="C145" i="17"/>
  <c r="C146" i="17"/>
  <c r="C147" i="17"/>
  <c r="C148" i="17"/>
  <c r="C149" i="17"/>
  <c r="C150" i="17"/>
  <c r="C151" i="17"/>
  <c r="C152" i="17"/>
  <c r="C153" i="17"/>
  <c r="C154" i="17"/>
  <c r="C155" i="17"/>
  <c r="C156" i="17"/>
  <c r="C157" i="17"/>
  <c r="C158" i="17"/>
  <c r="C159" i="17"/>
  <c r="C160" i="17"/>
  <c r="C161" i="17"/>
  <c r="C162" i="17"/>
  <c r="C163" i="17"/>
  <c r="C164" i="17"/>
  <c r="C165" i="17"/>
  <c r="C166" i="17"/>
  <c r="C167" i="17"/>
  <c r="C168" i="17"/>
  <c r="C169" i="17"/>
  <c r="C170" i="17"/>
  <c r="C171" i="17"/>
  <c r="C172" i="17"/>
  <c r="C173" i="17"/>
  <c r="C174" i="17"/>
  <c r="C175" i="17"/>
  <c r="C176" i="17"/>
  <c r="C177" i="17"/>
  <c r="C178" i="17"/>
  <c r="C179" i="17"/>
  <c r="C180" i="17"/>
  <c r="C181" i="17"/>
  <c r="C182" i="17"/>
  <c r="C183" i="17"/>
  <c r="C184" i="17"/>
  <c r="C185" i="17"/>
  <c r="C186" i="17"/>
  <c r="C187" i="17"/>
  <c r="C188" i="17"/>
  <c r="C189" i="17"/>
  <c r="C190" i="17"/>
  <c r="C191" i="17"/>
  <c r="C192" i="17"/>
  <c r="C193" i="17"/>
  <c r="C194" i="17"/>
  <c r="C195" i="17"/>
  <c r="C196" i="17"/>
  <c r="C197" i="17"/>
  <c r="C198" i="17"/>
  <c r="C199" i="17"/>
  <c r="C200" i="17"/>
  <c r="C201" i="17"/>
  <c r="C202" i="17"/>
  <c r="C203" i="17"/>
  <c r="C204" i="17"/>
  <c r="C205" i="17"/>
  <c r="C206" i="17"/>
  <c r="C207" i="17"/>
  <c r="C208" i="17"/>
  <c r="C209" i="17"/>
  <c r="C210" i="17"/>
  <c r="C211" i="17"/>
  <c r="C212" i="17"/>
  <c r="C213" i="17"/>
  <c r="C214" i="17"/>
  <c r="C215" i="17"/>
  <c r="C216" i="17"/>
  <c r="C217" i="17"/>
  <c r="C218" i="17"/>
  <c r="C219" i="17"/>
  <c r="C220" i="17"/>
  <c r="C221" i="17"/>
  <c r="C222" i="17"/>
  <c r="C223" i="17"/>
  <c r="C224" i="17"/>
  <c r="C225" i="17"/>
  <c r="C226" i="17"/>
  <c r="C227" i="17"/>
  <c r="C228" i="17"/>
  <c r="C229" i="17"/>
  <c r="C230" i="17"/>
  <c r="C231" i="17"/>
  <c r="C232" i="17"/>
  <c r="C233" i="17"/>
  <c r="C234" i="17"/>
  <c r="C235" i="17"/>
  <c r="C236" i="17"/>
  <c r="C237" i="17"/>
  <c r="C238" i="17"/>
  <c r="C239" i="17"/>
  <c r="C240" i="17"/>
  <c r="C241" i="17"/>
  <c r="B3" i="17"/>
  <c r="B6" i="17"/>
  <c r="E4" i="8"/>
  <c r="E5" i="8"/>
  <c r="E6" i="8"/>
  <c r="E7" i="8"/>
  <c r="B19" i="2"/>
  <c r="B13" i="2"/>
  <c r="B25" i="2"/>
  <c r="B4" i="2"/>
  <c r="F9" i="7"/>
  <c r="C26" i="2"/>
  <c r="C14" i="2"/>
  <c r="C9" i="8"/>
  <c r="C15" i="2"/>
  <c r="F8" i="7"/>
  <c r="C20" i="2"/>
  <c r="C29" i="2"/>
  <c r="F5" i="7"/>
  <c r="C4" i="2"/>
  <c r="C25" i="2"/>
  <c r="C21" i="2"/>
  <c r="C13" i="2"/>
  <c r="C16" i="2"/>
  <c r="C22" i="2"/>
  <c r="C19" i="2"/>
  <c r="C6" i="2"/>
  <c r="F4" i="7"/>
  <c r="C30" i="2"/>
  <c r="C32" i="2"/>
  <c r="B26" i="2"/>
  <c r="B14" i="2"/>
  <c r="B20" i="2"/>
  <c r="B30" i="2"/>
  <c r="B32" i="2"/>
</calcChain>
</file>

<file path=xl/sharedStrings.xml><?xml version="1.0" encoding="utf-8"?>
<sst xmlns="http://schemas.openxmlformats.org/spreadsheetml/2006/main" count="2578" uniqueCount="990">
  <si>
    <t>Shares outstanding</t>
  </si>
  <si>
    <t>Equity value, E</t>
  </si>
  <si>
    <t>Net debt, D</t>
  </si>
  <si>
    <r>
      <t>Cost of equity, r</t>
    </r>
    <r>
      <rPr>
        <vertAlign val="subscript"/>
        <sz val="10"/>
        <rFont val="Arial"/>
        <family val="2"/>
      </rPr>
      <t>E</t>
    </r>
  </si>
  <si>
    <r>
      <t>Cost of debt, r</t>
    </r>
    <r>
      <rPr>
        <vertAlign val="subscript"/>
        <sz val="10"/>
        <rFont val="Arial"/>
        <family val="2"/>
      </rPr>
      <t>D</t>
    </r>
  </si>
  <si>
    <r>
      <t>Tax rate, T</t>
    </r>
    <r>
      <rPr>
        <vertAlign val="subscript"/>
        <sz val="10"/>
        <rFont val="Arial"/>
        <family val="2"/>
      </rPr>
      <t>C</t>
    </r>
  </si>
  <si>
    <t>WACC</t>
  </si>
  <si>
    <t>Estimated WACC?</t>
  </si>
  <si>
    <t>WACC based on Gordon per-share dividends</t>
  </si>
  <si>
    <t>WACC based on Gordon equity payouts</t>
  </si>
  <si>
    <t>WACC based on classic CAPM</t>
  </si>
  <si>
    <t>WACC based on tax-adjusted CAPM</t>
  </si>
  <si>
    <t>COMPUTING THE WACC FOR MERCK</t>
  </si>
  <si>
    <r>
      <t>Expected market return, E(r</t>
    </r>
    <r>
      <rPr>
        <vertAlign val="subscript"/>
        <sz val="10"/>
        <rFont val="Arial"/>
        <family val="2"/>
      </rPr>
      <t>M</t>
    </r>
    <r>
      <rPr>
        <sz val="10"/>
        <rFont val="Arial"/>
        <family val="2"/>
      </rPr>
      <t>)</t>
    </r>
  </si>
  <si>
    <r>
      <t xml:space="preserve">Equity beta, </t>
    </r>
    <r>
      <rPr>
        <sz val="10"/>
        <rFont val="Symbol"/>
        <family val="1"/>
        <charset val="2"/>
      </rPr>
      <t>b</t>
    </r>
  </si>
  <si>
    <t>Share price, 29 June 2012</t>
  </si>
  <si>
    <t>&lt;-- Billions</t>
  </si>
  <si>
    <t>Net debt</t>
  </si>
  <si>
    <t>Net interest</t>
  </si>
  <si>
    <t>Interest income</t>
  </si>
  <si>
    <t>Interest expense</t>
  </si>
  <si>
    <t>Date</t>
  </si>
  <si>
    <t>Dividends</t>
  </si>
  <si>
    <t>Dividend per share</t>
  </si>
  <si>
    <t>Dividend growth</t>
  </si>
  <si>
    <t>Whole period</t>
  </si>
  <si>
    <t>Quarterly growth</t>
  </si>
  <si>
    <t>Annual growth</t>
  </si>
  <si>
    <t>Last 5 years</t>
  </si>
  <si>
    <t>Current dividend/share</t>
  </si>
  <si>
    <t>Growth rate</t>
  </si>
  <si>
    <t>Current equity payout</t>
  </si>
  <si>
    <t>GORDON MODEL FOR MERCK'S EQUITY PAYOUTS</t>
  </si>
  <si>
    <t>Share repurchases</t>
  </si>
  <si>
    <t>Total equity payout</t>
  </si>
  <si>
    <t>Proceeds from stock option exercise</t>
  </si>
  <si>
    <t>Growth</t>
  </si>
  <si>
    <t>&lt;-- Million</t>
  </si>
  <si>
    <t>Return</t>
  </si>
  <si>
    <t>Price</t>
  </si>
  <si>
    <t>Annualized standard deviation</t>
  </si>
  <si>
    <t>Annualized return</t>
  </si>
  <si>
    <t>Monthly standard deviation</t>
  </si>
  <si>
    <t>Average monthly return</t>
  </si>
  <si>
    <t>Market risk premium</t>
  </si>
  <si>
    <t>Treasury bill rate</t>
  </si>
  <si>
    <t>Annualized risk premium</t>
  </si>
  <si>
    <t>Average monthly risk premium</t>
  </si>
  <si>
    <r>
      <t>MEASURING E(r</t>
    </r>
    <r>
      <rPr>
        <b/>
        <vertAlign val="subscript"/>
        <sz val="14"/>
        <rFont val="Arial"/>
        <family val="2"/>
      </rPr>
      <t>M</t>
    </r>
    <r>
      <rPr>
        <b/>
        <sz val="14"/>
        <rFont val="Arial"/>
        <family val="2"/>
      </rPr>
      <t>) USING HISTORICAL DATA
D</t>
    </r>
    <r>
      <rPr>
        <b/>
        <sz val="12"/>
        <rFont val="Arial"/>
        <family val="2"/>
      </rPr>
      <t>erived from prices for the Vanguard 500 Index Fund (symbol:  VFINX)
These prices include dividends; April 1987 - June 2012</t>
    </r>
  </si>
  <si>
    <t>ST. LOUIS FEDERAL RESERVE TREASURY-BILL RATES</t>
  </si>
  <si>
    <t>Title:</t>
  </si>
  <si>
    <t>3-Month Treasury Bill: Secondary Market Rate</t>
  </si>
  <si>
    <t>Series ID:</t>
  </si>
  <si>
    <t>TB3MS</t>
  </si>
  <si>
    <t>Source:</t>
  </si>
  <si>
    <t>Board of Governors of theFederal Reserve System</t>
  </si>
  <si>
    <t>Release:</t>
  </si>
  <si>
    <t>H.15 Selected Interest Rates</t>
  </si>
  <si>
    <t>Seasonal Adjustment:</t>
  </si>
  <si>
    <t>Not Seasonally Adjusted</t>
  </si>
  <si>
    <t>Frequency:</t>
  </si>
  <si>
    <t>Monthly</t>
  </si>
  <si>
    <t>Units:</t>
  </si>
  <si>
    <t>Percent</t>
  </si>
  <si>
    <t>Date Range:</t>
  </si>
  <si>
    <t>1934-01-01 to 2012-05-01</t>
  </si>
  <si>
    <t>Last Updated:</t>
  </si>
  <si>
    <t>2012-06-04 3:31 PM CDT</t>
  </si>
  <si>
    <t>Notes:</t>
  </si>
  <si>
    <t>Averages of Business Days, Discount Basis</t>
  </si>
  <si>
    <t>DATE</t>
  </si>
  <si>
    <t>VALUE</t>
  </si>
  <si>
    <t>Discount basis</t>
  </si>
  <si>
    <t>Annual interest rate</t>
  </si>
  <si>
    <t>Monthly interest rate</t>
  </si>
  <si>
    <r>
      <t>MEASURING THE MARKET RISK PREMIUM E(r</t>
    </r>
    <r>
      <rPr>
        <b/>
        <vertAlign val="subscript"/>
        <sz val="14"/>
        <rFont val="Arial"/>
        <family val="2"/>
      </rPr>
      <t>M</t>
    </r>
    <r>
      <rPr>
        <b/>
        <sz val="14"/>
        <rFont val="Arial"/>
        <family val="2"/>
      </rPr>
      <t>) - r</t>
    </r>
    <r>
      <rPr>
        <b/>
        <vertAlign val="subscript"/>
        <sz val="14"/>
        <rFont val="Arial"/>
        <family val="2"/>
      </rPr>
      <t>f</t>
    </r>
    <r>
      <rPr>
        <b/>
        <sz val="14"/>
        <rFont val="Arial"/>
        <family val="2"/>
      </rPr>
      <t xml:space="preserve"> USING HISTORICAL DATA
</t>
    </r>
    <r>
      <rPr>
        <b/>
        <sz val="12"/>
        <rFont val="Arial"/>
        <family val="2"/>
      </rPr>
      <t>Vanguard 500 Index Fund (symbol:  VFINX) minus Treasury Bills
April 1987 - June 2012
All measurements relate to monthly returns on SP500, r</t>
    </r>
    <r>
      <rPr>
        <b/>
        <vertAlign val="subscript"/>
        <sz val="12"/>
        <rFont val="Arial"/>
        <family val="2"/>
      </rPr>
      <t>Mt</t>
    </r>
    <r>
      <rPr>
        <b/>
        <sz val="12"/>
        <rFont val="Arial"/>
        <family val="2"/>
      </rPr>
      <t>, and the Treasury bill rate r</t>
    </r>
    <r>
      <rPr>
        <b/>
        <vertAlign val="subscript"/>
        <sz val="12"/>
        <rFont val="Arial"/>
        <family val="2"/>
      </rPr>
      <t>ft</t>
    </r>
  </si>
  <si>
    <t xml:space="preserve">     Classic CAPM</t>
  </si>
  <si>
    <t xml:space="preserve">     Tax-adjusted CAPM</t>
  </si>
  <si>
    <t>Equity cash flow payout ratio</t>
  </si>
  <si>
    <t>Anticipated growth of market equity cash flow</t>
  </si>
  <si>
    <r>
      <t>Expected market return, E(r</t>
    </r>
    <r>
      <rPr>
        <vertAlign val="subscript"/>
        <sz val="10"/>
        <rFont val="Arial"/>
        <family val="2"/>
      </rPr>
      <t>M</t>
    </r>
    <r>
      <rPr>
        <sz val="11"/>
        <color theme="1"/>
        <rFont val="Arial"/>
        <family val="2"/>
      </rPr>
      <t>)</t>
    </r>
  </si>
  <si>
    <t>Market price/earnings multiple, June 2012</t>
  </si>
  <si>
    <r>
      <t>COMPUTING E(r</t>
    </r>
    <r>
      <rPr>
        <b/>
        <vertAlign val="subscript"/>
        <sz val="14"/>
        <rFont val="Arial"/>
        <family val="2"/>
      </rPr>
      <t>M</t>
    </r>
    <r>
      <rPr>
        <b/>
        <sz val="14"/>
        <rFont val="Arial"/>
        <family val="2"/>
      </rPr>
      <t>) USING MARKET MULTIPLE</t>
    </r>
  </si>
  <si>
    <t>&lt;-- Analyst's estimate</t>
  </si>
  <si>
    <t>Cash</t>
  </si>
  <si>
    <t>Marketable securities</t>
  </si>
  <si>
    <t>Short-term debt and current portion of long-term debt</t>
  </si>
  <si>
    <t>Long-term debt</t>
  </si>
  <si>
    <t>Short-term and current portion of long-term debt</t>
  </si>
  <si>
    <t>INTEL HAS NEGATIVE NET DEBT
(million $)</t>
  </si>
  <si>
    <t>KROGER, COMPUTING NET DEBT
(thousand $)</t>
  </si>
  <si>
    <t>Income before tax</t>
  </si>
  <si>
    <t>Income tax expense</t>
  </si>
  <si>
    <t>Interest</t>
  </si>
  <si>
    <r>
      <t>Implied cost of debt, r</t>
    </r>
    <r>
      <rPr>
        <vertAlign val="subscript"/>
        <sz val="11"/>
        <color theme="1"/>
        <rFont val="Arial"/>
        <family val="2"/>
      </rPr>
      <t>D</t>
    </r>
  </si>
  <si>
    <t>Short-term investments</t>
  </si>
  <si>
    <r>
      <t>MERCK, COST OF DEBT r</t>
    </r>
    <r>
      <rPr>
        <b/>
        <vertAlign val="subscript"/>
        <sz val="14"/>
        <color theme="1"/>
        <rFont val="Arial"/>
        <family val="2"/>
      </rPr>
      <t>D</t>
    </r>
  </si>
  <si>
    <t>Interest rate earned</t>
  </si>
  <si>
    <t>Interest rate paid</t>
  </si>
  <si>
    <t>Current dividend</t>
  </si>
  <si>
    <t>Quarterly</t>
  </si>
  <si>
    <t>Last 10 years</t>
  </si>
  <si>
    <t>Using last 5 years' growth</t>
  </si>
  <si>
    <t>Using last 10 years' growth</t>
  </si>
  <si>
    <r>
      <t>COMPUTING MERCK'S r</t>
    </r>
    <r>
      <rPr>
        <b/>
        <vertAlign val="subscript"/>
        <sz val="14"/>
        <color theme="1"/>
        <rFont val="Arial"/>
        <family val="2"/>
      </rPr>
      <t>E</t>
    </r>
    <r>
      <rPr>
        <b/>
        <sz val="14"/>
        <color theme="1"/>
        <rFont val="Arial"/>
        <family val="2"/>
      </rPr>
      <t xml:space="preserve"> 
WITH THE GORDON MODEL</t>
    </r>
  </si>
  <si>
    <r>
      <t>Merck stock price P</t>
    </r>
    <r>
      <rPr>
        <vertAlign val="subscript"/>
        <sz val="11"/>
        <color theme="1"/>
        <rFont val="Arial"/>
        <family val="2"/>
      </rPr>
      <t>0</t>
    </r>
    <r>
      <rPr>
        <sz val="11"/>
        <color theme="1"/>
        <rFont val="Arial"/>
        <family val="2"/>
      </rPr>
      <t>, 29 June 2012</t>
    </r>
  </si>
  <si>
    <r>
      <t>Annualized dividend, Div</t>
    </r>
    <r>
      <rPr>
        <vertAlign val="subscript"/>
        <sz val="11"/>
        <color theme="1"/>
        <rFont val="Arial"/>
        <family val="2"/>
      </rPr>
      <t>0</t>
    </r>
  </si>
  <si>
    <t>Dividend growth rate, g</t>
  </si>
  <si>
    <r>
      <t>Gordon model cost of equity, r</t>
    </r>
    <r>
      <rPr>
        <vertAlign val="subscript"/>
        <sz val="11"/>
        <color theme="1"/>
        <rFont val="Arial"/>
        <family val="2"/>
      </rPr>
      <t>E</t>
    </r>
  </si>
  <si>
    <t>Price per share</t>
  </si>
  <si>
    <t>Market value of equity</t>
  </si>
  <si>
    <t>Shares outstanding (million)</t>
  </si>
  <si>
    <r>
      <t>Computing the Gordon model cost of equity r</t>
    </r>
    <r>
      <rPr>
        <vertAlign val="subscript"/>
        <sz val="11"/>
        <color theme="1"/>
        <rFont val="Arial"/>
        <family val="2"/>
      </rPr>
      <t>E</t>
    </r>
    <r>
      <rPr>
        <sz val="11"/>
        <color theme="1"/>
        <rFont val="Arial"/>
        <family val="2"/>
      </rPr>
      <t xml:space="preserve"> based on total equity payouts</t>
    </r>
  </si>
  <si>
    <r>
      <t>High growth rate, g</t>
    </r>
    <r>
      <rPr>
        <vertAlign val="subscript"/>
        <sz val="11"/>
        <color theme="1"/>
        <rFont val="Arial"/>
        <family val="2"/>
      </rPr>
      <t>high</t>
    </r>
  </si>
  <si>
    <r>
      <t>Normal growth rate, g</t>
    </r>
    <r>
      <rPr>
        <vertAlign val="subscript"/>
        <sz val="11"/>
        <color theme="1"/>
        <rFont val="Arial"/>
        <family val="2"/>
      </rPr>
      <t>normal</t>
    </r>
  </si>
  <si>
    <t>Number of high-growth years, m</t>
  </si>
  <si>
    <r>
      <t>Cost of equity, r</t>
    </r>
    <r>
      <rPr>
        <vertAlign val="subscript"/>
        <sz val="11"/>
        <color theme="1"/>
        <rFont val="Arial"/>
        <family val="2"/>
      </rPr>
      <t xml:space="preserve">E
</t>
    </r>
    <r>
      <rPr>
        <sz val="11"/>
        <color theme="1"/>
        <rFont val="Arial"/>
        <family val="2"/>
      </rPr>
      <t xml:space="preserve">using the function </t>
    </r>
    <r>
      <rPr>
        <b/>
        <sz val="11"/>
        <color theme="1"/>
        <rFont val="Arial"/>
        <family val="2"/>
      </rPr>
      <t>twostagegordon</t>
    </r>
  </si>
  <si>
    <r>
      <t>Computing the Gordon model cost of equity r</t>
    </r>
    <r>
      <rPr>
        <vertAlign val="subscript"/>
        <sz val="11"/>
        <color theme="1"/>
        <rFont val="Arial"/>
        <family val="2"/>
      </rPr>
      <t>E</t>
    </r>
    <r>
      <rPr>
        <sz val="11"/>
        <color theme="1"/>
        <rFont val="Arial"/>
        <family val="2"/>
      </rPr>
      <t xml:space="preserve"> based on total equity payouts 
and the 2-stage Gordon model</t>
    </r>
  </si>
  <si>
    <t>&lt;-- Author guess</t>
  </si>
  <si>
    <t>Alpha</t>
  </si>
  <si>
    <t>Beta</t>
  </si>
  <si>
    <t>R-squared</t>
  </si>
  <si>
    <t>t-statistic for alpha</t>
  </si>
  <si>
    <t>t-statistic for beta</t>
  </si>
  <si>
    <t>Prices</t>
  </si>
  <si>
    <t>Returns</t>
  </si>
  <si>
    <t>SP500</t>
  </si>
  <si>
    <t>Slope</t>
  </si>
  <si>
    <t>Intercept</t>
  </si>
  <si>
    <t>Slope --&gt;</t>
  </si>
  <si>
    <t>&lt;-- Intercept</t>
  </si>
  <si>
    <t>Standard error of slope --&gt;</t>
  </si>
  <si>
    <t>&lt;-- Standard error of intercept</t>
  </si>
  <si>
    <t>R-squared --&gt;</t>
  </si>
  <si>
    <t>&lt;-- Standard error of y values</t>
  </si>
  <si>
    <t>F statistic --&gt;</t>
  </si>
  <si>
    <t>&lt;-- Degrees of freedom</t>
  </si>
  <si>
    <r>
      <t>SS</t>
    </r>
    <r>
      <rPr>
        <vertAlign val="subscript"/>
        <sz val="10"/>
        <rFont val="Arial"/>
        <family val="2"/>
      </rPr>
      <t>xy</t>
    </r>
    <r>
      <rPr>
        <sz val="11"/>
        <color theme="1"/>
        <rFont val="Arial"/>
        <family val="2"/>
      </rPr>
      <t xml:space="preserve"> --&gt;</t>
    </r>
  </si>
  <si>
    <t>&lt;-- SSE = Residual sum of squares</t>
  </si>
  <si>
    <t>Merck</t>
  </si>
  <si>
    <r>
      <t xml:space="preserve">COMPUTING THE BETA FOR MERCK
</t>
    </r>
    <r>
      <rPr>
        <b/>
        <sz val="12"/>
        <rFont val="Arial"/>
        <family val="2"/>
      </rPr>
      <t>monthly returns for Merck and SP500, 2007-2012</t>
    </r>
  </si>
  <si>
    <r>
      <t xml:space="preserve">Computing beta using </t>
    </r>
    <r>
      <rPr>
        <b/>
        <sz val="10"/>
        <rFont val="Arial"/>
        <family val="2"/>
      </rPr>
      <t>Covar</t>
    </r>
    <r>
      <rPr>
        <sz val="10"/>
        <rFont val="Arial"/>
        <family val="2"/>
      </rPr>
      <t xml:space="preserve"> and </t>
    </r>
    <r>
      <rPr>
        <b/>
        <sz val="10"/>
        <rFont val="Arial"/>
        <family val="2"/>
      </rPr>
      <t>Var</t>
    </r>
  </si>
  <si>
    <t>Covar(Merck,SP500)</t>
  </si>
  <si>
    <t>Variance(SP500)</t>
  </si>
  <si>
    <t>SUMMARY OUTPUT</t>
  </si>
  <si>
    <t>Regression Statistics</t>
  </si>
  <si>
    <t>Multiple R</t>
  </si>
  <si>
    <t>R Square</t>
  </si>
  <si>
    <t>Adjusted R Square</t>
  </si>
  <si>
    <t>Standard Error</t>
  </si>
  <si>
    <t>Observations</t>
  </si>
  <si>
    <t>ANOVA</t>
  </si>
  <si>
    <t>Regression</t>
  </si>
  <si>
    <t>Residual</t>
  </si>
  <si>
    <t>Total</t>
  </si>
  <si>
    <t>df</t>
  </si>
  <si>
    <t>SS</t>
  </si>
  <si>
    <t>MS</t>
  </si>
  <si>
    <t>F</t>
  </si>
  <si>
    <t>Significance F</t>
  </si>
  <si>
    <t>Coefficients</t>
  </si>
  <si>
    <t>t Stat</t>
  </si>
  <si>
    <t>P-value</t>
  </si>
  <si>
    <t>Lower 95%</t>
  </si>
  <si>
    <t>Upper 95%</t>
  </si>
  <si>
    <t>Lower 95.0%</t>
  </si>
  <si>
    <t>Upper 95.0%</t>
  </si>
  <si>
    <t>X Variable 1</t>
  </si>
  <si>
    <r>
      <t>Risk-free rate, r</t>
    </r>
    <r>
      <rPr>
        <vertAlign val="subscript"/>
        <sz val="11"/>
        <color theme="1"/>
        <rFont val="Arial"/>
        <family val="2"/>
      </rPr>
      <t>f</t>
    </r>
  </si>
  <si>
    <r>
      <t xml:space="preserve">Merck beta, </t>
    </r>
    <r>
      <rPr>
        <sz val="11"/>
        <color theme="1"/>
        <rFont val="Symbol"/>
        <family val="1"/>
        <charset val="2"/>
      </rPr>
      <t>b</t>
    </r>
  </si>
  <si>
    <r>
      <t>Expected market return, E(r</t>
    </r>
    <r>
      <rPr>
        <vertAlign val="subscript"/>
        <sz val="11"/>
        <color theme="1"/>
        <rFont val="Arial"/>
        <family val="2"/>
      </rPr>
      <t>M</t>
    </r>
    <r>
      <rPr>
        <sz val="11"/>
        <color theme="1"/>
        <rFont val="Arial"/>
        <family val="2"/>
      </rPr>
      <t>)</t>
    </r>
  </si>
  <si>
    <r>
      <t>COMPUTING THE COST OF EQUITY FOR MERCK
Classic CAPM:  r</t>
    </r>
    <r>
      <rPr>
        <b/>
        <vertAlign val="subscript"/>
        <sz val="14"/>
        <color theme="1"/>
        <rFont val="Arial"/>
        <family val="2"/>
      </rPr>
      <t>E</t>
    </r>
    <r>
      <rPr>
        <b/>
        <sz val="14"/>
        <color theme="1"/>
        <rFont val="Arial"/>
        <family val="2"/>
      </rPr>
      <t xml:space="preserve"> = r</t>
    </r>
    <r>
      <rPr>
        <b/>
        <vertAlign val="subscript"/>
        <sz val="14"/>
        <color theme="1"/>
        <rFont val="Arial"/>
        <family val="2"/>
      </rPr>
      <t>f</t>
    </r>
    <r>
      <rPr>
        <b/>
        <sz val="14"/>
        <color theme="1"/>
        <rFont val="Arial"/>
        <family val="2"/>
      </rPr>
      <t xml:space="preserve"> + </t>
    </r>
    <r>
      <rPr>
        <b/>
        <sz val="14"/>
        <color theme="1"/>
        <rFont val="Symbol"/>
        <family val="1"/>
        <charset val="2"/>
      </rPr>
      <t>b</t>
    </r>
    <r>
      <rPr>
        <b/>
        <sz val="14"/>
        <color theme="1"/>
        <rFont val="Arial"/>
        <family val="2"/>
      </rPr>
      <t>*[E(r</t>
    </r>
    <r>
      <rPr>
        <b/>
        <vertAlign val="subscript"/>
        <sz val="14"/>
        <color theme="1"/>
        <rFont val="Arial"/>
        <family val="2"/>
      </rPr>
      <t>M</t>
    </r>
    <r>
      <rPr>
        <b/>
        <sz val="14"/>
        <color theme="1"/>
        <rFont val="Arial"/>
        <family val="2"/>
      </rPr>
      <t>) - r</t>
    </r>
    <r>
      <rPr>
        <b/>
        <vertAlign val="subscript"/>
        <sz val="14"/>
        <color theme="1"/>
        <rFont val="Arial"/>
        <family val="2"/>
      </rPr>
      <t xml:space="preserve">f </t>
    </r>
    <r>
      <rPr>
        <b/>
        <sz val="14"/>
        <color theme="1"/>
        <rFont val="Arial"/>
        <family val="2"/>
      </rPr>
      <t>]</t>
    </r>
  </si>
  <si>
    <r>
      <t>Merck tax rate, T</t>
    </r>
    <r>
      <rPr>
        <vertAlign val="subscript"/>
        <sz val="11"/>
        <color theme="1"/>
        <rFont val="Arial"/>
        <family val="2"/>
      </rPr>
      <t>C</t>
    </r>
  </si>
  <si>
    <t>Whole Foods Dividend History</t>
  </si>
  <si>
    <t>Term of dividends</t>
  </si>
  <si>
    <t>Dividend growth rate, g
since April 2007</t>
  </si>
  <si>
    <t>Dividend growth rate, g
since January 2011</t>
  </si>
  <si>
    <t>Based on dividends since April 2007</t>
  </si>
  <si>
    <t>Based on dividends since January  2011</t>
  </si>
  <si>
    <t>CATERPILLAR'S EQUITY PAYOUTS</t>
  </si>
  <si>
    <t>Shares issued</t>
  </si>
  <si>
    <t>Treasury shares purchased</t>
  </si>
  <si>
    <t>Growth, 5 years</t>
  </si>
  <si>
    <t>Growth, last 3 years</t>
  </si>
  <si>
    <t>COMPUTING THE VALUE OF EQUITY, E, FOR EL PASO PIPELINE PARTNERS (EPB)</t>
  </si>
  <si>
    <r>
      <t>Implied cost of debt, r</t>
    </r>
    <r>
      <rPr>
        <b/>
        <vertAlign val="subscript"/>
        <sz val="11"/>
        <color theme="1"/>
        <rFont val="Arial"/>
        <family val="2"/>
      </rPr>
      <t>D</t>
    </r>
  </si>
  <si>
    <t>Total liquid assets</t>
  </si>
  <si>
    <t>Total financial debt</t>
  </si>
  <si>
    <t>THE GORDON MODEL COST OF EQUITY</t>
  </si>
  <si>
    <t>Anticipated dividend growth rate, g</t>
  </si>
  <si>
    <r>
      <t>Current share price, P</t>
    </r>
    <r>
      <rPr>
        <vertAlign val="subscript"/>
        <sz val="11"/>
        <color theme="1"/>
        <rFont val="Arial"/>
        <family val="2"/>
      </rPr>
      <t>0</t>
    </r>
  </si>
  <si>
    <r>
      <t>Current dividend, Div</t>
    </r>
    <r>
      <rPr>
        <vertAlign val="subscript"/>
        <sz val="11"/>
        <color theme="1"/>
        <rFont val="Arial"/>
        <family val="2"/>
      </rPr>
      <t>0</t>
    </r>
  </si>
  <si>
    <t>MERCK DIVIDEND HISTORY</t>
  </si>
  <si>
    <r>
      <t>Current dividend, Div</t>
    </r>
    <r>
      <rPr>
        <vertAlign val="subscript"/>
        <sz val="10"/>
        <rFont val="Arial"/>
        <family val="2"/>
      </rPr>
      <t>0</t>
    </r>
  </si>
  <si>
    <r>
      <t>Growth rate g</t>
    </r>
    <r>
      <rPr>
        <vertAlign val="subscript"/>
        <sz val="10"/>
        <rFont val="Arial"/>
        <family val="2"/>
      </rPr>
      <t>1</t>
    </r>
    <r>
      <rPr>
        <sz val="11"/>
        <color theme="1"/>
        <rFont val="Arial"/>
        <family val="2"/>
      </rPr>
      <t>, years 1-m ("supernormal")</t>
    </r>
  </si>
  <si>
    <r>
      <t>Growth rate g</t>
    </r>
    <r>
      <rPr>
        <vertAlign val="subscript"/>
        <sz val="10"/>
        <rFont val="Arial"/>
        <family val="2"/>
      </rPr>
      <t>2</t>
    </r>
    <r>
      <rPr>
        <sz val="11"/>
        <color theme="1"/>
        <rFont val="Arial"/>
        <family val="2"/>
      </rPr>
      <t xml:space="preserve">, years 6 - </t>
    </r>
    <r>
      <rPr>
        <sz val="10"/>
        <rFont val="Symbol"/>
        <family val="1"/>
        <charset val="2"/>
      </rPr>
      <t>¥</t>
    </r>
  </si>
  <si>
    <t>Number of supernormal growth years, m</t>
  </si>
  <si>
    <t>Cost of equity</t>
  </si>
  <si>
    <t>Share price</t>
  </si>
  <si>
    <t>THE GORDON MODEL WITH TWO GROWTH RATES
Using the TwoStageGordon function</t>
  </si>
  <si>
    <r>
      <t>COMPUTING THE COST OF EQUITY FOR MERCK USING THE MARKET RISK PREMIUM E(r</t>
    </r>
    <r>
      <rPr>
        <b/>
        <vertAlign val="subscript"/>
        <sz val="14"/>
        <rFont val="Arial"/>
        <family val="2"/>
      </rPr>
      <t>M</t>
    </r>
    <r>
      <rPr>
        <b/>
        <sz val="14"/>
        <rFont val="Arial"/>
        <family val="2"/>
      </rPr>
      <t>) - r</t>
    </r>
    <r>
      <rPr>
        <b/>
        <vertAlign val="subscript"/>
        <sz val="14"/>
        <rFont val="Arial"/>
        <family val="2"/>
      </rPr>
      <t>f</t>
    </r>
    <r>
      <rPr>
        <b/>
        <sz val="12"/>
        <rFont val="Arial"/>
        <family val="2"/>
      </rPr>
      <t/>
    </r>
  </si>
  <si>
    <r>
      <t>Merck tax rate, T</t>
    </r>
    <r>
      <rPr>
        <vertAlign val="subscript"/>
        <sz val="11"/>
        <rFont val="Arial"/>
        <family val="2"/>
      </rPr>
      <t>C</t>
    </r>
  </si>
  <si>
    <r>
      <t>Risk free rate, r</t>
    </r>
    <r>
      <rPr>
        <vertAlign val="subscript"/>
        <sz val="11"/>
        <rFont val="Arial"/>
        <family val="2"/>
      </rPr>
      <t>f</t>
    </r>
  </si>
  <si>
    <r>
      <t>Intel cost of equity, r</t>
    </r>
    <r>
      <rPr>
        <vertAlign val="subscript"/>
        <sz val="11"/>
        <rFont val="Arial"/>
        <family val="2"/>
      </rPr>
      <t>E,Intel</t>
    </r>
  </si>
  <si>
    <t>&lt;-- Approx. U.S.:  Dividends + repurchases</t>
  </si>
  <si>
    <r>
      <t xml:space="preserve">Merck beta, </t>
    </r>
    <r>
      <rPr>
        <sz val="11"/>
        <rFont val="Symbol"/>
        <family val="1"/>
        <charset val="2"/>
      </rPr>
      <t>b</t>
    </r>
  </si>
  <si>
    <r>
      <t>E(r</t>
    </r>
    <r>
      <rPr>
        <vertAlign val="subscript"/>
        <sz val="11"/>
        <rFont val="Arial"/>
        <family val="2"/>
      </rPr>
      <t>M</t>
    </r>
    <r>
      <rPr>
        <sz val="11"/>
        <rFont val="Arial"/>
        <family val="2"/>
      </rPr>
      <t>) derived from SP price/earnings</t>
    </r>
  </si>
  <si>
    <r>
      <t>Note</t>
    </r>
    <r>
      <rPr>
        <sz val="11"/>
        <rFont val="Arial"/>
        <family val="2"/>
      </rPr>
      <t>:  The tax-adjusted model in cell B8 uses the equivalence:
E(r</t>
    </r>
    <r>
      <rPr>
        <vertAlign val="subscript"/>
        <sz val="11"/>
        <rFont val="Arial"/>
        <family val="2"/>
      </rPr>
      <t>M</t>
    </r>
    <r>
      <rPr>
        <sz val="11"/>
        <rFont val="Arial"/>
        <family val="2"/>
      </rPr>
      <t>) - r</t>
    </r>
    <r>
      <rPr>
        <vertAlign val="subscript"/>
        <sz val="11"/>
        <rFont val="Arial"/>
        <family val="2"/>
      </rPr>
      <t>f</t>
    </r>
    <r>
      <rPr>
        <sz val="11"/>
        <rFont val="Arial"/>
        <family val="2"/>
      </rPr>
      <t xml:space="preserve"> (1-T</t>
    </r>
    <r>
      <rPr>
        <vertAlign val="subscript"/>
        <sz val="11"/>
        <rFont val="Arial"/>
        <family val="2"/>
      </rPr>
      <t>C</t>
    </r>
    <r>
      <rPr>
        <sz val="11"/>
        <rFont val="Arial"/>
        <family val="2"/>
      </rPr>
      <t>) = E(r</t>
    </r>
    <r>
      <rPr>
        <vertAlign val="subscript"/>
        <sz val="11"/>
        <rFont val="Arial"/>
        <family val="2"/>
      </rPr>
      <t>M</t>
    </r>
    <r>
      <rPr>
        <sz val="11"/>
        <rFont val="Arial"/>
        <family val="2"/>
      </rPr>
      <t>) - r</t>
    </r>
    <r>
      <rPr>
        <vertAlign val="subscript"/>
        <sz val="11"/>
        <rFont val="Arial"/>
        <family val="2"/>
      </rPr>
      <t>f</t>
    </r>
    <r>
      <rPr>
        <sz val="11"/>
        <rFont val="Arial"/>
        <family val="2"/>
      </rPr>
      <t xml:space="preserve"> + T</t>
    </r>
    <r>
      <rPr>
        <vertAlign val="subscript"/>
        <sz val="11"/>
        <rFont val="Arial"/>
        <family val="2"/>
      </rPr>
      <t>C</t>
    </r>
    <r>
      <rPr>
        <sz val="11"/>
        <rFont val="Arial"/>
        <family val="2"/>
      </rPr>
      <t>*r</t>
    </r>
    <r>
      <rPr>
        <vertAlign val="subscript"/>
        <sz val="11"/>
        <rFont val="Arial"/>
        <family val="2"/>
      </rPr>
      <t xml:space="preserve">f
</t>
    </r>
    <r>
      <rPr>
        <sz val="11"/>
        <rFont val="Arial"/>
        <family val="2"/>
      </rPr>
      <t>For the low levels of taxes and low r</t>
    </r>
    <r>
      <rPr>
        <vertAlign val="subscript"/>
        <sz val="11"/>
        <rFont val="Arial"/>
        <family val="2"/>
      </rPr>
      <t>f</t>
    </r>
    <r>
      <rPr>
        <sz val="11"/>
        <rFont val="Arial"/>
        <family val="2"/>
      </rPr>
      <t xml:space="preserve"> in this example, there is virtually no difference between the two approaches.</t>
    </r>
  </si>
  <si>
    <r>
      <t>WFM stock price P</t>
    </r>
    <r>
      <rPr>
        <vertAlign val="subscript"/>
        <sz val="11"/>
        <color theme="1"/>
        <rFont val="Arial"/>
        <family val="2"/>
      </rPr>
      <t>0</t>
    </r>
    <r>
      <rPr>
        <sz val="11"/>
        <color theme="1"/>
        <rFont val="Arial"/>
        <family val="2"/>
      </rPr>
      <t>, 29 June 2012</t>
    </r>
  </si>
  <si>
    <r>
      <t>COMPUTING WHOLE FOODS MARKET (WFM) r</t>
    </r>
    <r>
      <rPr>
        <b/>
        <vertAlign val="subscript"/>
        <sz val="14"/>
        <color theme="1"/>
        <rFont val="Arial"/>
        <family val="2"/>
      </rPr>
      <t>E</t>
    </r>
    <r>
      <rPr>
        <b/>
        <sz val="14"/>
        <color theme="1"/>
        <rFont val="Arial"/>
        <family val="2"/>
      </rPr>
      <t xml:space="preserve"> 
WITH THE GORDON MODEL</t>
    </r>
  </si>
  <si>
    <r>
      <t>Tax rate, T</t>
    </r>
    <r>
      <rPr>
        <b/>
        <vertAlign val="subscript"/>
        <sz val="11"/>
        <color theme="1"/>
        <rFont val="Arial"/>
        <family val="2"/>
      </rPr>
      <t>C</t>
    </r>
  </si>
  <si>
    <t>WHOLE FOODS MARKET TAX RATE</t>
  </si>
  <si>
    <t>UNITED STATES STEEL, COST OF DEBT</t>
  </si>
  <si>
    <t>FITCH-RATED A BONDS, Friday 17 August 2012</t>
  </si>
  <si>
    <t>Coupon</t>
  </si>
  <si>
    <t>Maturity</t>
  </si>
  <si>
    <t>Yield to maturity</t>
  </si>
  <si>
    <t>DUKE POWER CO LLC</t>
  </si>
  <si>
    <t>HSBC FIN CORP HSBC FIN</t>
  </si>
  <si>
    <t>JPMORGAN CHASE &amp; CO</t>
  </si>
  <si>
    <t>PRUDENTIAL FINL INC INTERNOTE</t>
  </si>
  <si>
    <t>AMERICAN INTL GROUP INC MTN BE</t>
  </si>
  <si>
    <t>BANK OF AMERICA CORPORATION</t>
  </si>
  <si>
    <t>HOUSEHOLD FIN CORP</t>
  </si>
  <si>
    <t>NATIONAL SEMICONDUCTOR CORP</t>
  </si>
  <si>
    <t>ALLTEL CORP</t>
  </si>
  <si>
    <t>HEWLETT PACKARD CO</t>
  </si>
  <si>
    <t>POLAND REP</t>
  </si>
  <si>
    <t>BB&amp;T CORPORATION</t>
  </si>
  <si>
    <t>CITIGROUP INC</t>
  </si>
  <si>
    <t>LINCOLN NATL CORP IND</t>
  </si>
  <si>
    <t>GOLDMAN SACHS GROUP INC</t>
  </si>
  <si>
    <t>WELLS FARGO &amp; CO NEW</t>
  </si>
  <si>
    <t>CARGILL INC</t>
  </si>
  <si>
    <t>PRUDENTIAL FINL INC MTNS BOOK</t>
  </si>
  <si>
    <t>CONOCOPHILLIPS</t>
  </si>
  <si>
    <t>COVIDIEN INTL FIN S A</t>
  </si>
  <si>
    <t>NSTAR ELEC CO</t>
  </si>
  <si>
    <t>CATERPILLAR FINL CORP PWRNTSBE</t>
  </si>
  <si>
    <t>DU PONT E I DE NEMOURS &amp; CO</t>
  </si>
  <si>
    <t>GEORGIA PWR CO</t>
  </si>
  <si>
    <t>UNITEDHEALTH GROUP INC</t>
  </si>
  <si>
    <t>BHP FIN USA LTD</t>
  </si>
  <si>
    <t>TD AMERITRADE HLDG CORP</t>
  </si>
  <si>
    <t>KELLOGG CO</t>
  </si>
  <si>
    <t>PACCAR FINL CORP SR MTNS BK EN</t>
  </si>
  <si>
    <t>AT&amp;T INC</t>
  </si>
  <si>
    <t>ANHEUSER BUSCH COS INC</t>
  </si>
  <si>
    <t>BRANCH BKG &amp; TR CO NC MTN BE</t>
  </si>
  <si>
    <t>DEERE JOHN CAPITAL CORP</t>
  </si>
  <si>
    <t>BANK ONE CORP</t>
  </si>
  <si>
    <t>CONSOLIDATED EDISON CO N Y INC</t>
  </si>
  <si>
    <t>MERRILL LYNCH CO INC MTN BE</t>
  </si>
  <si>
    <t>CATERPILLAR FINL SVCS MTNS BE</t>
  </si>
  <si>
    <t>SYSCO CORP</t>
  </si>
  <si>
    <t>COMPUTER SCIENCES CORP</t>
  </si>
  <si>
    <t>PARKER HANNIFIN CORP</t>
  </si>
  <si>
    <t>VERIZON COMMUNICATIONS INC</t>
  </si>
  <si>
    <t>ARCHER DANIELS MIDLAND CO</t>
  </si>
  <si>
    <t>FLORIDA POWER CORP</t>
  </si>
  <si>
    <t>MORGAN STANLEY</t>
  </si>
  <si>
    <t>PUBLIC SERVICE CO COLO</t>
  </si>
  <si>
    <t>KONINKLIJKE PHILIPS ELECTRS NV</t>
  </si>
  <si>
    <t>AT&amp;T CORP</t>
  </si>
  <si>
    <t>CANADIAN NATL RY CO</t>
  </si>
  <si>
    <t>SIMON PPTY GROUP LP</t>
  </si>
  <si>
    <t>SOVEREIGN BK FSB WYOMISSING PA</t>
  </si>
  <si>
    <t>ANHEUSER BUSCH INBEV WORLDWIDE</t>
  </si>
  <si>
    <t>DIAGEO FIN BV</t>
  </si>
  <si>
    <t>DEERE JOHN CAP CORP MTNS BE</t>
  </si>
  <si>
    <t>JOHN DEERE CAP CORP CORENOTE P</t>
  </si>
  <si>
    <t>DELL INC</t>
  </si>
  <si>
    <t>MERCANTILE BANKSHARES CORP</t>
  </si>
  <si>
    <t>NATIONAL RURAL UTILS COOP FIN</t>
  </si>
  <si>
    <t>ALLSTATE LIFE GLOBAL FDG SECD</t>
  </si>
  <si>
    <t>BANK AMER CORP</t>
  </si>
  <si>
    <t>EMERSON ELEC CO</t>
  </si>
  <si>
    <t>AMERICAN EXPRESS CR CORP MTNBE</t>
  </si>
  <si>
    <t>ALCAN INC</t>
  </si>
  <si>
    <t>AMERICAN INTL GROUP INC</t>
  </si>
  <si>
    <t>GENERAL DYNAMICS CORP</t>
  </si>
  <si>
    <t>GLAXOSMITHKLINE CAP INC</t>
  </si>
  <si>
    <t>WMC FIN USA LTD</t>
  </si>
  <si>
    <t>PHILIP MORRIS INTL INC</t>
  </si>
  <si>
    <t>PRAXAIR INC</t>
  </si>
  <si>
    <t>VERIZON GLOBAL FDG CORP</t>
  </si>
  <si>
    <t>DUKE ENERGY OHIO</t>
  </si>
  <si>
    <t>GENWORTH GLOBAL FDG TR</t>
  </si>
  <si>
    <t>NYSE EURONEXT</t>
  </si>
  <si>
    <t>AMERICAN EXPRESS CO</t>
  </si>
  <si>
    <t>THOMSON REUTERS CORP</t>
  </si>
  <si>
    <t>ATLANTIC CITY ELEC CO</t>
  </si>
  <si>
    <t>ENTERGY ARK INC</t>
  </si>
  <si>
    <t>WALGREEN CO</t>
  </si>
  <si>
    <t>BRISTOL MYERS SQUIBB CO</t>
  </si>
  <si>
    <t>COCA COLA ENTERPRISES INC</t>
  </si>
  <si>
    <t>KIMBERLY CLARK CORP</t>
  </si>
  <si>
    <t>ROYAL BK SCOTLAND PLC</t>
  </si>
  <si>
    <t>AMERICAN EXPRESS CR CORP INTER</t>
  </si>
  <si>
    <t>CAROLINA PWR &amp; LT CO</t>
  </si>
  <si>
    <t>EOG RES INC</t>
  </si>
  <si>
    <t>NIKE INC MTN BE</t>
  </si>
  <si>
    <t>DEAN WITTER DISCOVER &amp; CO</t>
  </si>
  <si>
    <t>EBAY INC</t>
  </si>
  <si>
    <t>PECO ENERGY CO</t>
  </si>
  <si>
    <t>BP CAP MKTS P L C</t>
  </si>
  <si>
    <t>DAIMLER CHRYSLER NORTH AMER HL</t>
  </si>
  <si>
    <t>VERIZON WIRELESS CAP LLC</t>
  </si>
  <si>
    <t>PACIFIC GAS &amp; ELEC CO</t>
  </si>
  <si>
    <t>OCCIDENTAL PETE CORP DEL</t>
  </si>
  <si>
    <t>DISNEY WALT CO</t>
  </si>
  <si>
    <t>UNION BK CALIF N A MEDIUM TERM</t>
  </si>
  <si>
    <t>VODAFONE GROUP PLC NEW</t>
  </si>
  <si>
    <t>DIAGEO CAP PLC</t>
  </si>
  <si>
    <t>EXPORT IMPORT BK KOREA</t>
  </si>
  <si>
    <t>BURLINGTON NORTHN SANTA FE CP</t>
  </si>
  <si>
    <t>HONEYWELL INTL INC</t>
  </si>
  <si>
    <t>WACHOVIA CORP NEW</t>
  </si>
  <si>
    <t>WELLPOINT INC</t>
  </si>
  <si>
    <t>WESTERN UN CO</t>
  </si>
  <si>
    <t>AMERICA MOVIL SAB DE CV</t>
  </si>
  <si>
    <t>SNAP ON INC</t>
  </si>
  <si>
    <t>BOEING CO</t>
  </si>
  <si>
    <t>CORNING INC</t>
  </si>
  <si>
    <t>TEVA PHARMACEUTICAL FIN III BV</t>
  </si>
  <si>
    <t>BHP BILLITON FIN USA LTD</t>
  </si>
  <si>
    <t>DEERE &amp; CO</t>
  </si>
  <si>
    <t>GOLDMAN SACHS GRP INC MTN BE</t>
  </si>
  <si>
    <t>RIO TINTO FIN USA LTD</t>
  </si>
  <si>
    <t>TEXAS INSTRS INC</t>
  </si>
  <si>
    <t>ALLSTATE CORP</t>
  </si>
  <si>
    <t>PNC FUNDING CORP</t>
  </si>
  <si>
    <t>BARRICK GOLD CORP</t>
  </si>
  <si>
    <t>NORDSTROM INC</t>
  </si>
  <si>
    <t>SCHWAB CHARLES CORP NEW</t>
  </si>
  <si>
    <t>METLIFE INC</t>
  </si>
  <si>
    <t>DISNEY WALT CO MTNS BE</t>
  </si>
  <si>
    <t>ANALOG DEVICES INC</t>
  </si>
  <si>
    <t>ORACLE CORP</t>
  </si>
  <si>
    <t>DIAMOND OFFSHORE DRILLING INC</t>
  </si>
  <si>
    <t>BELLSOUTH CORP</t>
  </si>
  <si>
    <t>SBC COMMUNICATIONS INC</t>
  </si>
  <si>
    <t>SOUTHERN CALIF EDISON CO</t>
  </si>
  <si>
    <t>KOREA REP</t>
  </si>
  <si>
    <t>BOEING CAP CORP</t>
  </si>
  <si>
    <t>BLACK &amp; DECKER CORP</t>
  </si>
  <si>
    <t>TEVA PHARMACEUTICAL FINANCE IV</t>
  </si>
  <si>
    <t>AMGEN INC</t>
  </si>
  <si>
    <t>CISCO SYS INC</t>
  </si>
  <si>
    <t>AXIS CAP HLDGS LTD</t>
  </si>
  <si>
    <t>BLACKROCK INC</t>
  </si>
  <si>
    <t>NATIONAL CITY CORP</t>
  </si>
  <si>
    <t>DEUTSCHE BK FINL LLC MTN</t>
  </si>
  <si>
    <t>BANK AMER CORP SR INTNOTES BE</t>
  </si>
  <si>
    <t>BAXTER INTL INC</t>
  </si>
  <si>
    <t>COOPER US INC</t>
  </si>
  <si>
    <t>BOSTON PPTYS LTD PARTNERSHIP</t>
  </si>
  <si>
    <t>HSBC FINANCE CORP</t>
  </si>
  <si>
    <t>BANCO BRADESCO S A GRAND</t>
  </si>
  <si>
    <t>THERMO FISHER SCIENTIFIC INC</t>
  </si>
  <si>
    <t>UNITED TECHNOLOGIES CORP</t>
  </si>
  <si>
    <t>TRANSCANADA CORP</t>
  </si>
  <si>
    <t>NCNB CORP</t>
  </si>
  <si>
    <t>SWISS BANK CORP</t>
  </si>
  <si>
    <t>NATIONSBANK CORP</t>
  </si>
  <si>
    <t>SOUTHERN CO</t>
  </si>
  <si>
    <t>FRANCE TELECOM SA</t>
  </si>
  <si>
    <t>MANULIFE FINL CORP</t>
  </si>
  <si>
    <t>CITIGROUP GLOBAL MKTS HLDGS</t>
  </si>
  <si>
    <t>INCO LTD</t>
  </si>
  <si>
    <t>LOWES COS INC</t>
  </si>
  <si>
    <t>TYCO INTL GROUP S A</t>
  </si>
  <si>
    <t>BB&amp;T CORP</t>
  </si>
  <si>
    <t>VALE OVERSEAS LTD</t>
  </si>
  <si>
    <t>ORACLE CORP / OZARK HLDG INC</t>
  </si>
  <si>
    <t>LLOYDS TSB BK PLC</t>
  </si>
  <si>
    <t>ROYAL BK OF SCOTLAND PLC</t>
  </si>
  <si>
    <t>HOME DEPOT INC</t>
  </si>
  <si>
    <t>MCKESSON CORP</t>
  </si>
  <si>
    <t>STATE STR CORP</t>
  </si>
  <si>
    <t>LOEWS CORP</t>
  </si>
  <si>
    <t>MONSANTO CO</t>
  </si>
  <si>
    <t>LOCKHEED MARTIN CORP</t>
  </si>
  <si>
    <t>COUNTRYWIDE FINANCIAL CORP</t>
  </si>
  <si>
    <t>MERRILL LYNCH &amp; CO INC</t>
  </si>
  <si>
    <t>APPLIED MATLS INC</t>
  </si>
  <si>
    <t>BANK AMER CHRLT NC MTN</t>
  </si>
  <si>
    <t>AIR PRODS &amp; CHEMS INC</t>
  </si>
  <si>
    <t>CATERPILLAR INC DEL</t>
  </si>
  <si>
    <t>COMMONWEALTH EDISON CO</t>
  </si>
  <si>
    <t>DOMINION RES INC VA NEW</t>
  </si>
  <si>
    <t>COCA COLA ENTERPRISES INC NEW</t>
  </si>
  <si>
    <t>HERSHEY CO</t>
  </si>
  <si>
    <t>STRYKER CORP</t>
  </si>
  <si>
    <t>INTEL CORP</t>
  </si>
  <si>
    <t>PETROBRAS INTL FIN CO</t>
  </si>
  <si>
    <t>CONOCOPHILLIPS CDA FDG CO I</t>
  </si>
  <si>
    <t>SIEMENS FIN NV</t>
  </si>
  <si>
    <t>BECTON DICKINSON &amp; CO</t>
  </si>
  <si>
    <t>TEVA PHARMACEUTICAL FIN CO B.V</t>
  </si>
  <si>
    <t>GULF POWER CO</t>
  </si>
  <si>
    <t>APACHE CORP</t>
  </si>
  <si>
    <t>BEAR STEARNS COS INC</t>
  </si>
  <si>
    <t>CONSUMERS ENERGY CO</t>
  </si>
  <si>
    <t>COSTCO WHSL CORP NEW</t>
  </si>
  <si>
    <t>MCDONALDS CORP MED TERM NT BE</t>
  </si>
  <si>
    <t>CAMPBELL SOUP CO</t>
  </si>
  <si>
    <t>SCHWAB CHARLES CORP SR MTN BE</t>
  </si>
  <si>
    <t>PITNEY BOWES INC GLBL MTN</t>
  </si>
  <si>
    <t>EXELON GENERATION CO LLC</t>
  </si>
  <si>
    <t>ALABAMA PWR CO</t>
  </si>
  <si>
    <t>NUCOR CORP</t>
  </si>
  <si>
    <t>ROCKWELL AUTOMATION INC</t>
  </si>
  <si>
    <t>CARDINAL HEALTH INC</t>
  </si>
  <si>
    <t>TRAVELERS COMPANIES INC</t>
  </si>
  <si>
    <t>AMERITECH CAP FUNDING CORP</t>
  </si>
  <si>
    <t>MIDAMERICAN ENERGY CO</t>
  </si>
  <si>
    <t>GTE CORP</t>
  </si>
  <si>
    <t>COLUMBUS SOUTHERN PWR CO</t>
  </si>
  <si>
    <t>ENTERGY GULF STS LA LLC</t>
  </si>
  <si>
    <t>PUBLIC SVC CO N H</t>
  </si>
  <si>
    <t>VEOLIA ENVIRONNEMENT</t>
  </si>
  <si>
    <t>ABN AMRO BK N V AMSTERDAM BRH</t>
  </si>
  <si>
    <t>BP CAP MKTS AMER INC</t>
  </si>
  <si>
    <t>AVON PRODS INC</t>
  </si>
  <si>
    <t>PACIFICORP</t>
  </si>
  <si>
    <t>AETNA INC</t>
  </si>
  <si>
    <t>BANK AMER CORP SUB INTNTS BE</t>
  </si>
  <si>
    <t>BROADCOM CORP</t>
  </si>
  <si>
    <t>SOUTH CAROLINA ELEC &amp; GAS CO</t>
  </si>
  <si>
    <t>RAYTHEON CO</t>
  </si>
  <si>
    <t>EATON CORP</t>
  </si>
  <si>
    <t>AFLAC INC</t>
  </si>
  <si>
    <t>ST JUDE MED INC</t>
  </si>
  <si>
    <t>HALLIBURTON CO</t>
  </si>
  <si>
    <t>PROTECTIVE LIFE CORP</t>
  </si>
  <si>
    <t>REINSURANCE GROUP AMER INC</t>
  </si>
  <si>
    <t>BURLINGTON NORTHN RR CO</t>
  </si>
  <si>
    <t>BARRICK PD AUSTRALIA FIN PTY L</t>
  </si>
  <si>
    <t>AMERIPRISE FINL INC</t>
  </si>
  <si>
    <t>COMPASS BK BIRMINGHAM ALA</t>
  </si>
  <si>
    <t>TARGET CORP</t>
  </si>
  <si>
    <t>AETNA INC NEW</t>
  </si>
  <si>
    <t>ALLERGAN INC</t>
  </si>
  <si>
    <t>SVB FINL GROUP</t>
  </si>
  <si>
    <t>BARCLAYS BANK PLC</t>
  </si>
  <si>
    <t>GEORGIA-PACIFIC LLC</t>
  </si>
  <si>
    <t>ENTERGY LOUISIANA LLC</t>
  </si>
  <si>
    <t>REPUBLIC N Y CORP</t>
  </si>
  <si>
    <t>BARRICK NORTH AMERICA FIN LLC</t>
  </si>
  <si>
    <t>CINTAS CORP NO 2</t>
  </si>
  <si>
    <t>PUBLIC SVC ELEC &amp; GAS CO</t>
  </si>
  <si>
    <t>DAIMLER FINANCE NORTH AMER LLC</t>
  </si>
  <si>
    <t>FLUOR CORP NEW</t>
  </si>
  <si>
    <t>BURLINGTON RES INC</t>
  </si>
  <si>
    <t>SMUCKER J M CO</t>
  </si>
  <si>
    <t>TEVA PHARMACEUTICAL FIN IV B V</t>
  </si>
  <si>
    <t>MICHIGAN BELL TEL CO</t>
  </si>
  <si>
    <t>ATLANTIC RICHFIELD CO</t>
  </si>
  <si>
    <t>STATE TREAS REPUBLIC POLAND</t>
  </si>
  <si>
    <t>NEW JERSEY BELL TEL CO</t>
  </si>
  <si>
    <t>OCCIDENTAL PETE CORP MTN BK EN</t>
  </si>
  <si>
    <t>LORAL CORP</t>
  </si>
  <si>
    <t>LOUISIANA LD &amp; EXPL CO</t>
  </si>
  <si>
    <t>ANR PIPELINE CO</t>
  </si>
  <si>
    <t>SCOTTISH PWR PLC</t>
  </si>
  <si>
    <t>BELLSOUTH TELECOM</t>
  </si>
  <si>
    <t>GEORGIA PAC CORP</t>
  </si>
  <si>
    <t>GE GLOBAL INS HLDG CORP</t>
  </si>
  <si>
    <t>PACIFIC BELL</t>
  </si>
  <si>
    <t>INDIANA BELL TEL INC</t>
  </si>
  <si>
    <t>BANC ONE CORP</t>
  </si>
  <si>
    <t>GTE CALIF INC</t>
  </si>
  <si>
    <t>PUGET SOUND ENERGY INC SR MTN</t>
  </si>
  <si>
    <t>PUGET SOUND ENERGY INC</t>
  </si>
  <si>
    <t>DAYTON HUDSON CORP</t>
  </si>
  <si>
    <t>FLEET FINL GROUP INC NEW</t>
  </si>
  <si>
    <t>CUMMINS INC</t>
  </si>
  <si>
    <t>NORTHN STS PWR CO MINN</t>
  </si>
  <si>
    <t>NEW YORK TEL CO</t>
  </si>
  <si>
    <t>OKLAHOMA GAS &amp; ELEC CO</t>
  </si>
  <si>
    <t>CINCINNATI FINL CORP</t>
  </si>
  <si>
    <t>DOVER CORP</t>
  </si>
  <si>
    <t>BELL ATLANTIC-PENNSYLVANIA INC</t>
  </si>
  <si>
    <t>ISRAEL ST</t>
  </si>
  <si>
    <t>BAKER HUGHES INC</t>
  </si>
  <si>
    <t>PHILLIPS PETE CO</t>
  </si>
  <si>
    <t>CONOCO INC</t>
  </si>
  <si>
    <t>ABBEY NATL PLC</t>
  </si>
  <si>
    <t>AXA SA</t>
  </si>
  <si>
    <t>BELL TELEPHONE CO PA</t>
  </si>
  <si>
    <t>AT&amp;T WIRELESS SVCS INC</t>
  </si>
  <si>
    <t>CHESAPEAKE &amp; POTOMAC TEL CO MD</t>
  </si>
  <si>
    <t>BURLINGTON RES FIN CO</t>
  </si>
  <si>
    <t>CINGULAR WIRELESS LLC</t>
  </si>
  <si>
    <t>VERIZON NEW YORK INC</t>
  </si>
  <si>
    <t>DETROIT EDISON CO</t>
  </si>
  <si>
    <t>HSBC HLDGS PLC</t>
  </si>
  <si>
    <t>MICHIGAN CONS GAS CO</t>
  </si>
  <si>
    <t>TRAVELERS PPTY CAS CORP NEW</t>
  </si>
  <si>
    <t>WISCONSIN ENERGY CORP</t>
  </si>
  <si>
    <t>WISCONSIN ELEC PWR CO</t>
  </si>
  <si>
    <t>CINCINNATI GAS &amp; ELEC CO</t>
  </si>
  <si>
    <t>VERIZON MD INC</t>
  </si>
  <si>
    <t>ESTEE LAUDER COS INC</t>
  </si>
  <si>
    <t>GOLDMAN SACHS CAP I</t>
  </si>
  <si>
    <t>ASSURED GTY US HLDGS INC</t>
  </si>
  <si>
    <t>BAC CAPITAL TRUST VI</t>
  </si>
  <si>
    <t>MONSANTO CO NEW</t>
  </si>
  <si>
    <t>MONSANTO FIN CDA CO</t>
  </si>
  <si>
    <t>PLACER DOME INC</t>
  </si>
  <si>
    <t>TRANSCANADA PIPELINES LTD</t>
  </si>
  <si>
    <t>CONNECTICUT LT &amp; PWR CO</t>
  </si>
  <si>
    <t>ST PAUL TRAVELERS INC</t>
  </si>
  <si>
    <t>MIDAMERICAN ENERGY CO MTN BE</t>
  </si>
  <si>
    <t>NATIONSBANK CORP MTN SUB NT BE</t>
  </si>
  <si>
    <t>CENTRAL HUDSON GAS &amp; ELEC CORP</t>
  </si>
  <si>
    <t>CHUBB CORP</t>
  </si>
  <si>
    <t>BURLINGTON NORTH SANTA FE MTN</t>
  </si>
  <si>
    <t>PPL ELEC UTILS CORP</t>
  </si>
  <si>
    <t>WISCONSIN PWR &amp; LT CO</t>
  </si>
  <si>
    <t>DUKE ENERGY CAROLINAS LLC</t>
  </si>
  <si>
    <t>DUKE ENERGY INDIANA INC</t>
  </si>
  <si>
    <t>JPMORGAN CHASE CAP XXVII</t>
  </si>
  <si>
    <t>OGLETHORPE PWR CORP</t>
  </si>
  <si>
    <t>Time to maturity</t>
  </si>
  <si>
    <r>
      <t>COMPUTING MERCK'S r</t>
    </r>
    <r>
      <rPr>
        <b/>
        <vertAlign val="subscript"/>
        <sz val="14"/>
        <color theme="1"/>
        <rFont val="Arial"/>
        <family val="2"/>
      </rPr>
      <t>D</t>
    </r>
    <r>
      <rPr>
        <b/>
        <sz val="14"/>
        <color theme="1"/>
        <rFont val="Arial"/>
        <family val="2"/>
      </rPr>
      <t xml:space="preserve"> FROM THE A YIELD CURVE</t>
    </r>
  </si>
  <si>
    <t>Average time to maturity (years)</t>
  </si>
  <si>
    <t>Yield</t>
  </si>
  <si>
    <r>
      <t>Merck cost of equity, r</t>
    </r>
    <r>
      <rPr>
        <vertAlign val="subscript"/>
        <sz val="11"/>
        <color theme="1"/>
        <rFont val="Arial"/>
        <family val="2"/>
      </rPr>
      <t>E</t>
    </r>
  </si>
  <si>
    <r>
      <t>Merck tax-adjusted cost of equity, r</t>
    </r>
    <r>
      <rPr>
        <vertAlign val="subscript"/>
        <sz val="11"/>
        <color theme="1"/>
        <rFont val="Arial"/>
        <family val="2"/>
      </rPr>
      <t>E</t>
    </r>
  </si>
  <si>
    <r>
      <t>COMPUTING THE COST OF EQUITY FOR MERCK
Tax-adjusted CAPM:  r</t>
    </r>
    <r>
      <rPr>
        <b/>
        <vertAlign val="subscript"/>
        <sz val="14"/>
        <color theme="1"/>
        <rFont val="Arial"/>
        <family val="2"/>
      </rPr>
      <t>E</t>
    </r>
    <r>
      <rPr>
        <b/>
        <sz val="14"/>
        <color theme="1"/>
        <rFont val="Arial"/>
        <family val="2"/>
      </rPr>
      <t xml:space="preserve"> = r</t>
    </r>
    <r>
      <rPr>
        <b/>
        <vertAlign val="subscript"/>
        <sz val="14"/>
        <color theme="1"/>
        <rFont val="Arial"/>
        <family val="2"/>
      </rPr>
      <t>f</t>
    </r>
    <r>
      <rPr>
        <b/>
        <sz val="14"/>
        <color theme="1"/>
        <rFont val="Arial"/>
        <family val="2"/>
      </rPr>
      <t>*(1-T</t>
    </r>
    <r>
      <rPr>
        <b/>
        <vertAlign val="subscript"/>
        <sz val="14"/>
        <color theme="1"/>
        <rFont val="Arial"/>
        <family val="2"/>
      </rPr>
      <t>C</t>
    </r>
    <r>
      <rPr>
        <b/>
        <sz val="14"/>
        <color theme="1"/>
        <rFont val="Arial"/>
        <family val="2"/>
      </rPr>
      <t xml:space="preserve">) + </t>
    </r>
    <r>
      <rPr>
        <b/>
        <sz val="14"/>
        <color theme="1"/>
        <rFont val="Symbol"/>
        <family val="1"/>
        <charset val="2"/>
      </rPr>
      <t>b</t>
    </r>
    <r>
      <rPr>
        <b/>
        <sz val="14"/>
        <color theme="1"/>
        <rFont val="Arial"/>
        <family val="2"/>
      </rPr>
      <t>*[E(r</t>
    </r>
    <r>
      <rPr>
        <b/>
        <vertAlign val="subscript"/>
        <sz val="14"/>
        <color theme="1"/>
        <rFont val="Arial"/>
        <family val="2"/>
      </rPr>
      <t>M</t>
    </r>
    <r>
      <rPr>
        <b/>
        <sz val="14"/>
        <color theme="1"/>
        <rFont val="Arial"/>
        <family val="2"/>
      </rPr>
      <t>) - r</t>
    </r>
    <r>
      <rPr>
        <b/>
        <vertAlign val="subscript"/>
        <sz val="14"/>
        <color theme="1"/>
        <rFont val="Arial"/>
        <family val="2"/>
      </rPr>
      <t>f</t>
    </r>
    <r>
      <rPr>
        <b/>
        <sz val="14"/>
        <color theme="1"/>
        <rFont val="Arial"/>
        <family val="2"/>
      </rPr>
      <t>*(1-T</t>
    </r>
    <r>
      <rPr>
        <b/>
        <vertAlign val="subscript"/>
        <sz val="14"/>
        <color theme="1"/>
        <rFont val="Arial"/>
        <family val="2"/>
      </rPr>
      <t>C</t>
    </r>
    <r>
      <rPr>
        <b/>
        <sz val="14"/>
        <color theme="1"/>
        <rFont val="Arial"/>
        <family val="2"/>
      </rPr>
      <t>)</t>
    </r>
    <r>
      <rPr>
        <b/>
        <vertAlign val="subscript"/>
        <sz val="14"/>
        <color theme="1"/>
        <rFont val="Arial"/>
        <family val="2"/>
      </rPr>
      <t xml:space="preserve"> </t>
    </r>
    <r>
      <rPr>
        <b/>
        <sz val="14"/>
        <color theme="1"/>
        <rFont val="Arial"/>
        <family val="2"/>
      </rPr>
      <t>]</t>
    </r>
  </si>
  <si>
    <t>GORDON MODEL FOR WHOLE FOOD'S EQUITY PAYOUTS</t>
  </si>
  <si>
    <t>Common stock issuance</t>
  </si>
  <si>
    <r>
      <t>CATERPILLAR DIVIDEND GROWTH AND GORDON DIVIDEND r</t>
    </r>
    <r>
      <rPr>
        <b/>
        <vertAlign val="subscript"/>
        <sz val="14"/>
        <color theme="1"/>
        <rFont val="Arial"/>
        <family val="2"/>
      </rPr>
      <t>E</t>
    </r>
  </si>
  <si>
    <t>Dividend growth, g</t>
  </si>
  <si>
    <r>
      <t>Gordon cost of equity, r</t>
    </r>
    <r>
      <rPr>
        <vertAlign val="subscript"/>
        <sz val="11"/>
        <color theme="1"/>
        <rFont val="Arial"/>
        <family val="2"/>
      </rPr>
      <t>E</t>
    </r>
  </si>
  <si>
    <t>Equity value ("market cap")</t>
  </si>
  <si>
    <t>MERCK'S COST OF EQUITY USING THE TWO-STAGE GORDON MODEL</t>
  </si>
  <si>
    <r>
      <t>Risk-free rate, r</t>
    </r>
    <r>
      <rPr>
        <vertAlign val="subscript"/>
        <sz val="10"/>
        <rFont val="Arial"/>
        <family val="2"/>
      </rPr>
      <t>f</t>
    </r>
  </si>
  <si>
    <t>COMPUTING BIG CITY BAGEL'S BETA</t>
  </si>
  <si>
    <t>S&amp;P 500 Index</t>
  </si>
  <si>
    <t>Big City Bagels (BIGC)</t>
  </si>
  <si>
    <t>Closing
price</t>
  </si>
  <si>
    <t>CAPM cost of equity calculations calculations</t>
  </si>
  <si>
    <t>Big City's beta</t>
  </si>
  <si>
    <t>Classical CAPM cost of equity</t>
  </si>
  <si>
    <t>Risk premium</t>
  </si>
  <si>
    <r>
      <t>&lt;-- E(r</t>
    </r>
    <r>
      <rPr>
        <vertAlign val="subscript"/>
        <sz val="10"/>
        <rFont val="Arial"/>
        <family val="2"/>
      </rPr>
      <t>M</t>
    </r>
    <r>
      <rPr>
        <sz val="11"/>
        <color theme="1"/>
        <rFont val="Arial"/>
        <family val="2"/>
      </rPr>
      <t>)-r</t>
    </r>
    <r>
      <rPr>
        <vertAlign val="subscript"/>
        <sz val="10"/>
        <rFont val="Arial"/>
        <family val="2"/>
      </rPr>
      <t>f</t>
    </r>
  </si>
  <si>
    <t>Risk-free rate</t>
  </si>
  <si>
    <t>&lt;-- Treasury bill rate, end 1998</t>
  </si>
  <si>
    <r>
      <t>r</t>
    </r>
    <r>
      <rPr>
        <vertAlign val="subscript"/>
        <sz val="10"/>
        <rFont val="Arial"/>
        <family val="2"/>
      </rPr>
      <t>E</t>
    </r>
    <r>
      <rPr>
        <sz val="10"/>
        <rFont val="Arial"/>
        <family val="2"/>
      </rPr>
      <t>, the cost of equity</t>
    </r>
  </si>
  <si>
    <t>Tax-adjusted CAPM</t>
  </si>
  <si>
    <t>Corporate tax</t>
  </si>
  <si>
    <t>Tax-adjusted SML slope</t>
  </si>
  <si>
    <r>
      <t>&lt;-- =J13+J15*J14 = E(r</t>
    </r>
    <r>
      <rPr>
        <vertAlign val="subscript"/>
        <sz val="10"/>
        <rFont val="Arial"/>
        <family val="2"/>
      </rPr>
      <t>M</t>
    </r>
    <r>
      <rPr>
        <sz val="11"/>
        <color theme="1"/>
        <rFont val="Arial"/>
        <family val="2"/>
      </rPr>
      <t>)-r</t>
    </r>
    <r>
      <rPr>
        <vertAlign val="subscript"/>
        <sz val="10"/>
        <rFont val="Arial"/>
        <family val="2"/>
      </rPr>
      <t>f</t>
    </r>
    <r>
      <rPr>
        <sz val="10"/>
        <rFont val="Arial"/>
        <family val="2"/>
      </rPr>
      <t>*(1-T</t>
    </r>
    <r>
      <rPr>
        <vertAlign val="subscript"/>
        <sz val="10"/>
        <rFont val="Arial"/>
        <family val="2"/>
      </rPr>
      <t>C</t>
    </r>
    <r>
      <rPr>
        <sz val="10"/>
        <rFont val="Arial"/>
        <family val="2"/>
      </rPr>
      <t>)</t>
    </r>
  </si>
  <si>
    <t>Return sigma (monthly)</t>
  </si>
  <si>
    <t>Return sigma (annual)</t>
  </si>
  <si>
    <t>FORD MOTOR CO. DIVIDEND HISTORY
1989-1998</t>
  </si>
  <si>
    <t>Year</t>
  </si>
  <si>
    <t>Dividend</t>
  </si>
  <si>
    <t>Growth rate, 1989-1997</t>
  </si>
  <si>
    <t>Growth rate, 1989-1998</t>
  </si>
  <si>
    <t>FORD'S DIVIDENS EXCLUDING THE 1998 $21.09 DIVIDEND</t>
  </si>
  <si>
    <t>Growth rate, 1994-1998</t>
  </si>
  <si>
    <t>Ford's stock price, end-1998</t>
  </si>
  <si>
    <t>Gordon cost of equity</t>
  </si>
  <si>
    <t>&lt;-- Still to be discussed</t>
  </si>
  <si>
    <t>&lt;-- possible form industry</t>
  </si>
  <si>
    <t>&lt;- from last year tax rate</t>
  </si>
  <si>
    <t>from two stage</t>
  </si>
  <si>
    <t xml:space="preserve"> </t>
  </si>
  <si>
    <t>E: Value of Equity</t>
  </si>
  <si>
    <t>D: Value of Debt</t>
  </si>
  <si>
    <t>rd: Cost of Debt</t>
  </si>
  <si>
    <t>re: Cost of Equity</t>
  </si>
  <si>
    <t>rt: Corporate Tax Rate</t>
  </si>
  <si>
    <t>via Market Capital</t>
  </si>
  <si>
    <t>via Balance Sheet</t>
  </si>
  <si>
    <t>via Income Statement</t>
  </si>
  <si>
    <t>via Gordon (DDM)</t>
  </si>
  <si>
    <t>Equity value (MC)</t>
  </si>
  <si>
    <t>Bond 1</t>
  </si>
  <si>
    <t>Bond 2</t>
  </si>
  <si>
    <t>Bond 3</t>
  </si>
  <si>
    <t>Bond 4</t>
  </si>
  <si>
    <t>Bond 5</t>
  </si>
  <si>
    <t>Avg time to maturity (years)</t>
  </si>
  <si>
    <t>Term sructure from bonds</t>
  </si>
  <si>
    <t>From yield curve</t>
  </si>
  <si>
    <t>via yield curve via Bonds</t>
  </si>
  <si>
    <t>via Gordon expainded</t>
  </si>
  <si>
    <t>via Gordon expainded completed</t>
  </si>
  <si>
    <t>via payout model</t>
  </si>
  <si>
    <t>Common stock issueance</t>
  </si>
  <si>
    <r>
      <t>Current dividend, Div</t>
    </r>
    <r>
      <rPr>
        <vertAlign val="subscript"/>
        <sz val="11"/>
        <rFont val="Arial"/>
        <family val="2"/>
      </rPr>
      <t>0</t>
    </r>
  </si>
  <si>
    <r>
      <t>Growth rate g</t>
    </r>
    <r>
      <rPr>
        <vertAlign val="subscript"/>
        <sz val="11"/>
        <rFont val="Arial"/>
        <family val="2"/>
      </rPr>
      <t>1</t>
    </r>
    <r>
      <rPr>
        <sz val="11"/>
        <color theme="1"/>
        <rFont val="Arial"/>
        <family val="2"/>
      </rPr>
      <t>, years 1-m ("supernormal")</t>
    </r>
  </si>
  <si>
    <r>
      <t>Growth rate g</t>
    </r>
    <r>
      <rPr>
        <vertAlign val="subscript"/>
        <sz val="11"/>
        <rFont val="Arial"/>
        <family val="2"/>
      </rPr>
      <t>2</t>
    </r>
    <r>
      <rPr>
        <sz val="11"/>
        <color theme="1"/>
        <rFont val="Arial"/>
        <family val="2"/>
      </rPr>
      <t xml:space="preserve">, years 6 - </t>
    </r>
    <r>
      <rPr>
        <sz val="11"/>
        <rFont val="Symbol"/>
        <family val="1"/>
        <charset val="2"/>
      </rPr>
      <t>¥</t>
    </r>
  </si>
  <si>
    <r>
      <t>Computing the Gordon model cost of equity r</t>
    </r>
    <r>
      <rPr>
        <vertAlign val="subscript"/>
        <sz val="11"/>
        <color theme="1"/>
        <rFont val="Arial"/>
        <family val="2"/>
      </rPr>
      <t>E</t>
    </r>
    <r>
      <rPr>
        <sz val="11"/>
        <color theme="1"/>
        <rFont val="Arial"/>
        <family val="2"/>
      </rPr>
      <t xml:space="preserve"> based on total equity payouts 
and the 2-stage Gordon model</t>
    </r>
  </si>
  <si>
    <r>
      <t>Cost of equity, r</t>
    </r>
    <r>
      <rPr>
        <vertAlign val="subscript"/>
        <sz val="11"/>
        <color theme="1"/>
        <rFont val="Arial"/>
        <family val="2"/>
      </rPr>
      <t xml:space="preserve">E
</t>
    </r>
    <r>
      <rPr>
        <sz val="11"/>
        <color theme="1"/>
        <rFont val="Arial"/>
        <family val="2"/>
      </rPr>
      <t xml:space="preserve">using the function </t>
    </r>
    <r>
      <rPr>
        <b/>
        <sz val="11"/>
        <color theme="1"/>
        <rFont val="Arial"/>
        <family val="2"/>
      </rPr>
      <t>twostagegordon</t>
    </r>
  </si>
  <si>
    <t>via two stage model</t>
  </si>
  <si>
    <t>via two stage model, g via div data</t>
  </si>
  <si>
    <r>
      <t>Note</t>
    </r>
    <r>
      <rPr>
        <sz val="10"/>
        <rFont val="Arial"/>
        <family val="2"/>
      </rPr>
      <t>:  The tax-adjusted model in cell B8 uses the equivalence:
E(r</t>
    </r>
    <r>
      <rPr>
        <vertAlign val="subscript"/>
        <sz val="10"/>
        <rFont val="Arial"/>
        <family val="2"/>
      </rPr>
      <t>M</t>
    </r>
    <r>
      <rPr>
        <sz val="10"/>
        <rFont val="Arial"/>
        <family val="2"/>
      </rPr>
      <t>) - r</t>
    </r>
    <r>
      <rPr>
        <vertAlign val="subscript"/>
        <sz val="10"/>
        <rFont val="Arial"/>
        <family val="2"/>
      </rPr>
      <t>f</t>
    </r>
    <r>
      <rPr>
        <sz val="10"/>
        <rFont val="Arial"/>
        <family val="2"/>
      </rPr>
      <t xml:space="preserve"> (1-T</t>
    </r>
    <r>
      <rPr>
        <vertAlign val="subscript"/>
        <sz val="10"/>
        <rFont val="Arial"/>
        <family val="2"/>
      </rPr>
      <t>C</t>
    </r>
    <r>
      <rPr>
        <sz val="10"/>
        <rFont val="Arial"/>
        <family val="2"/>
      </rPr>
      <t>) = E(r</t>
    </r>
    <r>
      <rPr>
        <vertAlign val="subscript"/>
        <sz val="10"/>
        <rFont val="Arial"/>
        <family val="2"/>
      </rPr>
      <t>M</t>
    </r>
    <r>
      <rPr>
        <sz val="10"/>
        <rFont val="Arial"/>
        <family val="2"/>
      </rPr>
      <t>) - r</t>
    </r>
    <r>
      <rPr>
        <vertAlign val="subscript"/>
        <sz val="10"/>
        <rFont val="Arial"/>
        <family val="2"/>
      </rPr>
      <t>f</t>
    </r>
    <r>
      <rPr>
        <sz val="10"/>
        <rFont val="Arial"/>
        <family val="2"/>
      </rPr>
      <t xml:space="preserve"> + T</t>
    </r>
    <r>
      <rPr>
        <vertAlign val="subscript"/>
        <sz val="10"/>
        <rFont val="Arial"/>
        <family val="2"/>
      </rPr>
      <t>C</t>
    </r>
    <r>
      <rPr>
        <sz val="10"/>
        <rFont val="Arial"/>
        <family val="2"/>
      </rPr>
      <t>*r</t>
    </r>
    <r>
      <rPr>
        <vertAlign val="subscript"/>
        <sz val="10"/>
        <rFont val="Arial"/>
        <family val="2"/>
      </rPr>
      <t xml:space="preserve">f
</t>
    </r>
    <r>
      <rPr>
        <sz val="10"/>
        <rFont val="Arial"/>
        <family val="2"/>
      </rPr>
      <t>For the low levels of taxes and low r</t>
    </r>
    <r>
      <rPr>
        <vertAlign val="subscript"/>
        <sz val="10"/>
        <rFont val="Arial"/>
        <family val="2"/>
      </rPr>
      <t>f</t>
    </r>
    <r>
      <rPr>
        <sz val="10"/>
        <rFont val="Arial"/>
        <family val="2"/>
      </rPr>
      <t xml:space="preserve"> in this example, there is virtually no difference between the two approaches.</t>
    </r>
  </si>
  <si>
    <t>via CAPM</t>
  </si>
  <si>
    <t>B: Beta</t>
  </si>
  <si>
    <t>E(rm): market risk</t>
  </si>
  <si>
    <t>rt: corporate tax rate</t>
  </si>
  <si>
    <t>rf: risk free rate</t>
  </si>
  <si>
    <t>via S&amp;P 500, manual</t>
  </si>
  <si>
    <t>WACC = E/(E+D)*re + D/(E+D)*rd*(1-rt)</t>
  </si>
  <si>
    <t>via regression analysis</t>
  </si>
  <si>
    <t>via historical data</t>
  </si>
  <si>
    <t>via income statement</t>
  </si>
  <si>
    <t>via market multiple</t>
  </si>
  <si>
    <t>via incorprate default risk</t>
  </si>
  <si>
    <t>Total summary</t>
  </si>
  <si>
    <r>
      <t>Tax rate, T</t>
    </r>
    <r>
      <rPr>
        <vertAlign val="subscript"/>
        <sz val="11"/>
        <color theme="1"/>
        <rFont val="Arial"/>
        <family val="2"/>
      </rPr>
      <t>C</t>
    </r>
  </si>
  <si>
    <t xml:space="preserve">
               </t>
  </si>
  <si>
    <t>Note: For multiple class companies, per share items are primary class equivalent, and for foreign companies listed as primary ADRs, per share items are ADR-equivalent.</t>
  </si>
  <si>
    <t>* Occasionally, certain items classified as Revenue by the company will be re-classified as other income if it is deemed to be non-recurring and unrelated to the core business of the firm. This field shows Total Revenue exactly as reported by the firm on its consolidated statement of income.</t>
  </si>
  <si>
    <t xml:space="preserve">  Stock-Based Comp., Total</t>
  </si>
  <si>
    <t>Stock-Based Comp., Unallocated</t>
  </si>
  <si>
    <t>-</t>
  </si>
  <si>
    <t>Imputed Oper. Lease Depreciation</t>
  </si>
  <si>
    <t>Imputed Oper. Lease Interest Exp.</t>
  </si>
  <si>
    <t>NA</t>
  </si>
  <si>
    <t>Net Rental Exp.</t>
  </si>
  <si>
    <t>General and Administrative Exp.</t>
  </si>
  <si>
    <t>Selling and Marketing Exp.</t>
  </si>
  <si>
    <t>Marketing Exp.</t>
  </si>
  <si>
    <t>Advertising Exp.</t>
  </si>
  <si>
    <t>Supplemental Operating Expense Items</t>
  </si>
  <si>
    <t>LTM</t>
  </si>
  <si>
    <t>REP</t>
  </si>
  <si>
    <t>Calculation Type</t>
  </si>
  <si>
    <t>P</t>
  </si>
  <si>
    <t>O</t>
  </si>
  <si>
    <t>RC</t>
  </si>
  <si>
    <t>NC</t>
  </si>
  <si>
    <t>Restatement Type</t>
  </si>
  <si>
    <t>Filing Date</t>
  </si>
  <si>
    <t>Interest on Long Term Debt</t>
  </si>
  <si>
    <t>Interest Capitalized</t>
  </si>
  <si>
    <t>Normalized Net Income</t>
  </si>
  <si>
    <t>Total Deferred Taxes</t>
  </si>
  <si>
    <t>Deferred Foreign Taxes</t>
  </si>
  <si>
    <t>Deferred Domestic Taxes</t>
  </si>
  <si>
    <t>Total Current Taxes</t>
  </si>
  <si>
    <t>Current Foreign Taxes</t>
  </si>
  <si>
    <t>Current Domestic Taxes</t>
  </si>
  <si>
    <t>Effective Tax Rate %</t>
  </si>
  <si>
    <t>As Reported Total Revenue*</t>
  </si>
  <si>
    <t>EBITDAR</t>
  </si>
  <si>
    <t>EBIT</t>
  </si>
  <si>
    <t>EBITA</t>
  </si>
  <si>
    <t>EBITDA</t>
  </si>
  <si>
    <t>Supplemental Items</t>
  </si>
  <si>
    <t>Payout Ratio %</t>
  </si>
  <si>
    <t>Dividends per Share</t>
  </si>
  <si>
    <t>Normalized Diluted EPS</t>
  </si>
  <si>
    <t>Normalized Basic EPS</t>
  </si>
  <si>
    <t>Weighted Avg. Diluted Shares Out.</t>
  </si>
  <si>
    <t>Diluted EPS Excl. Extra Items</t>
  </si>
  <si>
    <t>Diluted EPS</t>
  </si>
  <si>
    <t>Weighted Avg. Basic Shares Out.</t>
  </si>
  <si>
    <t>Basic EPS Excl. Extra Items</t>
  </si>
  <si>
    <t>Basic EPS</t>
  </si>
  <si>
    <t>Per Share Items</t>
  </si>
  <si>
    <t xml:space="preserve">  NI to Common Excl. Extra Items</t>
  </si>
  <si>
    <t xml:space="preserve">  NI to Common Incl Extra Items</t>
  </si>
  <si>
    <t>Pref. Dividends and Other Adj.</t>
  </si>
  <si>
    <t xml:space="preserve">  Net Income</t>
  </si>
  <si>
    <t>Minority Int. in Earnings</t>
  </si>
  <si>
    <t xml:space="preserve">  Net Income to Company</t>
  </si>
  <si>
    <t>Extraord. Item &amp; Account. Change</t>
  </si>
  <si>
    <t>Earnings of Discontinued Ops.</t>
  </si>
  <si>
    <t xml:space="preserve">  Earnings from Cont. Ops.</t>
  </si>
  <si>
    <t>Income Tax Expense</t>
  </si>
  <si>
    <t xml:space="preserve">  EBT Incl. Unusual Items</t>
  </si>
  <si>
    <t>Other Unusual Items</t>
  </si>
  <si>
    <t>Legal Settlements</t>
  </si>
  <si>
    <t>Gain (Loss) On Sale Of Assets</t>
  </si>
  <si>
    <t>Gain (Loss) On Sale Of Invest.</t>
  </si>
  <si>
    <t>Impairment of Goodwill</t>
  </si>
  <si>
    <t>Merger &amp; Related Restruct. Charges</t>
  </si>
  <si>
    <t>Restructuring Charges</t>
  </si>
  <si>
    <t xml:space="preserve">  EBT Excl. Unusual Items</t>
  </si>
  <si>
    <t>Other Non-Operating Inc. (Exp.)</t>
  </si>
  <si>
    <t>Currency Exchange Gains (Loss)</t>
  </si>
  <si>
    <t>Income/(Loss) from Affiliates</t>
  </si>
  <si>
    <t xml:space="preserve">  Net Interest Exp.</t>
  </si>
  <si>
    <t>Interest and Invest. Income</t>
  </si>
  <si>
    <t>Interest Expense</t>
  </si>
  <si>
    <t xml:space="preserve">  Operating Income</t>
  </si>
  <si>
    <t xml:space="preserve">  Other Operating Exp., Total</t>
  </si>
  <si>
    <t>Other Operating Expense/(Income)</t>
  </si>
  <si>
    <t>Depreciation &amp; Amort.</t>
  </si>
  <si>
    <t>R &amp; D Exp.</t>
  </si>
  <si>
    <t>Selling General &amp; Admin Exp.</t>
  </si>
  <si>
    <t xml:space="preserve">  Gross Profit</t>
  </si>
  <si>
    <t>Cost Of Goods Sold</t>
  </si>
  <si>
    <t xml:space="preserve">  Total Revenue</t>
  </si>
  <si>
    <t>Other Revenue</t>
  </si>
  <si>
    <t>Revenue</t>
  </si>
  <si>
    <t>USD</t>
  </si>
  <si>
    <t>Currency</t>
  </si>
  <si>
    <t>LTM
Press Release
12 months
Dec-31-2018</t>
  </si>
  <si>
    <t>12 months
Sep-30-2018</t>
  </si>
  <si>
    <t>Reclassified
12 months
Oct-01-2017</t>
  </si>
  <si>
    <t>Reclassified
12 months
Oct-02-2016</t>
  </si>
  <si>
    <t>Reclassified
12 months
Sep-27-2015</t>
  </si>
  <si>
    <t>12 months
Sep-28-2014</t>
  </si>
  <si>
    <t xml:space="preserve">For the Fiscal Period Ending
</t>
  </si>
  <si>
    <t>Income Statement</t>
  </si>
  <si>
    <t>Capital IQ (Default)</t>
  </si>
  <si>
    <t>Decimals:</t>
  </si>
  <si>
    <t> </t>
  </si>
  <si>
    <t>S&amp;P Capital IQ (Default)</t>
  </si>
  <si>
    <t>Historical</t>
  </si>
  <si>
    <t>Conversion:</t>
  </si>
  <si>
    <t>Reported Currency</t>
  </si>
  <si>
    <t>Currency:</t>
  </si>
  <si>
    <t>Latest on Right</t>
  </si>
  <si>
    <t>Order:</t>
  </si>
  <si>
    <t>Annual</t>
  </si>
  <si>
    <t>Period Type:</t>
  </si>
  <si>
    <t>Latest Filings</t>
  </si>
  <si>
    <t>Restatement:</t>
  </si>
  <si>
    <t>Standard</t>
  </si>
  <si>
    <t>Template:</t>
  </si>
  <si>
    <t>In Millions of the reported currency, except per share items.</t>
  </si>
  <si>
    <t>Starbucks Corporation (NasdaqGS:SBUX) &gt; Financials &gt; Income Statement</t>
  </si>
  <si>
    <t>Note: For multiple class companies, total share counts are primary class equivalent, and for foreign companies listed as primary ADRs, total share counts are ADR-equivalent.</t>
  </si>
  <si>
    <t>FWD</t>
  </si>
  <si>
    <t>RUP</t>
  </si>
  <si>
    <t>NV</t>
  </si>
  <si>
    <t>RS</t>
  </si>
  <si>
    <t>Accum. Allowance for Doubtful Accts</t>
  </si>
  <si>
    <t>Full Time Employees</t>
  </si>
  <si>
    <t>Leasehold Improvements</t>
  </si>
  <si>
    <t>Construction in Progress</t>
  </si>
  <si>
    <t>Machinery</t>
  </si>
  <si>
    <t>Buildings</t>
  </si>
  <si>
    <t>Land</t>
  </si>
  <si>
    <t>Finished Goods Inventory</t>
  </si>
  <si>
    <t>Raw Materials Inventory</t>
  </si>
  <si>
    <t>Avg Cost</t>
  </si>
  <si>
    <t>Inventory Method</t>
  </si>
  <si>
    <t>Equity Method Investments</t>
  </si>
  <si>
    <t>Total Minority Interest</t>
  </si>
  <si>
    <t>Debt Equivalent Oper. Leases</t>
  </si>
  <si>
    <t>Net Debt</t>
  </si>
  <si>
    <t>Total Debt</t>
  </si>
  <si>
    <t>Tangible Book Value/Share</t>
  </si>
  <si>
    <t>Tangible Book Value</t>
  </si>
  <si>
    <t>Book Value/Share</t>
  </si>
  <si>
    <t>Total Shares Out. on Balance Sheet Date</t>
  </si>
  <si>
    <t>Total Shares Out. on Filing Date</t>
  </si>
  <si>
    <t>Total Liabilities And Equity</t>
  </si>
  <si>
    <t>Total Equity</t>
  </si>
  <si>
    <t>x</t>
  </si>
  <si>
    <t>Minority Interest</t>
  </si>
  <si>
    <t xml:space="preserve">  Total Common Equity</t>
  </si>
  <si>
    <t>Comprehensive Inc. and Other</t>
  </si>
  <si>
    <t>Treasury Stock</t>
  </si>
  <si>
    <t>Retained Earnings</t>
  </si>
  <si>
    <t>Additional Paid In Capital</t>
  </si>
  <si>
    <t>Common Stock</t>
  </si>
  <si>
    <t>Total Liabilities</t>
  </si>
  <si>
    <t>Other Non-Current Liabilities</t>
  </si>
  <si>
    <t>Def. Tax Liability, Non-Curr.</t>
  </si>
  <si>
    <t>Unearned Revenue, Non-Current</t>
  </si>
  <si>
    <t>Capital Leases</t>
  </si>
  <si>
    <t>Long-Term Debt</t>
  </si>
  <si>
    <t xml:space="preserve">  Total Current Liabilities</t>
  </si>
  <si>
    <t>Other Current Liabilities</t>
  </si>
  <si>
    <t>Unearned Revenue, Current</t>
  </si>
  <si>
    <t>Curr. Income Taxes Payable</t>
  </si>
  <si>
    <t>Curr. Port. of LT Debt</t>
  </si>
  <si>
    <t>Accrued Exp.</t>
  </si>
  <si>
    <t>Accounts Payable</t>
  </si>
  <si>
    <t>LIABILITIES</t>
  </si>
  <si>
    <t>Total Assets</t>
  </si>
  <si>
    <t>Other Long-Term Assets</t>
  </si>
  <si>
    <t>Deferred Tax Assets, LT</t>
  </si>
  <si>
    <t>Other Intangibles</t>
  </si>
  <si>
    <t>Goodwill</t>
  </si>
  <si>
    <t>Long-term Investments</t>
  </si>
  <si>
    <t xml:space="preserve">  Net Property, Plant &amp; Equipment</t>
  </si>
  <si>
    <t>Accumulated Depreciation</t>
  </si>
  <si>
    <t>Gross Property, Plant &amp; Equipment</t>
  </si>
  <si>
    <t xml:space="preserve">  Total Current Assets</t>
  </si>
  <si>
    <t>Other Current Assets</t>
  </si>
  <si>
    <t>Deferred Tax Assets, Curr.</t>
  </si>
  <si>
    <t>Prepaid Exp.</t>
  </si>
  <si>
    <t>Inventory</t>
  </si>
  <si>
    <t xml:space="preserve">  Total Receivables</t>
  </si>
  <si>
    <t>Other Receivables</t>
  </si>
  <si>
    <t>Accounts Receivable</t>
  </si>
  <si>
    <t xml:space="preserve">  Total Cash &amp; ST Investments</t>
  </si>
  <si>
    <t>Short Term Investments</t>
  </si>
  <si>
    <t>Cash And Equivalents</t>
  </si>
  <si>
    <t>ASSETS</t>
  </si>
  <si>
    <t>Press Release
Dec-31-2018</t>
  </si>
  <si>
    <t>Restated
Oct-02-2016</t>
  </si>
  <si>
    <t>Restated
Sep-27-2015</t>
  </si>
  <si>
    <t xml:space="preserve">Balance Sheet as of:
</t>
  </si>
  <si>
    <t>Balance Sheet</t>
  </si>
  <si>
    <t>Starbucks Corporation (NasdaqGS:SBUX) &gt; Financials &gt; Balance Sheet</t>
  </si>
  <si>
    <t>Net Debt Issued</t>
  </si>
  <si>
    <t>Change in Net Working Capital</t>
  </si>
  <si>
    <t>Unlevered Free Cash Flow</t>
  </si>
  <si>
    <t>Levered Free Cash Flow</t>
  </si>
  <si>
    <t>Cash Taxes Paid</t>
  </si>
  <si>
    <t>Cash Interest Paid</t>
  </si>
  <si>
    <t xml:space="preserve">  Net Change in Cash</t>
  </si>
  <si>
    <t>Foreign Exchange Rate Adj.</t>
  </si>
  <si>
    <t xml:space="preserve">  Cash from Financing</t>
  </si>
  <si>
    <t>Other Financing Activities</t>
  </si>
  <si>
    <t>Special Dividend Paid</t>
  </si>
  <si>
    <t>Total Dividends Paid</t>
  </si>
  <si>
    <t>Common Dividends Paid</t>
  </si>
  <si>
    <t>Repurchase of Common Stock</t>
  </si>
  <si>
    <t>Issuance of Common Stock</t>
  </si>
  <si>
    <t>Total Debt Repaid</t>
  </si>
  <si>
    <t>Long-Term Debt Repaid</t>
  </si>
  <si>
    <t>Short Term Debt Repaid</t>
  </si>
  <si>
    <t>Total Debt Issued</t>
  </si>
  <si>
    <t>Long-Term Debt Issued</t>
  </si>
  <si>
    <t>Short Term Debt Issued</t>
  </si>
  <si>
    <t xml:space="preserve">  Cash from Investing</t>
  </si>
  <si>
    <t>Other Investing Activities</t>
  </si>
  <si>
    <t>Net (Inc.) Dec. in Loans Originated/Sold</t>
  </si>
  <si>
    <t>Invest. in Marketable &amp; Equity Securt.</t>
  </si>
  <si>
    <t>Divestitures</t>
  </si>
  <si>
    <t>Cash Acquisitions</t>
  </si>
  <si>
    <t>Capital Expenditure</t>
  </si>
  <si>
    <t xml:space="preserve">  Cash from Ops.</t>
  </si>
  <si>
    <t>Change in Other Net Operating Assets</t>
  </si>
  <si>
    <t>Change in Unearned Rev.</t>
  </si>
  <si>
    <t>Change in Acc. Payable</t>
  </si>
  <si>
    <t>Change In Inventories</t>
  </si>
  <si>
    <t>Change in Acc. Receivable</t>
  </si>
  <si>
    <t>Other Operating Activities</t>
  </si>
  <si>
    <t>Tax Benefit from Stock Options</t>
  </si>
  <si>
    <t>Stock-Based Compensation</t>
  </si>
  <si>
    <t>(Income) Loss on Equity Invest.</t>
  </si>
  <si>
    <t>Asset Writedown &amp; Restructuring Costs</t>
  </si>
  <si>
    <t>(Gain) Loss On Sale Of Invest.</t>
  </si>
  <si>
    <t>(Gain) Loss From Sale Of Assets</t>
  </si>
  <si>
    <t>Depreciation &amp; Amort., Total</t>
  </si>
  <si>
    <t>Amort. of Goodwill and Intangibles</t>
  </si>
  <si>
    <t>Net Income</t>
  </si>
  <si>
    <t>Restated
12 months
Oct-01-2017</t>
  </si>
  <si>
    <t>Restated
12 months
Oct-02-2016</t>
  </si>
  <si>
    <t>12 months
Sep-27-2015</t>
  </si>
  <si>
    <t>Cash Flow</t>
  </si>
  <si>
    <t>Starbucks Corporation (NasdaqGS:SBUX) &gt; Financials &gt; Cash Flow</t>
  </si>
  <si>
    <t>NM</t>
  </si>
  <si>
    <t>Price/Tang BV</t>
  </si>
  <si>
    <t>P/BV</t>
  </si>
  <si>
    <t>P/Diluted EPS Before Extra</t>
  </si>
  <si>
    <t>TEV/EBIT</t>
  </si>
  <si>
    <t>TEV/EBITDA</t>
  </si>
  <si>
    <t>TEV/Total Revenue</t>
  </si>
  <si>
    <t>LTM
Press Release
12 months
Dec-31-2018A</t>
  </si>
  <si>
    <t>12 months
Sep-30-2018A</t>
  </si>
  <si>
    <t>12 months
Oct-01-2017A</t>
  </si>
  <si>
    <t>12 months
Oct-02-2016A</t>
  </si>
  <si>
    <t>12 months
Sep-27-2015A</t>
  </si>
  <si>
    <t>Valuation Multiples based on Current Capitalization</t>
  </si>
  <si>
    <t>Total Capital includes Common Equity and Total Liability.</t>
  </si>
  <si>
    <t>TEV includes Market Cap and Net Liability.</t>
  </si>
  <si>
    <t>Net Liability includes Total Liability, net of Cash and Short Term Investments.</t>
  </si>
  <si>
    <t>Total Liability includes Total Debt, Minority Interest and Pref. Equity.</t>
  </si>
  <si>
    <t>**For companies that have multiple share classes that publicly trade, we are incorporating the different prices to calculate our company level market capitalization.  Please click on the value to see the detailed calculation. Prices shown on this page are the close price of the company’s primary stock class. Shares shown on this page are total company as-reported share values.</t>
  </si>
  <si>
    <t>= Total Capital</t>
  </si>
  <si>
    <t>+ Total Debt</t>
  </si>
  <si>
    <t>+ Total Minority Interest</t>
  </si>
  <si>
    <t>+ Pref. Equity</t>
  </si>
  <si>
    <t>Book Value of Common Equity</t>
  </si>
  <si>
    <t>= Total Enterprise Value (TEV)</t>
  </si>
  <si>
    <t>- Cash &amp; Short Term Investments</t>
  </si>
  <si>
    <t>Market Capitalization</t>
  </si>
  <si>
    <t>Shares Out.</t>
  </si>
  <si>
    <t>Share Price</t>
  </si>
  <si>
    <t>Current Capitalization (Millions of USD)</t>
  </si>
  <si>
    <t>Growth Rates are calculated in originally reported currency only and will not reflect any currency conversion selected above.</t>
  </si>
  <si>
    <t>²Growth rates for the LTM period are calculated against the LTM period ending 12 months before.</t>
  </si>
  <si>
    <t>¹All results are taken from the most recently filed statement for each period. When there has been more than one, earlier filings can be viewed on the individual statement pages.</t>
  </si>
  <si>
    <t>H</t>
  </si>
  <si>
    <t>Conversion Method</t>
  </si>
  <si>
    <t>Exchange Rate</t>
  </si>
  <si>
    <t xml:space="preserve">  Growth Over Prior Year</t>
  </si>
  <si>
    <t>Diluted EPS Excl. Extra Items³</t>
  </si>
  <si>
    <t xml:space="preserve">  Margin %</t>
  </si>
  <si>
    <t>Earnings from Cont. Ops.</t>
  </si>
  <si>
    <t>Gross Profit</t>
  </si>
  <si>
    <t>Total Revenue</t>
  </si>
  <si>
    <t>LTM²
Press Release
12 months
Dec-31-2018A</t>
  </si>
  <si>
    <t>12 months
Sep-28-2014A</t>
  </si>
  <si>
    <t>Key Financials¹</t>
  </si>
  <si>
    <t>Basic</t>
  </si>
  <si>
    <t>Dilution:</t>
  </si>
  <si>
    <t>Trading Currency</t>
  </si>
  <si>
    <t>In Millions of the trading currency, except per share items.</t>
  </si>
  <si>
    <t>Starbucks Corporation (NasdaqGS:SBUX) &gt; Financials &gt; Key Stats</t>
  </si>
  <si>
    <t xml:space="preserve">  Dividend per Share</t>
  </si>
  <si>
    <t xml:space="preserve">  Unlevered Free Cash Flow</t>
  </si>
  <si>
    <t xml:space="preserve">  Levered Free Cash Flow</t>
  </si>
  <si>
    <t xml:space="preserve">  Capital Expenditures</t>
  </si>
  <si>
    <t xml:space="preserve">  Common Equity</t>
  </si>
  <si>
    <t xml:space="preserve">  Tangible Book Value</t>
  </si>
  <si>
    <t xml:space="preserve">  Total Assets</t>
  </si>
  <si>
    <t xml:space="preserve">  Net PP&amp;E</t>
  </si>
  <si>
    <t xml:space="preserve">  Inventory</t>
  </si>
  <si>
    <t xml:space="preserve">  Accounts Receivable</t>
  </si>
  <si>
    <t xml:space="preserve">  Diluted EPS before Extra</t>
  </si>
  <si>
    <t xml:space="preserve">  Normalized Net Income</t>
  </si>
  <si>
    <t xml:space="preserve">  EBIT</t>
  </si>
  <si>
    <t xml:space="preserve">  EBITA</t>
  </si>
  <si>
    <t xml:space="preserve">  EBITDA</t>
  </si>
  <si>
    <t>Compound Annual Growth Rate Over Five Years</t>
  </si>
  <si>
    <t>Compound Annual Growth Rate Over Three Years</t>
  </si>
  <si>
    <t>Compound Annual Growth Rate Over Two Years</t>
  </si>
  <si>
    <t>Growth Over Prior Year</t>
  </si>
  <si>
    <t xml:space="preserve">  Altman Z Score</t>
  </si>
  <si>
    <t xml:space="preserve">  Net Debt/(EBITDA-CAPEX)</t>
  </si>
  <si>
    <t xml:space="preserve">  Total Debt/(EBITDA-CAPEX)</t>
  </si>
  <si>
    <t xml:space="preserve">  Net Debt/EBITDA</t>
  </si>
  <si>
    <t xml:space="preserve">  Total Debt/EBITDA</t>
  </si>
  <si>
    <t xml:space="preserve">  (EBITDA-CAPEX) / Interest Exp.</t>
  </si>
  <si>
    <t xml:space="preserve">  EBITDA / Interest Exp.</t>
  </si>
  <si>
    <t xml:space="preserve">  EBIT / Interest Exp.</t>
  </si>
  <si>
    <t xml:space="preserve">  Total Liabilities/Total Assets</t>
  </si>
  <si>
    <t xml:space="preserve">  LT Debt/Capital</t>
  </si>
  <si>
    <t xml:space="preserve">  LT Debt/Equity</t>
  </si>
  <si>
    <t xml:space="preserve">  Total Debt/Capital</t>
  </si>
  <si>
    <t xml:space="preserve">  Total Debt/Equity</t>
  </si>
  <si>
    <t>Long Term Solvency</t>
  </si>
  <si>
    <t xml:space="preserve">  Avg. Cash Conversion Cycle</t>
  </si>
  <si>
    <t xml:space="preserve">  Avg. Days Payable Out.</t>
  </si>
  <si>
    <t xml:space="preserve">  Avg. Days Inventory Out.</t>
  </si>
  <si>
    <t xml:space="preserve">  Avg. Days Sales Out.</t>
  </si>
  <si>
    <t xml:space="preserve">  Cash from Ops. to Curr. Liab.</t>
  </si>
  <si>
    <t xml:space="preserve">  Quick Ratio</t>
  </si>
  <si>
    <t xml:space="preserve">  Current Ratio</t>
  </si>
  <si>
    <t>Short Term Liquidity</t>
  </si>
  <si>
    <t xml:space="preserve">  Inventory Turnover</t>
  </si>
  <si>
    <t xml:space="preserve">  Accounts Receivable Turnover</t>
  </si>
  <si>
    <t xml:space="preserve">  Fixed Asset Turnover</t>
  </si>
  <si>
    <t xml:space="preserve">  Total Asset Turnover</t>
  </si>
  <si>
    <t>Asset Turnover</t>
  </si>
  <si>
    <t xml:space="preserve">  Unlevered Free Cash Flow Margin %</t>
  </si>
  <si>
    <t xml:space="preserve">  Levered Free Cash Flow Margin %</t>
  </si>
  <si>
    <t xml:space="preserve">  Normalized Net Income Margin %</t>
  </si>
  <si>
    <t xml:space="preserve">  Net Income Avail. for Common Margin %</t>
  </si>
  <si>
    <t xml:space="preserve">  Net Income Margin %</t>
  </si>
  <si>
    <t xml:space="preserve">  Earnings from Cont. Ops Margin %</t>
  </si>
  <si>
    <t xml:space="preserve">  EBIT Margin %</t>
  </si>
  <si>
    <t xml:space="preserve">  EBITA Margin %</t>
  </si>
  <si>
    <t xml:space="preserve">  EBITDA Margin %</t>
  </si>
  <si>
    <t xml:space="preserve">  SG&amp;A Margin %</t>
  </si>
  <si>
    <t xml:space="preserve">  Gross Margin %</t>
  </si>
  <si>
    <t>Margin Analysis</t>
  </si>
  <si>
    <t xml:space="preserve">  Return on Common Equity %</t>
  </si>
  <si>
    <t xml:space="preserve">  Return on Equity %</t>
  </si>
  <si>
    <t xml:space="preserve">  Return on Capital %</t>
  </si>
  <si>
    <t xml:space="preserve">  Return on Assets %</t>
  </si>
  <si>
    <t>Profitability</t>
  </si>
  <si>
    <t>12 months
Oct-01-2017</t>
  </si>
  <si>
    <t>12 months
Oct-02-2016</t>
  </si>
  <si>
    <t>Ratios</t>
  </si>
  <si>
    <t>Starbucks Corporation (NasdaqGS:SBUX) &gt; Financials &gt; Ratios</t>
  </si>
  <si>
    <t>&lt;-July 10</t>
  </si>
  <si>
    <t>null</t>
  </si>
  <si>
    <t>SBUX</t>
  </si>
  <si>
    <t>Anova: Single Factor</t>
  </si>
  <si>
    <t>SUMMARY</t>
  </si>
  <si>
    <t>Groups</t>
  </si>
  <si>
    <t>Count</t>
  </si>
  <si>
    <t>Sum</t>
  </si>
  <si>
    <t>Average</t>
  </si>
  <si>
    <t>Variance</t>
  </si>
  <si>
    <t>Column 1</t>
  </si>
  <si>
    <t>Column 2</t>
  </si>
  <si>
    <t>Source of Variation</t>
  </si>
  <si>
    <t>F crit</t>
  </si>
  <si>
    <t>Between Groups</t>
  </si>
  <si>
    <t>Within Groups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</si>
</sst>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409]d/mmm/yy;@"/>
    <numFmt numFmtId="165" formatCode="0.0000"/>
    <numFmt numFmtId="166" formatCode="#,##0.0000"/>
    <numFmt numFmtId="167" formatCode="0.0000000000000000%"/>
    <numFmt numFmtId="168" formatCode="0.0000%"/>
    <numFmt numFmtId="169" formatCode="0.00000%"/>
    <numFmt numFmtId="170" formatCode="_(* #,##0.0_);_(* \(#,##0.0\)_)\ ;_(* 0_)"/>
    <numFmt numFmtId="171" formatCode="mmm\-dd\-yyyy"/>
    <numFmt numFmtId="172" formatCode="_(#,##0.0%_);_(\(#,##0.0%\)_);_(#,##0.0%_)"/>
    <numFmt numFmtId="173" formatCode="_(&quot;$&quot;#,##0.0#_);_(\(&quot;$&quot;#,##0.0#\)_);_(&quot;$&quot;&quot; - &quot;_)"/>
    <numFmt numFmtId="174" formatCode="_(* #,##0.0#_);_(* \(#,##0.0#\)_)\ ;_(* 0_)"/>
    <numFmt numFmtId="175" formatCode="_(* #,##0_);_(* \(#,##0\)_)\ ;_(* 0_)"/>
    <numFmt numFmtId="176" formatCode="#,##0.0\x"/>
  </numFmts>
  <fonts count="42" x14ac:knownFonts="1">
    <font>
      <sz val="11"/>
      <color theme="1"/>
      <name val="Arial"/>
      <family val="2"/>
    </font>
    <font>
      <sz val="11"/>
      <name val="Arial"/>
      <family val="2"/>
    </font>
    <font>
      <sz val="11"/>
      <name val="Arial"/>
      <family val="2"/>
    </font>
    <font>
      <sz val="11"/>
      <color theme="1"/>
      <name val="Arial"/>
      <family val="2"/>
    </font>
    <font>
      <b/>
      <sz val="11"/>
      <color theme="1"/>
      <name val="Arial"/>
      <family val="2"/>
    </font>
    <font>
      <sz val="10"/>
      <name val="Arial"/>
      <family val="2"/>
    </font>
    <font>
      <b/>
      <sz val="14"/>
      <name val="Arial"/>
      <family val="2"/>
    </font>
    <font>
      <b/>
      <sz val="10"/>
      <name val="Arial"/>
      <family val="2"/>
    </font>
    <font>
      <vertAlign val="subscript"/>
      <sz val="10"/>
      <name val="Arial"/>
      <family val="2"/>
    </font>
    <font>
      <sz val="10"/>
      <name val="Symbol"/>
      <family val="1"/>
      <charset val="2"/>
    </font>
    <font>
      <b/>
      <sz val="14"/>
      <color theme="1"/>
      <name val="Arial"/>
      <family val="2"/>
    </font>
    <font>
      <b/>
      <vertAlign val="subscript"/>
      <sz val="14"/>
      <color theme="1"/>
      <name val="Arial"/>
      <family val="2"/>
    </font>
    <font>
      <b/>
      <vertAlign val="subscript"/>
      <sz val="14"/>
      <name val="Arial"/>
      <family val="2"/>
    </font>
    <font>
      <b/>
      <sz val="12"/>
      <name val="Arial"/>
      <family val="2"/>
    </font>
    <font>
      <b/>
      <vertAlign val="subscript"/>
      <sz val="12"/>
      <name val="Arial"/>
      <family val="2"/>
    </font>
    <font>
      <sz val="11"/>
      <name val="Arial"/>
      <family val="2"/>
    </font>
    <font>
      <vertAlign val="subscript"/>
      <sz val="11"/>
      <color theme="1"/>
      <name val="Arial"/>
      <family val="2"/>
    </font>
    <font>
      <i/>
      <sz val="11"/>
      <color theme="1"/>
      <name val="Arial"/>
      <family val="2"/>
    </font>
    <font>
      <sz val="11"/>
      <color theme="1"/>
      <name val="Symbol"/>
      <family val="1"/>
      <charset val="2"/>
    </font>
    <font>
      <b/>
      <sz val="14"/>
      <color theme="1"/>
      <name val="Symbol"/>
      <family val="1"/>
      <charset val="2"/>
    </font>
    <font>
      <b/>
      <vertAlign val="subscript"/>
      <sz val="11"/>
      <color theme="1"/>
      <name val="Arial"/>
      <family val="2"/>
    </font>
    <font>
      <vertAlign val="subscript"/>
      <sz val="11"/>
      <name val="Arial"/>
      <family val="2"/>
    </font>
    <font>
      <b/>
      <sz val="11"/>
      <name val="Arial"/>
      <family val="2"/>
    </font>
    <font>
      <sz val="11"/>
      <name val="Symbol"/>
      <family val="1"/>
      <charset val="2"/>
    </font>
    <font>
      <i/>
      <sz val="10"/>
      <name val="Arial"/>
      <family val="2"/>
    </font>
    <font>
      <sz val="11"/>
      <color rgb="FFFF0000"/>
      <name val="Arial"/>
      <family val="2"/>
    </font>
    <font>
      <sz val="36"/>
      <color theme="1"/>
      <name val="Arial"/>
      <family val="2"/>
    </font>
    <font>
      <sz val="8"/>
      <color theme="1"/>
      <name val="Arial"/>
      <family val="2"/>
    </font>
    <font>
      <sz val="9"/>
      <color rgb="FF595959"/>
      <name val="Arial"/>
      <family val="2"/>
    </font>
    <font>
      <b/>
      <sz val="11"/>
      <color rgb="FFFF0000"/>
      <name val="Arial"/>
      <family val="2"/>
    </font>
    <font>
      <sz val="8"/>
      <name val="Arial"/>
      <family val="2"/>
    </font>
    <font>
      <sz val="8"/>
      <color indexed="8"/>
      <name val="Arial"/>
      <family val="2"/>
    </font>
    <font>
      <b/>
      <sz val="8"/>
      <color indexed="8"/>
      <name val="Arial"/>
      <family val="2"/>
    </font>
    <font>
      <b/>
      <u val="double"/>
      <sz val="8"/>
      <color indexed="8"/>
      <name val="Arial"/>
      <family val="2"/>
    </font>
    <font>
      <b/>
      <i/>
      <sz val="8"/>
      <color indexed="8"/>
      <name val="Arial"/>
      <family val="2"/>
    </font>
    <font>
      <sz val="1"/>
      <color indexed="9"/>
      <name val="Symbol"/>
      <family val="1"/>
      <charset val="2"/>
    </font>
    <font>
      <b/>
      <sz val="8"/>
      <color indexed="9"/>
      <name val="Verdana"/>
      <family val="2"/>
    </font>
    <font>
      <b/>
      <sz val="8"/>
      <name val="Arial"/>
      <family val="2"/>
    </font>
    <font>
      <i/>
      <sz val="8"/>
      <name val="Arial"/>
      <family val="2"/>
    </font>
    <font>
      <b/>
      <sz val="13"/>
      <color indexed="8"/>
      <name val="Verdana"/>
      <family val="2"/>
    </font>
    <font>
      <b/>
      <u/>
      <sz val="8"/>
      <color indexed="8"/>
      <name val="Arial"/>
      <family val="2"/>
    </font>
    <font>
      <i/>
      <sz val="8"/>
      <color indexed="8"/>
      <name val="Arial"/>
      <family val="2"/>
    </font>
  </fonts>
  <fills count="17">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indexed="41"/>
        <bgColor indexed="64"/>
      </patternFill>
    </fill>
    <fill>
      <patternFill patternType="solid">
        <fgColor theme="2"/>
        <bgColor indexed="64"/>
      </patternFill>
    </fill>
    <fill>
      <patternFill patternType="solid">
        <fgColor rgb="FF00B0F0"/>
        <bgColor indexed="64"/>
      </patternFill>
    </fill>
    <fill>
      <patternFill patternType="solid">
        <fgColor rgb="FF7030A0"/>
        <bgColor indexed="64"/>
      </patternFill>
    </fill>
    <fill>
      <patternFill patternType="solid">
        <fgColor theme="9" tint="-0.249977111117893"/>
        <bgColor indexed="64"/>
      </patternFill>
    </fill>
    <fill>
      <patternFill patternType="solid">
        <fgColor theme="5" tint="-0.249977111117893"/>
        <bgColor indexed="64"/>
      </patternFill>
    </fill>
    <fill>
      <patternFill patternType="solid">
        <fgColor rgb="FFFFC000"/>
        <bgColor indexed="64"/>
      </patternFill>
    </fill>
    <fill>
      <patternFill patternType="solid">
        <fgColor rgb="FF00B050"/>
        <bgColor indexed="64"/>
      </patternFill>
    </fill>
    <fill>
      <patternFill patternType="solid">
        <fgColor theme="8" tint="-0.249977111117893"/>
        <bgColor indexed="64"/>
      </patternFill>
    </fill>
    <fill>
      <patternFill patternType="solid">
        <fgColor indexed="60"/>
        <bgColor indexed="64"/>
      </patternFill>
    </fill>
    <fill>
      <patternFill patternType="solid">
        <fgColor indexed="56"/>
        <bgColor indexed="64"/>
      </patternFill>
    </fill>
  </fills>
  <borders count="14">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style="medium">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8"/>
      </top>
      <bottom/>
      <diagonal/>
    </border>
  </borders>
  <cellStyleXfs count="12">
    <xf numFmtId="164" fontId="0" fillId="0" borderId="0"/>
    <xf numFmtId="9" fontId="3" fillId="0" borderId="0" applyFont="0" applyFill="0" applyBorder="0" applyAlignment="0" applyProtection="0"/>
    <xf numFmtId="164" fontId="5" fillId="0" borderId="0"/>
    <xf numFmtId="9" fontId="5" fillId="0" borderId="0" applyFont="0" applyFill="0" applyBorder="0" applyAlignment="0" applyProtection="0"/>
    <xf numFmtId="164" fontId="5" fillId="0" borderId="0"/>
    <xf numFmtId="0" fontId="5" fillId="0" borderId="0"/>
    <xf numFmtId="0" fontId="3" fillId="0" borderId="0"/>
    <xf numFmtId="0" fontId="5" fillId="0" borderId="0"/>
    <xf numFmtId="43" fontId="5" fillId="0" borderId="0" applyFont="0" applyFill="0" applyBorder="0" applyProtection="0"/>
    <xf numFmtId="0" fontId="5" fillId="0" borderId="0"/>
    <xf numFmtId="0" fontId="35" fillId="0" borderId="0" applyAlignment="0"/>
    <xf numFmtId="0" fontId="35" fillId="0" borderId="0" applyAlignment="0"/>
  </cellStyleXfs>
  <cellXfs count="441">
    <xf numFmtId="164" fontId="0" fillId="0" borderId="0" xfId="0"/>
    <xf numFmtId="164" fontId="5" fillId="0" borderId="0" xfId="2"/>
    <xf numFmtId="3" fontId="5" fillId="0" borderId="0" xfId="2" applyNumberFormat="1"/>
    <xf numFmtId="164" fontId="7" fillId="0" borderId="0" xfId="2" applyFont="1"/>
    <xf numFmtId="10" fontId="5" fillId="0" borderId="0" xfId="2" applyNumberFormat="1"/>
    <xf numFmtId="164" fontId="5" fillId="2" borderId="0" xfId="2" applyFill="1"/>
    <xf numFmtId="10" fontId="5" fillId="2" borderId="0" xfId="3" applyNumberFormat="1" applyFont="1" applyFill="1"/>
    <xf numFmtId="164" fontId="5" fillId="0" borderId="0" xfId="2" applyFill="1"/>
    <xf numFmtId="10" fontId="5" fillId="0" borderId="0" xfId="3" applyNumberFormat="1" applyFont="1" applyFill="1"/>
    <xf numFmtId="164" fontId="7" fillId="2" borderId="0" xfId="2" applyFont="1" applyFill="1"/>
    <xf numFmtId="10" fontId="5" fillId="2" borderId="0" xfId="2" applyNumberFormat="1" applyFill="1"/>
    <xf numFmtId="164" fontId="5" fillId="0" borderId="0" xfId="2" applyFont="1"/>
    <xf numFmtId="4" fontId="5" fillId="0" borderId="0" xfId="2" applyNumberFormat="1"/>
    <xf numFmtId="3" fontId="0" fillId="0" borderId="0" xfId="0" applyNumberFormat="1"/>
    <xf numFmtId="164" fontId="4" fillId="0" borderId="0" xfId="0" applyFont="1"/>
    <xf numFmtId="4" fontId="0" fillId="0" borderId="0" xfId="0" applyNumberFormat="1"/>
    <xf numFmtId="10" fontId="0" fillId="0" borderId="0" xfId="1" applyNumberFormat="1" applyFont="1"/>
    <xf numFmtId="10" fontId="5" fillId="3" borderId="0" xfId="2" applyNumberFormat="1" applyFill="1"/>
    <xf numFmtId="164" fontId="0" fillId="0" borderId="0" xfId="0" applyAlignment="1">
      <alignment wrapText="1"/>
    </xf>
    <xf numFmtId="164" fontId="0" fillId="0" borderId="0" xfId="0" applyAlignment="1">
      <alignment horizontal="center" wrapText="1"/>
    </xf>
    <xf numFmtId="164" fontId="0" fillId="0" borderId="0" xfId="0" applyAlignment="1">
      <alignment horizontal="center"/>
    </xf>
    <xf numFmtId="14" fontId="0" fillId="0" borderId="0" xfId="0" applyNumberFormat="1"/>
    <xf numFmtId="164" fontId="0" fillId="0" borderId="0" xfId="0" applyNumberFormat="1"/>
    <xf numFmtId="164" fontId="0" fillId="0" borderId="0" xfId="0" applyAlignment="1">
      <alignment horizontal="center"/>
    </xf>
    <xf numFmtId="10" fontId="5" fillId="0" borderId="0" xfId="2" applyNumberFormat="1" applyFont="1"/>
    <xf numFmtId="164" fontId="5" fillId="0" borderId="0" xfId="4"/>
    <xf numFmtId="164" fontId="5" fillId="0" borderId="0" xfId="4" applyAlignment="1">
      <alignment horizontal="right"/>
    </xf>
    <xf numFmtId="164" fontId="5" fillId="0" borderId="0" xfId="4" applyAlignment="1">
      <alignment horizontal="center"/>
    </xf>
    <xf numFmtId="10" fontId="0" fillId="0" borderId="0" xfId="3" applyNumberFormat="1" applyFont="1" applyAlignment="1">
      <alignment horizontal="right"/>
    </xf>
    <xf numFmtId="2" fontId="5" fillId="0" borderId="0" xfId="4" applyNumberFormat="1"/>
    <xf numFmtId="164" fontId="7" fillId="0" borderId="0" xfId="4" applyFont="1" applyAlignment="1">
      <alignment horizontal="center"/>
    </xf>
    <xf numFmtId="10" fontId="0" fillId="0" borderId="0" xfId="3" applyNumberFormat="1" applyFont="1"/>
    <xf numFmtId="10" fontId="0" fillId="2" borderId="0" xfId="3" applyNumberFormat="1" applyFont="1" applyFill="1"/>
    <xf numFmtId="164" fontId="5" fillId="2" borderId="0" xfId="4" applyFill="1"/>
    <xf numFmtId="10" fontId="5" fillId="2" borderId="0" xfId="4" applyNumberFormat="1" applyFill="1"/>
    <xf numFmtId="164" fontId="6" fillId="0" borderId="0" xfId="4" applyFont="1" applyAlignment="1">
      <alignment horizontal="center" vertical="center"/>
    </xf>
    <xf numFmtId="164" fontId="7" fillId="0" borderId="0" xfId="4" applyFont="1" applyAlignment="1">
      <alignment horizontal="center" vertical="center" wrapText="1"/>
    </xf>
    <xf numFmtId="10" fontId="5" fillId="0" borderId="0" xfId="3" applyNumberFormat="1"/>
    <xf numFmtId="164" fontId="0" fillId="0" borderId="0" xfId="0" applyNumberFormat="1" applyAlignment="1">
      <alignment horizontal="center"/>
    </xf>
    <xf numFmtId="164" fontId="0" fillId="0" borderId="0" xfId="0" applyNumberFormat="1" applyFont="1" applyAlignment="1">
      <alignment horizontal="center"/>
    </xf>
    <xf numFmtId="164" fontId="0" fillId="0" borderId="0" xfId="0" applyFont="1"/>
    <xf numFmtId="164" fontId="15" fillId="0" borderId="0" xfId="4" applyFont="1" applyAlignment="1">
      <alignment horizontal="right"/>
    </xf>
    <xf numFmtId="2" fontId="15" fillId="0" borderId="0" xfId="4" applyNumberFormat="1" applyFont="1"/>
    <xf numFmtId="164" fontId="15" fillId="0" borderId="0" xfId="4" applyFont="1"/>
    <xf numFmtId="10" fontId="15" fillId="0" borderId="0" xfId="3" applyNumberFormat="1" applyFont="1" applyAlignment="1">
      <alignment horizontal="right"/>
    </xf>
    <xf numFmtId="10" fontId="15" fillId="0" borderId="0" xfId="4" applyNumberFormat="1" applyFont="1"/>
    <xf numFmtId="164" fontId="15" fillId="2" borderId="0" xfId="4" applyFont="1" applyFill="1"/>
    <xf numFmtId="10" fontId="15" fillId="2" borderId="0" xfId="4" applyNumberFormat="1" applyFont="1" applyFill="1"/>
    <xf numFmtId="10" fontId="15" fillId="0" borderId="0" xfId="3" applyNumberFormat="1" applyFont="1"/>
    <xf numFmtId="10" fontId="15" fillId="2" borderId="0" xfId="3" applyNumberFormat="1" applyFont="1" applyFill="1"/>
    <xf numFmtId="165" fontId="5" fillId="0" borderId="0" xfId="4" applyNumberFormat="1"/>
    <xf numFmtId="164" fontId="4" fillId="0" borderId="0" xfId="0" applyFont="1" applyAlignment="1">
      <alignment horizontal="center"/>
    </xf>
    <xf numFmtId="164" fontId="0" fillId="0" borderId="0" xfId="0" applyAlignment="1">
      <alignment horizontal="left" wrapText="1"/>
    </xf>
    <xf numFmtId="10" fontId="0" fillId="3" borderId="0" xfId="1" applyNumberFormat="1" applyFont="1" applyFill="1"/>
    <xf numFmtId="10" fontId="0" fillId="0" borderId="0" xfId="1" applyNumberFormat="1" applyFont="1" applyFill="1"/>
    <xf numFmtId="164" fontId="0" fillId="0" borderId="0" xfId="0" applyAlignment="1">
      <alignment horizontal="left" indent="1"/>
    </xf>
    <xf numFmtId="10" fontId="0" fillId="0" borderId="0" xfId="0" applyNumberFormat="1"/>
    <xf numFmtId="164" fontId="4" fillId="0" borderId="0" xfId="0" applyFont="1" applyAlignment="1">
      <alignment horizontal="center" wrapText="1"/>
    </xf>
    <xf numFmtId="4" fontId="0" fillId="0" borderId="0" xfId="1" applyNumberFormat="1" applyFont="1"/>
    <xf numFmtId="3" fontId="0" fillId="0" borderId="0" xfId="1" applyNumberFormat="1" applyFont="1"/>
    <xf numFmtId="164" fontId="0" fillId="3" borderId="0" xfId="0" applyFill="1"/>
    <xf numFmtId="164" fontId="0" fillId="3" borderId="0" xfId="0" applyFill="1" applyAlignment="1">
      <alignment wrapText="1"/>
    </xf>
    <xf numFmtId="164" fontId="0" fillId="5" borderId="0" xfId="0" applyFill="1"/>
    <xf numFmtId="10" fontId="0" fillId="5" borderId="0" xfId="1" applyNumberFormat="1" applyFont="1" applyFill="1"/>
    <xf numFmtId="3" fontId="0" fillId="3" borderId="0" xfId="0" applyNumberFormat="1" applyFill="1"/>
    <xf numFmtId="165" fontId="5" fillId="0" borderId="1" xfId="4" applyNumberFormat="1" applyBorder="1"/>
    <xf numFmtId="165" fontId="5" fillId="0" borderId="2" xfId="4" applyNumberFormat="1" applyBorder="1"/>
    <xf numFmtId="165" fontId="5" fillId="0" borderId="3" xfId="4" applyNumberFormat="1" applyBorder="1"/>
    <xf numFmtId="165" fontId="5" fillId="0" borderId="4" xfId="4" applyNumberFormat="1" applyBorder="1"/>
    <xf numFmtId="165" fontId="5" fillId="0" borderId="5" xfId="4" applyNumberFormat="1" applyBorder="1"/>
    <xf numFmtId="165" fontId="5" fillId="0" borderId="6" xfId="4" applyNumberFormat="1" applyBorder="1"/>
    <xf numFmtId="164" fontId="5" fillId="0" borderId="0" xfId="4" applyAlignment="1">
      <alignment horizontal="left"/>
    </xf>
    <xf numFmtId="166" fontId="5" fillId="0" borderId="0" xfId="4" applyNumberFormat="1"/>
    <xf numFmtId="165" fontId="0" fillId="0" borderId="0" xfId="0" applyNumberFormat="1"/>
    <xf numFmtId="2" fontId="0" fillId="0" borderId="0" xfId="0" applyNumberFormat="1"/>
    <xf numFmtId="4" fontId="5" fillId="0" borderId="0" xfId="2" applyNumberFormat="1" applyFont="1"/>
    <xf numFmtId="164" fontId="0" fillId="0" borderId="0" xfId="0" applyFill="1"/>
    <xf numFmtId="164" fontId="0" fillId="0" borderId="0" xfId="0" applyFill="1" applyAlignment="1">
      <alignment horizontal="left" wrapText="1"/>
    </xf>
    <xf numFmtId="3" fontId="0" fillId="0" borderId="0" xfId="1" applyNumberFormat="1" applyFont="1" applyFill="1"/>
    <xf numFmtId="4" fontId="0" fillId="0" borderId="0" xfId="1" applyNumberFormat="1" applyFont="1" applyFill="1"/>
    <xf numFmtId="3" fontId="0" fillId="0" borderId="0" xfId="0" applyNumberFormat="1" applyFill="1"/>
    <xf numFmtId="164" fontId="0" fillId="0" borderId="0" xfId="0" applyFill="1" applyAlignment="1">
      <alignment wrapText="1"/>
    </xf>
    <xf numFmtId="0" fontId="0" fillId="0" borderId="0" xfId="0" applyNumberFormat="1"/>
    <xf numFmtId="3" fontId="0" fillId="0" borderId="0" xfId="0" applyNumberFormat="1" applyAlignment="1">
      <alignment horizontal="right"/>
    </xf>
    <xf numFmtId="10" fontId="4" fillId="0" borderId="0" xfId="1" applyNumberFormat="1" applyFont="1"/>
    <xf numFmtId="0" fontId="4" fillId="0" borderId="0" xfId="0" applyNumberFormat="1" applyFont="1" applyAlignment="1">
      <alignment horizontal="center"/>
    </xf>
    <xf numFmtId="164" fontId="4" fillId="0" borderId="0" xfId="0" applyFont="1" applyFill="1"/>
    <xf numFmtId="10" fontId="4" fillId="0" borderId="0" xfId="1" applyNumberFormat="1" applyFont="1" applyFill="1"/>
    <xf numFmtId="9" fontId="0" fillId="0" borderId="0" xfId="0" applyNumberFormat="1"/>
    <xf numFmtId="2" fontId="0" fillId="0" borderId="0" xfId="0" applyNumberFormat="1" applyAlignment="1">
      <alignment horizontal="center" wrapText="1"/>
    </xf>
    <xf numFmtId="164" fontId="0" fillId="3" borderId="0" xfId="0" applyFill="1" applyAlignment="1">
      <alignment horizontal="left" indent="1"/>
    </xf>
    <xf numFmtId="10" fontId="0" fillId="3" borderId="0" xfId="0" applyNumberFormat="1" applyFill="1"/>
    <xf numFmtId="0" fontId="6" fillId="0" borderId="0" xfId="5" applyFont="1" applyAlignment="1"/>
    <xf numFmtId="0" fontId="5" fillId="0" borderId="0" xfId="5"/>
    <xf numFmtId="40" fontId="5" fillId="0" borderId="0" xfId="5" applyNumberFormat="1"/>
    <xf numFmtId="9" fontId="5" fillId="0" borderId="0" xfId="5" applyNumberFormat="1"/>
    <xf numFmtId="0" fontId="5" fillId="0" borderId="0" xfId="5" applyNumberFormat="1"/>
    <xf numFmtId="4" fontId="5" fillId="0" borderId="0" xfId="5" applyNumberFormat="1"/>
    <xf numFmtId="0" fontId="5" fillId="3" borderId="0" xfId="5" applyFill="1"/>
    <xf numFmtId="10" fontId="5" fillId="3" borderId="0" xfId="1" applyNumberFormat="1" applyFont="1" applyFill="1"/>
    <xf numFmtId="0" fontId="5" fillId="0" borderId="0" xfId="4" applyNumberFormat="1"/>
    <xf numFmtId="0" fontId="17" fillId="0" borderId="8" xfId="0" applyNumberFormat="1" applyFont="1" applyFill="1" applyBorder="1" applyAlignment="1">
      <alignment horizontal="centerContinuous"/>
    </xf>
    <xf numFmtId="0" fontId="0" fillId="0" borderId="0" xfId="0" applyNumberFormat="1" applyFill="1" applyBorder="1" applyAlignment="1"/>
    <xf numFmtId="0" fontId="0" fillId="0" borderId="7" xfId="0" applyNumberFormat="1" applyFill="1" applyBorder="1" applyAlignment="1"/>
    <xf numFmtId="0" fontId="17" fillId="0" borderId="8" xfId="0" applyNumberFormat="1" applyFont="1" applyFill="1" applyBorder="1" applyAlignment="1">
      <alignment horizontal="center"/>
    </xf>
    <xf numFmtId="165" fontId="15" fillId="0" borderId="0" xfId="4" applyNumberFormat="1" applyFont="1"/>
    <xf numFmtId="10" fontId="3" fillId="0" borderId="0" xfId="3" applyNumberFormat="1" applyFont="1"/>
    <xf numFmtId="10" fontId="3" fillId="2" borderId="0" xfId="3" applyNumberFormat="1" applyFont="1" applyFill="1"/>
    <xf numFmtId="0" fontId="3" fillId="0" borderId="0" xfId="6"/>
    <xf numFmtId="0" fontId="3" fillId="0" borderId="0" xfId="6" applyAlignment="1">
      <alignment wrapText="1"/>
    </xf>
    <xf numFmtId="164" fontId="3" fillId="0" borderId="0" xfId="6" applyNumberFormat="1" applyAlignment="1">
      <alignment wrapText="1"/>
    </xf>
    <xf numFmtId="164" fontId="3" fillId="0" borderId="0" xfId="6" applyNumberFormat="1"/>
    <xf numFmtId="166" fontId="3" fillId="0" borderId="0" xfId="6" applyNumberFormat="1"/>
    <xf numFmtId="0" fontId="0" fillId="0" borderId="0" xfId="0" applyNumberFormat="1" applyAlignment="1">
      <alignment horizontal="center"/>
    </xf>
    <xf numFmtId="164" fontId="0" fillId="0" borderId="0" xfId="0" applyAlignment="1">
      <alignment vertical="center"/>
    </xf>
    <xf numFmtId="165" fontId="0" fillId="0" borderId="0" xfId="0" applyNumberFormat="1" applyAlignment="1">
      <alignment vertical="center"/>
    </xf>
    <xf numFmtId="166" fontId="5" fillId="0" borderId="0" xfId="2" applyNumberFormat="1"/>
    <xf numFmtId="0" fontId="5" fillId="0" borderId="0" xfId="7"/>
    <xf numFmtId="0" fontId="7" fillId="0" borderId="0" xfId="7" applyFont="1"/>
    <xf numFmtId="2" fontId="5" fillId="0" borderId="0" xfId="7" applyNumberFormat="1"/>
    <xf numFmtId="0" fontId="7" fillId="0" borderId="0" xfId="7" applyFont="1" applyAlignment="1">
      <alignment horizontal="center"/>
    </xf>
    <xf numFmtId="2" fontId="7" fillId="0" borderId="0" xfId="7" applyNumberFormat="1" applyFont="1" applyAlignment="1">
      <alignment horizontal="center" wrapText="1"/>
    </xf>
    <xf numFmtId="17" fontId="5" fillId="0" borderId="0" xfId="7" applyNumberFormat="1"/>
    <xf numFmtId="165" fontId="0" fillId="0" borderId="0" xfId="8" applyNumberFormat="1" applyFont="1"/>
    <xf numFmtId="10" fontId="5" fillId="0" borderId="0" xfId="7" applyNumberFormat="1"/>
    <xf numFmtId="9" fontId="5" fillId="0" borderId="0" xfId="7" applyNumberFormat="1"/>
    <xf numFmtId="0" fontId="5" fillId="0" borderId="0" xfId="7" applyBorder="1"/>
    <xf numFmtId="0" fontId="5" fillId="0" borderId="0" xfId="7" applyFill="1" applyBorder="1" applyAlignment="1"/>
    <xf numFmtId="165" fontId="5" fillId="0" borderId="0" xfId="7" applyNumberFormat="1" applyFill="1" applyBorder="1" applyAlignment="1"/>
    <xf numFmtId="165" fontId="5" fillId="0" borderId="0" xfId="7" applyNumberFormat="1" applyBorder="1"/>
    <xf numFmtId="0" fontId="24" fillId="0" borderId="0" xfId="7" applyFont="1" applyFill="1" applyBorder="1" applyAlignment="1">
      <alignment horizontal="center"/>
    </xf>
    <xf numFmtId="165" fontId="24" fillId="0" borderId="0" xfId="7" applyNumberFormat="1" applyFont="1" applyFill="1" applyBorder="1" applyAlignment="1">
      <alignment horizontal="center"/>
    </xf>
    <xf numFmtId="164" fontId="2" fillId="0" borderId="0" xfId="4" applyFont="1"/>
    <xf numFmtId="164" fontId="10" fillId="0" borderId="0" xfId="0" applyFont="1" applyAlignment="1">
      <alignment horizontal="center" vertical="center"/>
    </xf>
    <xf numFmtId="164" fontId="0" fillId="4" borderId="0" xfId="0" applyFill="1" applyAlignment="1">
      <alignment horizontal="center" vertical="center"/>
    </xf>
    <xf numFmtId="164" fontId="0" fillId="0" borderId="0" xfId="0" applyAlignment="1">
      <alignment horizontal="center"/>
    </xf>
    <xf numFmtId="164" fontId="4" fillId="4" borderId="0" xfId="0" applyFont="1" applyFill="1" applyAlignment="1">
      <alignment horizontal="center"/>
    </xf>
    <xf numFmtId="164" fontId="4" fillId="0" borderId="0" xfId="0" applyFont="1" applyAlignment="1"/>
    <xf numFmtId="164" fontId="0" fillId="0" borderId="0" xfId="0" applyAlignment="1"/>
    <xf numFmtId="3" fontId="0" fillId="0" borderId="0" xfId="0" applyNumberFormat="1" applyAlignment="1"/>
    <xf numFmtId="3" fontId="4" fillId="0" borderId="0" xfId="0" applyNumberFormat="1" applyFont="1" applyAlignment="1"/>
    <xf numFmtId="0" fontId="0" fillId="0" borderId="0" xfId="0" applyNumberFormat="1" applyAlignment="1"/>
    <xf numFmtId="164" fontId="0" fillId="0" borderId="0" xfId="0" applyAlignment="1">
      <alignment horizontal="left"/>
    </xf>
    <xf numFmtId="164" fontId="0" fillId="3" borderId="0" xfId="0" applyFill="1" applyAlignment="1"/>
    <xf numFmtId="10" fontId="0" fillId="3" borderId="0" xfId="1" applyNumberFormat="1" applyFont="1" applyFill="1" applyAlignment="1"/>
    <xf numFmtId="167" fontId="0" fillId="0" borderId="0" xfId="1" applyNumberFormat="1" applyFont="1"/>
    <xf numFmtId="164" fontId="1" fillId="0" borderId="0" xfId="4" applyFont="1" applyAlignment="1">
      <alignment horizontal="right"/>
    </xf>
    <xf numFmtId="10" fontId="1" fillId="0" borderId="0" xfId="3" applyNumberFormat="1" applyFont="1" applyAlignment="1">
      <alignment horizontal="right"/>
    </xf>
    <xf numFmtId="164" fontId="1" fillId="2" borderId="0" xfId="4" applyFont="1" applyFill="1" applyAlignment="1"/>
    <xf numFmtId="10" fontId="1" fillId="2" borderId="0" xfId="4" applyNumberFormat="1" applyFont="1" applyFill="1" applyAlignment="1"/>
    <xf numFmtId="164" fontId="1" fillId="0" borderId="0" xfId="4" applyFont="1" applyAlignment="1"/>
    <xf numFmtId="164" fontId="5" fillId="0" borderId="0" xfId="4" applyAlignment="1"/>
    <xf numFmtId="10" fontId="1" fillId="0" borderId="0" xfId="3" applyNumberFormat="1" applyFont="1" applyAlignment="1"/>
    <xf numFmtId="10" fontId="1" fillId="2" borderId="0" xfId="3" applyNumberFormat="1" applyFont="1" applyFill="1" applyAlignment="1"/>
    <xf numFmtId="164" fontId="7" fillId="0" borderId="0" xfId="4" applyFont="1" applyAlignment="1">
      <alignment horizontal="center" vertical="center"/>
    </xf>
    <xf numFmtId="164" fontId="0" fillId="0" borderId="0" xfId="0" applyFont="1" applyAlignment="1"/>
    <xf numFmtId="2" fontId="1" fillId="0" borderId="0" xfId="4" applyNumberFormat="1" applyFont="1" applyAlignment="1"/>
    <xf numFmtId="10" fontId="1" fillId="0" borderId="0" xfId="4" applyNumberFormat="1" applyFont="1" applyAlignment="1"/>
    <xf numFmtId="10" fontId="25" fillId="0" borderId="0" xfId="3" applyNumberFormat="1" applyFont="1" applyAlignment="1"/>
    <xf numFmtId="4" fontId="0" fillId="0" borderId="0" xfId="0" applyNumberFormat="1" applyAlignment="1"/>
    <xf numFmtId="10" fontId="0" fillId="0" borderId="0" xfId="0" applyNumberFormat="1" applyAlignment="1"/>
    <xf numFmtId="10" fontId="0" fillId="0" borderId="0" xfId="1" applyNumberFormat="1" applyFont="1" applyAlignment="1"/>
    <xf numFmtId="164" fontId="0" fillId="3" borderId="0" xfId="0" applyFill="1" applyAlignment="1">
      <alignment horizontal="left"/>
    </xf>
    <xf numFmtId="10" fontId="0" fillId="3" borderId="0" xfId="0" applyNumberFormat="1" applyFill="1" applyAlignment="1"/>
    <xf numFmtId="167" fontId="5" fillId="0" borderId="0" xfId="2" applyNumberFormat="1"/>
    <xf numFmtId="169" fontId="0" fillId="0" borderId="0" xfId="1" applyNumberFormat="1" applyFont="1"/>
    <xf numFmtId="164" fontId="0" fillId="0" borderId="3" xfId="0" applyBorder="1"/>
    <xf numFmtId="164" fontId="0" fillId="0" borderId="0" xfId="0" applyBorder="1"/>
    <xf numFmtId="164" fontId="0" fillId="0" borderId="4" xfId="0" applyBorder="1"/>
    <xf numFmtId="164" fontId="0" fillId="0" borderId="5" xfId="0" applyBorder="1"/>
    <xf numFmtId="164" fontId="0" fillId="0" borderId="9" xfId="0" applyBorder="1"/>
    <xf numFmtId="164" fontId="0" fillId="0" borderId="6" xfId="0" applyBorder="1"/>
    <xf numFmtId="164" fontId="0" fillId="0" borderId="1" xfId="0" applyBorder="1"/>
    <xf numFmtId="164" fontId="0" fillId="0" borderId="2" xfId="0" applyBorder="1"/>
    <xf numFmtId="3" fontId="0" fillId="0" borderId="2" xfId="0" applyNumberFormat="1" applyBorder="1"/>
    <xf numFmtId="3" fontId="0" fillId="0" borderId="4" xfId="0" applyNumberFormat="1" applyBorder="1"/>
    <xf numFmtId="164" fontId="0" fillId="0" borderId="3" xfId="0" applyBorder="1" applyAlignment="1"/>
    <xf numFmtId="0" fontId="0" fillId="0" borderId="1" xfId="0" applyNumberFormat="1" applyBorder="1" applyAlignment="1"/>
    <xf numFmtId="0" fontId="4" fillId="0" borderId="10" xfId="0" applyNumberFormat="1" applyFont="1" applyBorder="1" applyAlignment="1">
      <alignment horizontal="center"/>
    </xf>
    <xf numFmtId="0" fontId="4" fillId="0" borderId="2" xfId="0" applyNumberFormat="1" applyFont="1" applyBorder="1" applyAlignment="1">
      <alignment horizontal="center"/>
    </xf>
    <xf numFmtId="3" fontId="0" fillId="0" borderId="0" xfId="0" applyNumberFormat="1" applyBorder="1" applyAlignment="1"/>
    <xf numFmtId="3" fontId="0" fillId="0" borderId="4" xfId="0" applyNumberFormat="1" applyBorder="1" applyAlignment="1"/>
    <xf numFmtId="164" fontId="0" fillId="0" borderId="3" xfId="0" applyBorder="1" applyAlignment="1">
      <alignment horizontal="left"/>
    </xf>
    <xf numFmtId="164" fontId="0" fillId="3" borderId="3" xfId="0" applyFill="1" applyBorder="1" applyAlignment="1"/>
    <xf numFmtId="164" fontId="0" fillId="0" borderId="0" xfId="0" applyBorder="1" applyAlignment="1"/>
    <xf numFmtId="164" fontId="0" fillId="0" borderId="4" xfId="0" applyBorder="1" applyAlignment="1"/>
    <xf numFmtId="4" fontId="0" fillId="0" borderId="2" xfId="0" applyNumberFormat="1" applyBorder="1"/>
    <xf numFmtId="4" fontId="0" fillId="0" borderId="4" xfId="0" applyNumberFormat="1" applyBorder="1"/>
    <xf numFmtId="164" fontId="27" fillId="0" borderId="0" xfId="0" applyFont="1"/>
    <xf numFmtId="164" fontId="28" fillId="0" borderId="0" xfId="0" applyFont="1" applyAlignment="1">
      <alignment horizontal="center" vertical="center" readingOrder="1"/>
    </xf>
    <xf numFmtId="0" fontId="10" fillId="0" borderId="10" xfId="6" applyFont="1" applyBorder="1" applyAlignment="1">
      <alignment horizontal="center"/>
    </xf>
    <xf numFmtId="0" fontId="10" fillId="0" borderId="2" xfId="6" applyFont="1" applyBorder="1" applyAlignment="1">
      <alignment horizontal="center"/>
    </xf>
    <xf numFmtId="0" fontId="3" fillId="0" borderId="3" xfId="6" applyBorder="1" applyAlignment="1">
      <alignment wrapText="1"/>
    </xf>
    <xf numFmtId="0" fontId="3" fillId="0" borderId="0" xfId="6" applyBorder="1" applyAlignment="1">
      <alignment wrapText="1"/>
    </xf>
    <xf numFmtId="164" fontId="3" fillId="0" borderId="0" xfId="6" applyNumberFormat="1" applyBorder="1" applyAlignment="1">
      <alignment wrapText="1"/>
    </xf>
    <xf numFmtId="0" fontId="3" fillId="0" borderId="4" xfId="6" applyBorder="1" applyAlignment="1">
      <alignment wrapText="1"/>
    </xf>
    <xf numFmtId="0" fontId="0" fillId="0" borderId="3" xfId="6" applyFont="1" applyBorder="1"/>
    <xf numFmtId="0" fontId="3" fillId="0" borderId="0" xfId="6" applyBorder="1"/>
    <xf numFmtId="10" fontId="0" fillId="0" borderId="0" xfId="1" applyNumberFormat="1" applyFont="1" applyBorder="1"/>
    <xf numFmtId="164" fontId="3" fillId="0" borderId="0" xfId="6" applyNumberFormat="1" applyBorder="1"/>
    <xf numFmtId="166" fontId="3" fillId="0" borderId="0" xfId="6" applyNumberFormat="1" applyBorder="1"/>
    <xf numFmtId="10" fontId="0" fillId="0" borderId="4" xfId="1" applyNumberFormat="1" applyFont="1" applyBorder="1"/>
    <xf numFmtId="0" fontId="3" fillId="0" borderId="9" xfId="6" applyBorder="1"/>
    <xf numFmtId="0" fontId="27" fillId="0" borderId="0" xfId="0" applyNumberFormat="1" applyFont="1"/>
    <xf numFmtId="0" fontId="0" fillId="0" borderId="1" xfId="0" applyNumberFormat="1" applyBorder="1"/>
    <xf numFmtId="0" fontId="0" fillId="0" borderId="2" xfId="0" applyNumberFormat="1" applyBorder="1"/>
    <xf numFmtId="0" fontId="0" fillId="0" borderId="3" xfId="0" applyNumberFormat="1" applyBorder="1"/>
    <xf numFmtId="0" fontId="0" fillId="0" borderId="4" xfId="0" applyNumberFormat="1" applyBorder="1"/>
    <xf numFmtId="9" fontId="0" fillId="0" borderId="4" xfId="0" applyNumberFormat="1" applyBorder="1"/>
    <xf numFmtId="164" fontId="0" fillId="0" borderId="0" xfId="0" applyNumberFormat="1" applyAlignment="1"/>
    <xf numFmtId="2" fontId="0" fillId="0" borderId="0" xfId="0" applyNumberFormat="1" applyAlignment="1">
      <alignment horizontal="center"/>
    </xf>
    <xf numFmtId="2" fontId="0" fillId="0" borderId="0" xfId="0" applyNumberFormat="1" applyAlignment="1"/>
    <xf numFmtId="169" fontId="0" fillId="3" borderId="0" xfId="1" applyNumberFormat="1" applyFont="1" applyFill="1"/>
    <xf numFmtId="164" fontId="0" fillId="0" borderId="1" xfId="0" applyBorder="1" applyAlignment="1"/>
    <xf numFmtId="164" fontId="4" fillId="0" borderId="10" xfId="0" applyFont="1" applyBorder="1" applyAlignment="1">
      <alignment horizontal="center"/>
    </xf>
    <xf numFmtId="164" fontId="29" fillId="0" borderId="10" xfId="0" applyFont="1" applyBorder="1"/>
    <xf numFmtId="164" fontId="4" fillId="0" borderId="2" xfId="0" applyFont="1" applyBorder="1" applyAlignment="1">
      <alignment horizontal="center"/>
    </xf>
    <xf numFmtId="10" fontId="0" fillId="3" borderId="0" xfId="1" applyNumberFormat="1" applyFont="1" applyFill="1" applyBorder="1" applyAlignment="1"/>
    <xf numFmtId="10" fontId="0" fillId="0" borderId="0" xfId="1" applyNumberFormat="1" applyFont="1" applyBorder="1" applyAlignment="1"/>
    <xf numFmtId="164" fontId="0" fillId="5" borderId="3" xfId="0" applyFill="1" applyBorder="1" applyAlignment="1"/>
    <xf numFmtId="10" fontId="0" fillId="5" borderId="0" xfId="1" applyNumberFormat="1" applyFont="1" applyFill="1" applyBorder="1" applyAlignment="1"/>
    <xf numFmtId="164" fontId="0" fillId="5" borderId="0" xfId="0" applyFill="1" applyBorder="1" applyAlignment="1"/>
    <xf numFmtId="3" fontId="0" fillId="0" borderId="0" xfId="1" applyNumberFormat="1" applyFont="1" applyBorder="1" applyAlignment="1"/>
    <xf numFmtId="4" fontId="0" fillId="0" borderId="0" xfId="1" applyNumberFormat="1" applyFont="1" applyBorder="1" applyAlignment="1"/>
    <xf numFmtId="164" fontId="0" fillId="0" borderId="5" xfId="0" applyBorder="1" applyAlignment="1"/>
    <xf numFmtId="164" fontId="0" fillId="0" borderId="9" xfId="0" applyBorder="1" applyAlignment="1"/>
    <xf numFmtId="164" fontId="0" fillId="0" borderId="6" xfId="0" applyBorder="1" applyAlignment="1"/>
    <xf numFmtId="0" fontId="1" fillId="0" borderId="0" xfId="5" applyFont="1" applyAlignment="1"/>
    <xf numFmtId="164" fontId="3" fillId="0" borderId="0" xfId="0" applyFont="1" applyAlignment="1"/>
    <xf numFmtId="164" fontId="3" fillId="0" borderId="0" xfId="0" applyFont="1" applyAlignment="1">
      <alignment horizontal="center"/>
    </xf>
    <xf numFmtId="164" fontId="3" fillId="0" borderId="0" xfId="0" applyFont="1"/>
    <xf numFmtId="3" fontId="3" fillId="0" borderId="0" xfId="0" applyNumberFormat="1" applyFont="1" applyAlignment="1"/>
    <xf numFmtId="3" fontId="3" fillId="3" borderId="0" xfId="0" applyNumberFormat="1" applyFont="1" applyFill="1" applyAlignment="1"/>
    <xf numFmtId="164" fontId="3" fillId="3" borderId="0" xfId="0" applyFont="1" applyFill="1" applyAlignment="1"/>
    <xf numFmtId="10" fontId="3" fillId="3" borderId="0" xfId="1" applyNumberFormat="1" applyFont="1" applyFill="1" applyAlignment="1"/>
    <xf numFmtId="10" fontId="3" fillId="0" borderId="0" xfId="1" applyNumberFormat="1" applyFont="1" applyAlignment="1"/>
    <xf numFmtId="164" fontId="3" fillId="0" borderId="0" xfId="0" applyFont="1" applyAlignment="1">
      <alignment horizontal="left"/>
    </xf>
    <xf numFmtId="3" fontId="3" fillId="0" borderId="0" xfId="1" applyNumberFormat="1" applyFont="1" applyAlignment="1"/>
    <xf numFmtId="4" fontId="3" fillId="0" borderId="0" xfId="1" applyNumberFormat="1" applyFont="1" applyAlignment="1"/>
    <xf numFmtId="164" fontId="3" fillId="5" borderId="0" xfId="0" applyFont="1" applyFill="1" applyAlignment="1">
      <alignment horizontal="center" vertical="center"/>
    </xf>
    <xf numFmtId="164" fontId="0" fillId="0" borderId="10" xfId="0" applyBorder="1"/>
    <xf numFmtId="0" fontId="4" fillId="0" borderId="0" xfId="0" applyNumberFormat="1" applyFont="1" applyBorder="1" applyAlignment="1">
      <alignment horizontal="center"/>
    </xf>
    <xf numFmtId="0" fontId="4" fillId="0" borderId="4" xfId="0" applyNumberFormat="1" applyFont="1" applyBorder="1" applyAlignment="1">
      <alignment horizontal="center"/>
    </xf>
    <xf numFmtId="164" fontId="0" fillId="7" borderId="0" xfId="0" applyFill="1"/>
    <xf numFmtId="164" fontId="0" fillId="7" borderId="0" xfId="0" applyFill="1" applyAlignment="1"/>
    <xf numFmtId="0" fontId="1" fillId="0" borderId="1" xfId="5" applyFont="1" applyBorder="1" applyAlignment="1"/>
    <xf numFmtId="40" fontId="1" fillId="0" borderId="2" xfId="5" applyNumberFormat="1" applyFont="1" applyBorder="1" applyAlignment="1"/>
    <xf numFmtId="0" fontId="1" fillId="0" borderId="3" xfId="5" applyFont="1" applyBorder="1" applyAlignment="1"/>
    <xf numFmtId="9" fontId="1" fillId="0" borderId="4" xfId="5" applyNumberFormat="1" applyFont="1" applyBorder="1" applyAlignment="1"/>
    <xf numFmtId="0" fontId="1" fillId="0" borderId="4" xfId="5" applyNumberFormat="1" applyFont="1" applyBorder="1" applyAlignment="1"/>
    <xf numFmtId="4" fontId="1" fillId="0" borderId="4" xfId="5" applyNumberFormat="1" applyFont="1" applyBorder="1" applyAlignment="1"/>
    <xf numFmtId="164" fontId="15" fillId="0" borderId="1" xfId="4" applyFont="1" applyBorder="1" applyAlignment="1"/>
    <xf numFmtId="165" fontId="15" fillId="0" borderId="10" xfId="4" applyNumberFormat="1" applyFont="1" applyBorder="1" applyAlignment="1"/>
    <xf numFmtId="164" fontId="15" fillId="0" borderId="10" xfId="4" applyFont="1" applyBorder="1" applyAlignment="1"/>
    <xf numFmtId="164" fontId="15" fillId="0" borderId="3" xfId="4" applyFont="1" applyBorder="1" applyAlignment="1"/>
    <xf numFmtId="10" fontId="3" fillId="0" borderId="0" xfId="3" applyNumberFormat="1" applyFont="1" applyBorder="1" applyAlignment="1"/>
    <xf numFmtId="164" fontId="15" fillId="0" borderId="0" xfId="4" applyFont="1" applyBorder="1" applyAlignment="1"/>
    <xf numFmtId="10" fontId="15" fillId="0" borderId="0" xfId="3" applyNumberFormat="1" applyFont="1" applyBorder="1" applyAlignment="1"/>
    <xf numFmtId="10" fontId="15" fillId="0" borderId="0" xfId="4" applyNumberFormat="1" applyFont="1" applyBorder="1" applyAlignment="1"/>
    <xf numFmtId="164" fontId="2" fillId="0" borderId="0" xfId="4" applyFont="1" applyBorder="1" applyAlignment="1"/>
    <xf numFmtId="2" fontId="15" fillId="0" borderId="0" xfId="4" applyNumberFormat="1" applyFont="1" applyBorder="1" applyAlignment="1"/>
    <xf numFmtId="164" fontId="15" fillId="2" borderId="1" xfId="4" applyFont="1" applyFill="1" applyBorder="1"/>
    <xf numFmtId="10" fontId="15" fillId="2" borderId="10" xfId="1" applyNumberFormat="1" applyFont="1" applyFill="1" applyBorder="1"/>
    <xf numFmtId="164" fontId="15" fillId="0" borderId="10" xfId="4" applyFont="1" applyBorder="1"/>
    <xf numFmtId="164" fontId="5" fillId="0" borderId="10" xfId="4" applyBorder="1"/>
    <xf numFmtId="164" fontId="5" fillId="0" borderId="2" xfId="4" applyBorder="1"/>
    <xf numFmtId="164" fontId="15" fillId="0" borderId="3" xfId="4" applyFont="1" applyBorder="1"/>
    <xf numFmtId="10" fontId="15" fillId="0" borderId="0" xfId="3" applyNumberFormat="1" applyFont="1" applyBorder="1"/>
    <xf numFmtId="164" fontId="15" fillId="0" borderId="0" xfId="4" applyFont="1" applyBorder="1"/>
    <xf numFmtId="164" fontId="5" fillId="0" borderId="0" xfId="4" applyBorder="1"/>
    <xf numFmtId="164" fontId="5" fillId="0" borderId="4" xfId="4" applyBorder="1"/>
    <xf numFmtId="164" fontId="5" fillId="0" borderId="3" xfId="4" applyBorder="1"/>
    <xf numFmtId="164" fontId="7" fillId="0" borderId="3" xfId="4" applyFont="1" applyBorder="1" applyAlignment="1">
      <alignment horizontal="center"/>
    </xf>
    <xf numFmtId="164" fontId="7" fillId="0" borderId="0" xfId="4" applyFont="1" applyBorder="1" applyAlignment="1">
      <alignment horizontal="center"/>
    </xf>
    <xf numFmtId="164" fontId="7" fillId="0" borderId="0" xfId="4" applyFont="1" applyBorder="1" applyAlignment="1">
      <alignment horizontal="center" vertical="center" wrapText="1"/>
    </xf>
    <xf numFmtId="164" fontId="7" fillId="0" borderId="4" xfId="4" applyFont="1" applyBorder="1" applyAlignment="1">
      <alignment horizontal="center" vertical="center" wrapText="1"/>
    </xf>
    <xf numFmtId="164" fontId="0" fillId="0" borderId="3" xfId="0" applyNumberFormat="1" applyFont="1" applyBorder="1" applyAlignment="1">
      <alignment horizontal="center"/>
    </xf>
    <xf numFmtId="164" fontId="0" fillId="0" borderId="0" xfId="0" applyFont="1" applyBorder="1"/>
    <xf numFmtId="164" fontId="15" fillId="0" borderId="0" xfId="4" applyFont="1" applyBorder="1" applyAlignment="1">
      <alignment horizontal="right"/>
    </xf>
    <xf numFmtId="2" fontId="15" fillId="0" borderId="0" xfId="4" applyNumberFormat="1" applyFont="1" applyBorder="1"/>
    <xf numFmtId="164" fontId="15" fillId="0" borderId="4" xfId="4" applyFont="1" applyBorder="1"/>
    <xf numFmtId="10" fontId="15" fillId="0" borderId="0" xfId="3" applyNumberFormat="1" applyFont="1" applyBorder="1" applyAlignment="1">
      <alignment horizontal="right"/>
    </xf>
    <xf numFmtId="10" fontId="0" fillId="0" borderId="0" xfId="3" applyNumberFormat="1" applyFont="1" applyBorder="1"/>
    <xf numFmtId="10" fontId="15" fillId="0" borderId="4" xfId="4" applyNumberFormat="1" applyFont="1" applyBorder="1"/>
    <xf numFmtId="164" fontId="0" fillId="0" borderId="5" xfId="0" applyNumberFormat="1" applyFont="1" applyBorder="1" applyAlignment="1">
      <alignment horizontal="center"/>
    </xf>
    <xf numFmtId="164" fontId="0" fillId="0" borderId="9" xfId="0" applyFont="1" applyBorder="1"/>
    <xf numFmtId="10" fontId="15" fillId="0" borderId="9" xfId="3" applyNumberFormat="1" applyFont="1" applyBorder="1" applyAlignment="1">
      <alignment horizontal="right"/>
    </xf>
    <xf numFmtId="10" fontId="0" fillId="0" borderId="9" xfId="3" applyNumberFormat="1" applyFont="1" applyBorder="1"/>
    <xf numFmtId="10" fontId="15" fillId="0" borderId="6" xfId="4" applyNumberFormat="1" applyFont="1" applyBorder="1"/>
    <xf numFmtId="164" fontId="5" fillId="0" borderId="1" xfId="4" applyBorder="1"/>
    <xf numFmtId="2" fontId="15" fillId="0" borderId="2" xfId="4" applyNumberFormat="1" applyFont="1" applyBorder="1"/>
    <xf numFmtId="10" fontId="0" fillId="0" borderId="4" xfId="3" applyNumberFormat="1" applyFont="1" applyBorder="1"/>
    <xf numFmtId="164" fontId="5" fillId="0" borderId="5" xfId="4" applyBorder="1"/>
    <xf numFmtId="10" fontId="0" fillId="0" borderId="6" xfId="3" applyNumberFormat="1" applyFont="1" applyBorder="1"/>
    <xf numFmtId="164" fontId="3" fillId="7" borderId="0" xfId="0" applyFont="1" applyFill="1"/>
    <xf numFmtId="164" fontId="5" fillId="7" borderId="0" xfId="4" applyFill="1"/>
    <xf numFmtId="164" fontId="0" fillId="7" borderId="0" xfId="0" applyNumberFormat="1" applyFont="1" applyFill="1" applyAlignment="1">
      <alignment horizontal="center"/>
    </xf>
    <xf numFmtId="164" fontId="0" fillId="7" borderId="0" xfId="0" applyFont="1" applyFill="1"/>
    <xf numFmtId="10" fontId="15" fillId="7" borderId="0" xfId="3" applyNumberFormat="1" applyFont="1" applyFill="1" applyAlignment="1">
      <alignment horizontal="right"/>
    </xf>
    <xf numFmtId="10" fontId="0" fillId="7" borderId="0" xfId="3" applyNumberFormat="1" applyFont="1" applyFill="1"/>
    <xf numFmtId="10" fontId="15" fillId="7" borderId="0" xfId="4" applyNumberFormat="1" applyFont="1" applyFill="1"/>
    <xf numFmtId="164" fontId="5" fillId="7" borderId="0" xfId="4" applyFill="1" applyAlignment="1">
      <alignment horizontal="right"/>
    </xf>
    <xf numFmtId="164" fontId="0" fillId="7" borderId="0" xfId="0" applyNumberFormat="1" applyFill="1" applyAlignment="1">
      <alignment horizontal="center"/>
    </xf>
    <xf numFmtId="4" fontId="0" fillId="7" borderId="0" xfId="0" applyNumberFormat="1" applyFill="1"/>
    <xf numFmtId="10" fontId="5" fillId="7" borderId="0" xfId="3" applyNumberFormat="1" applyFill="1"/>
    <xf numFmtId="0" fontId="0" fillId="8" borderId="5" xfId="0" applyNumberFormat="1" applyFill="1" applyBorder="1"/>
    <xf numFmtId="10" fontId="0" fillId="8" borderId="6" xfId="0" applyNumberFormat="1" applyFill="1" applyBorder="1"/>
    <xf numFmtId="164" fontId="0" fillId="8" borderId="0" xfId="0" applyFill="1" applyAlignment="1"/>
    <xf numFmtId="169" fontId="0" fillId="8" borderId="0" xfId="1" applyNumberFormat="1" applyFont="1" applyFill="1" applyAlignment="1"/>
    <xf numFmtId="164" fontId="0" fillId="8" borderId="3" xfId="0" applyFill="1" applyBorder="1" applyAlignment="1"/>
    <xf numFmtId="0" fontId="1" fillId="8" borderId="5" xfId="5" applyFont="1" applyFill="1" applyBorder="1" applyAlignment="1"/>
    <xf numFmtId="10" fontId="1" fillId="8" borderId="6" xfId="1" applyNumberFormat="1" applyFont="1" applyFill="1" applyBorder="1" applyAlignment="1"/>
    <xf numFmtId="164" fontId="3" fillId="8" borderId="0" xfId="0" applyFont="1" applyFill="1" applyAlignment="1"/>
    <xf numFmtId="10" fontId="3" fillId="8" borderId="0" xfId="1" applyNumberFormat="1" applyFont="1" applyFill="1" applyAlignment="1"/>
    <xf numFmtId="164" fontId="15" fillId="8" borderId="3" xfId="4" applyFont="1" applyFill="1" applyBorder="1" applyAlignment="1"/>
    <xf numFmtId="10" fontId="3" fillId="8" borderId="0" xfId="3" applyNumberFormat="1" applyFont="1" applyFill="1" applyBorder="1" applyAlignment="1"/>
    <xf numFmtId="164" fontId="0" fillId="9" borderId="0" xfId="0" applyFill="1"/>
    <xf numFmtId="164" fontId="5" fillId="9" borderId="0" xfId="4" applyFill="1" applyAlignment="1">
      <alignment horizontal="left"/>
    </xf>
    <xf numFmtId="166" fontId="5" fillId="9" borderId="0" xfId="4" applyNumberFormat="1" applyFill="1"/>
    <xf numFmtId="164" fontId="0" fillId="10" borderId="0" xfId="0" applyFill="1"/>
    <xf numFmtId="164" fontId="15" fillId="10" borderId="3" xfId="4" applyFont="1" applyFill="1" applyBorder="1"/>
    <xf numFmtId="10" fontId="15" fillId="10" borderId="0" xfId="3" applyNumberFormat="1" applyFont="1" applyFill="1" applyBorder="1"/>
    <xf numFmtId="164" fontId="0" fillId="11" borderId="0" xfId="0" applyFill="1"/>
    <xf numFmtId="0" fontId="0" fillId="0" borderId="0" xfId="0" applyNumberFormat="1" applyFont="1" applyAlignment="1">
      <alignment horizontal="center"/>
    </xf>
    <xf numFmtId="3" fontId="0" fillId="0" borderId="0" xfId="0" applyNumberFormat="1" applyFont="1"/>
    <xf numFmtId="164" fontId="0" fillId="11" borderId="0" xfId="0" applyFont="1" applyFill="1"/>
    <xf numFmtId="10" fontId="3" fillId="11" borderId="0" xfId="1" applyNumberFormat="1" applyFont="1" applyFill="1"/>
    <xf numFmtId="164" fontId="0" fillId="12" borderId="3" xfId="0" applyFill="1" applyBorder="1" applyAlignment="1"/>
    <xf numFmtId="164" fontId="0" fillId="12" borderId="0" xfId="0" applyFill="1" applyBorder="1" applyAlignment="1"/>
    <xf numFmtId="10" fontId="0" fillId="12" borderId="4" xfId="1" applyNumberFormat="1" applyFont="1" applyFill="1" applyBorder="1" applyAlignment="1"/>
    <xf numFmtId="164" fontId="0" fillId="12" borderId="5" xfId="0" applyFill="1" applyBorder="1" applyAlignment="1"/>
    <xf numFmtId="164" fontId="0" fillId="12" borderId="9" xfId="0" applyFill="1" applyBorder="1" applyAlignment="1"/>
    <xf numFmtId="10" fontId="0" fillId="12" borderId="6" xfId="1" applyNumberFormat="1" applyFont="1" applyFill="1" applyBorder="1" applyAlignment="1"/>
    <xf numFmtId="0" fontId="3" fillId="12" borderId="5" xfId="6" applyFill="1" applyBorder="1"/>
    <xf numFmtId="10" fontId="0" fillId="12" borderId="9" xfId="1" applyNumberFormat="1" applyFont="1" applyFill="1" applyBorder="1"/>
    <xf numFmtId="164" fontId="4" fillId="11" borderId="9" xfId="0" applyFont="1" applyFill="1" applyBorder="1"/>
    <xf numFmtId="10" fontId="4" fillId="11" borderId="9" xfId="1" applyNumberFormat="1" applyFont="1" applyFill="1" applyBorder="1"/>
    <xf numFmtId="10" fontId="4" fillId="11" borderId="6" xfId="1" applyNumberFormat="1" applyFont="1" applyFill="1" applyBorder="1"/>
    <xf numFmtId="164" fontId="0" fillId="13" borderId="5" xfId="0" applyFill="1" applyBorder="1"/>
    <xf numFmtId="3" fontId="0" fillId="13" borderId="6" xfId="0" applyNumberFormat="1" applyFill="1" applyBorder="1" applyAlignment="1">
      <alignment horizontal="right"/>
    </xf>
    <xf numFmtId="164" fontId="0" fillId="14" borderId="11" xfId="0" applyFill="1" applyBorder="1"/>
    <xf numFmtId="3" fontId="0" fillId="14" borderId="12" xfId="0" applyNumberFormat="1" applyFill="1" applyBorder="1"/>
    <xf numFmtId="0" fontId="30" fillId="0" borderId="0" xfId="9" applyFont="1"/>
    <xf numFmtId="0" fontId="31" fillId="0" borderId="0" xfId="9" applyNumberFormat="1" applyFont="1" applyAlignment="1">
      <alignment horizontal="center" vertical="center"/>
    </xf>
    <xf numFmtId="0" fontId="30" fillId="0" borderId="0" xfId="9" applyFont="1" applyAlignment="1"/>
    <xf numFmtId="0" fontId="30" fillId="0" borderId="0" xfId="9" applyFont="1" applyAlignment="1">
      <alignment vertical="top" wrapText="1"/>
    </xf>
    <xf numFmtId="0" fontId="30" fillId="0" borderId="0" xfId="9" applyFont="1" applyAlignment="1">
      <alignment vertical="top"/>
    </xf>
    <xf numFmtId="0" fontId="31" fillId="0" borderId="0" xfId="9" applyFont="1" applyAlignment="1">
      <alignment horizontal="left" vertical="top"/>
    </xf>
    <xf numFmtId="170" fontId="32" fillId="0" borderId="0" xfId="9" applyNumberFormat="1" applyFont="1" applyAlignment="1">
      <alignment horizontal="right" vertical="top" wrapText="1"/>
    </xf>
    <xf numFmtId="0" fontId="32" fillId="0" borderId="0" xfId="9" applyFont="1" applyAlignment="1">
      <alignment horizontal="left" vertical="top"/>
    </xf>
    <xf numFmtId="170" fontId="31" fillId="0" borderId="0" xfId="9" applyNumberFormat="1" applyFont="1" applyAlignment="1">
      <alignment horizontal="right" vertical="top" wrapText="1"/>
    </xf>
    <xf numFmtId="49" fontId="31" fillId="0" borderId="0" xfId="9" applyNumberFormat="1" applyFont="1" applyAlignment="1">
      <alignment horizontal="right" vertical="top" wrapText="1"/>
    </xf>
    <xf numFmtId="171" fontId="31" fillId="0" borderId="0" xfId="9" applyNumberFormat="1" applyFont="1" applyAlignment="1">
      <alignment horizontal="right" vertical="top" wrapText="1"/>
    </xf>
    <xf numFmtId="172" fontId="31" fillId="0" borderId="0" xfId="9" applyNumberFormat="1" applyFont="1" applyAlignment="1">
      <alignment horizontal="right" vertical="top" wrapText="1"/>
    </xf>
    <xf numFmtId="173" fontId="31" fillId="0" borderId="0" xfId="9" applyNumberFormat="1" applyFont="1" applyAlignment="1">
      <alignment horizontal="right" vertical="top" wrapText="1"/>
    </xf>
    <xf numFmtId="174" fontId="31" fillId="0" borderId="0" xfId="9" applyNumberFormat="1" applyFont="1" applyAlignment="1">
      <alignment horizontal="right" vertical="top" wrapText="1"/>
    </xf>
    <xf numFmtId="170" fontId="33" fillId="0" borderId="13" xfId="9" applyNumberFormat="1" applyFont="1" applyBorder="1" applyAlignment="1">
      <alignment horizontal="right" vertical="top" wrapText="1"/>
    </xf>
    <xf numFmtId="170" fontId="32" fillId="0" borderId="13" xfId="9" applyNumberFormat="1" applyFont="1" applyBorder="1" applyAlignment="1">
      <alignment horizontal="right" vertical="top" wrapText="1"/>
    </xf>
    <xf numFmtId="0" fontId="34" fillId="15" borderId="0" xfId="9" applyFont="1" applyFill="1" applyAlignment="1">
      <alignment horizontal="right" wrapText="1"/>
    </xf>
    <xf numFmtId="0" fontId="34" fillId="15" borderId="0" xfId="9" applyFont="1" applyFill="1" applyAlignment="1">
      <alignment wrapText="1"/>
    </xf>
    <xf numFmtId="0" fontId="32" fillId="15" borderId="0" xfId="9" applyFont="1" applyFill="1" applyAlignment="1">
      <alignment horizontal="right" wrapText="1"/>
    </xf>
    <xf numFmtId="0" fontId="32" fillId="15" borderId="0" xfId="9" applyFont="1" applyFill="1" applyAlignment="1">
      <alignment wrapText="1"/>
    </xf>
    <xf numFmtId="0" fontId="35" fillId="0" borderId="0" xfId="10" applyFont="1" applyAlignment="1"/>
    <xf numFmtId="0" fontId="36" fillId="16" borderId="0" xfId="9" applyFont="1" applyFill="1" applyAlignment="1"/>
    <xf numFmtId="49" fontId="30" fillId="0" borderId="0" xfId="9" applyNumberFormat="1" applyFont="1"/>
    <xf numFmtId="0" fontId="37" fillId="0" borderId="0" xfId="9" applyFont="1"/>
    <xf numFmtId="0" fontId="31" fillId="0" borderId="0" xfId="9" applyNumberFormat="1" applyFont="1" applyAlignment="1">
      <alignment horizontal="left" vertical="top"/>
    </xf>
    <xf numFmtId="0" fontId="38" fillId="0" borderId="0" xfId="9" applyFont="1" applyAlignment="1">
      <alignment wrapText="1"/>
    </xf>
    <xf numFmtId="0" fontId="39" fillId="0" borderId="0" xfId="9" applyNumberFormat="1" applyFont="1" applyAlignment="1"/>
    <xf numFmtId="175" fontId="31" fillId="0" borderId="0" xfId="9" applyNumberFormat="1" applyFont="1" applyAlignment="1">
      <alignment horizontal="right" vertical="top" wrapText="1"/>
    </xf>
    <xf numFmtId="170" fontId="33" fillId="0" borderId="0" xfId="9" applyNumberFormat="1" applyFont="1" applyAlignment="1">
      <alignment horizontal="right" vertical="top" wrapText="1"/>
    </xf>
    <xf numFmtId="170" fontId="40" fillId="0" borderId="0" xfId="9" applyNumberFormat="1" applyFont="1" applyAlignment="1">
      <alignment horizontal="right" vertical="top" wrapText="1"/>
    </xf>
    <xf numFmtId="43" fontId="32" fillId="0" borderId="13" xfId="9" applyNumberFormat="1" applyFont="1" applyBorder="1" applyAlignment="1">
      <alignment horizontal="right" vertical="top" wrapText="1"/>
    </xf>
    <xf numFmtId="171" fontId="32" fillId="15" borderId="0" xfId="9" applyNumberFormat="1" applyFont="1" applyFill="1" applyAlignment="1">
      <alignment horizontal="right" wrapText="1"/>
    </xf>
    <xf numFmtId="0" fontId="31" fillId="0" borderId="0" xfId="9" applyNumberFormat="1" applyFont="1" applyAlignment="1">
      <alignment horizontal="center" vertical="center" wrapText="1"/>
    </xf>
    <xf numFmtId="0" fontId="30" fillId="0" borderId="0" xfId="7" applyFont="1"/>
    <xf numFmtId="0" fontId="31" fillId="0" borderId="0" xfId="7" applyNumberFormat="1" applyFont="1" applyAlignment="1">
      <alignment horizontal="center" vertical="center"/>
    </xf>
    <xf numFmtId="0" fontId="30" fillId="0" borderId="0" xfId="7" applyFont="1" applyAlignment="1">
      <alignment vertical="top" wrapText="1"/>
    </xf>
    <xf numFmtId="0" fontId="31" fillId="0" borderId="0" xfId="7" applyFont="1" applyAlignment="1">
      <alignment horizontal="left" vertical="top"/>
    </xf>
    <xf numFmtId="49" fontId="31" fillId="0" borderId="0" xfId="7" applyNumberFormat="1" applyFont="1" applyAlignment="1">
      <alignment horizontal="right" vertical="top" wrapText="1"/>
    </xf>
    <xf numFmtId="176" fontId="31" fillId="0" borderId="0" xfId="7" applyNumberFormat="1" applyFont="1" applyAlignment="1">
      <alignment horizontal="right" vertical="top" wrapText="1"/>
    </xf>
    <xf numFmtId="0" fontId="32" fillId="0" borderId="0" xfId="7" applyFont="1" applyAlignment="1">
      <alignment horizontal="left" vertical="top"/>
    </xf>
    <xf numFmtId="0" fontId="32" fillId="15" borderId="0" xfId="7" applyFont="1" applyFill="1" applyAlignment="1">
      <alignment horizontal="right" wrapText="1"/>
    </xf>
    <xf numFmtId="0" fontId="32" fillId="15" borderId="0" xfId="7" applyFont="1" applyFill="1" applyAlignment="1">
      <alignment wrapText="1"/>
    </xf>
    <xf numFmtId="0" fontId="35" fillId="0" borderId="0" xfId="11" applyFont="1" applyAlignment="1"/>
    <xf numFmtId="0" fontId="36" fillId="16" borderId="0" xfId="7" applyFont="1" applyFill="1" applyAlignment="1"/>
    <xf numFmtId="0" fontId="30" fillId="0" borderId="0" xfId="7" applyFont="1" applyAlignment="1">
      <alignment horizontal="center" vertical="top" wrapText="1"/>
    </xf>
    <xf numFmtId="170" fontId="32" fillId="0" borderId="0" xfId="7" applyNumberFormat="1" applyFont="1" applyAlignment="1">
      <alignment horizontal="right" vertical="top" wrapText="1"/>
    </xf>
    <xf numFmtId="170" fontId="31" fillId="0" borderId="0" xfId="7" applyNumberFormat="1" applyFont="1" applyAlignment="1">
      <alignment horizontal="right" vertical="top" wrapText="1"/>
    </xf>
    <xf numFmtId="173" fontId="31" fillId="0" borderId="0" xfId="7" applyNumberFormat="1" applyFont="1" applyAlignment="1">
      <alignment horizontal="right" vertical="top" wrapText="1"/>
    </xf>
    <xf numFmtId="0" fontId="34" fillId="15" borderId="0" xfId="7" applyFont="1" applyFill="1" applyAlignment="1">
      <alignment horizontal="right" wrapText="1"/>
    </xf>
    <xf numFmtId="0" fontId="34" fillId="15" borderId="0" xfId="7" applyFont="1" applyFill="1" applyAlignment="1">
      <alignment wrapText="1"/>
    </xf>
    <xf numFmtId="172" fontId="41" fillId="0" borderId="0" xfId="7" applyNumberFormat="1" applyFont="1" applyAlignment="1">
      <alignment horizontal="right" vertical="top" wrapText="1"/>
    </xf>
    <xf numFmtId="0" fontId="41" fillId="0" borderId="0" xfId="7" applyFont="1" applyAlignment="1">
      <alignment horizontal="left" vertical="top"/>
    </xf>
    <xf numFmtId="174" fontId="32" fillId="0" borderId="0" xfId="7" applyNumberFormat="1" applyFont="1" applyAlignment="1">
      <alignment horizontal="right" vertical="top" wrapText="1"/>
    </xf>
    <xf numFmtId="0" fontId="37" fillId="0" borderId="0" xfId="7" applyFont="1"/>
    <xf numFmtId="0" fontId="31" fillId="0" borderId="0" xfId="7" applyNumberFormat="1" applyFont="1" applyAlignment="1">
      <alignment horizontal="left" vertical="top"/>
    </xf>
    <xf numFmtId="49" fontId="30" fillId="0" borderId="0" xfId="7" applyNumberFormat="1" applyFont="1"/>
    <xf numFmtId="0" fontId="38" fillId="0" borderId="0" xfId="7" applyFont="1" applyAlignment="1">
      <alignment wrapText="1"/>
    </xf>
    <xf numFmtId="0" fontId="39" fillId="0" borderId="0" xfId="7" applyNumberFormat="1" applyFont="1" applyAlignment="1"/>
    <xf numFmtId="0" fontId="31" fillId="0" borderId="0" xfId="7" applyNumberFormat="1" applyFont="1" applyAlignment="1">
      <alignment horizontal="center" vertical="center" wrapText="1"/>
    </xf>
    <xf numFmtId="172" fontId="31" fillId="0" borderId="0" xfId="7" applyNumberFormat="1" applyFont="1" applyAlignment="1">
      <alignment horizontal="right" vertical="top" wrapText="1"/>
    </xf>
    <xf numFmtId="174" fontId="31" fillId="0" borderId="0" xfId="7" applyNumberFormat="1" applyFont="1" applyAlignment="1">
      <alignment horizontal="right" vertical="top" wrapText="1"/>
    </xf>
    <xf numFmtId="0" fontId="0" fillId="0" borderId="3" xfId="0" applyNumberFormat="1" applyBorder="1" applyAlignment="1">
      <alignment horizontal="center"/>
    </xf>
    <xf numFmtId="0" fontId="0" fillId="0" borderId="0" xfId="0" applyNumberFormat="1" applyBorder="1"/>
    <xf numFmtId="0" fontId="0" fillId="0" borderId="0" xfId="0" applyNumberFormat="1" applyBorder="1" applyAlignment="1"/>
    <xf numFmtId="168" fontId="0" fillId="8" borderId="0" xfId="1" applyNumberFormat="1" applyFont="1" applyFill="1" applyBorder="1" applyAlignment="1"/>
    <xf numFmtId="164" fontId="0" fillId="0" borderId="0" xfId="0" applyAlignment="1">
      <alignment vertical="center" wrapText="1"/>
    </xf>
    <xf numFmtId="0" fontId="0" fillId="0" borderId="0" xfId="0" applyNumberFormat="1" applyAlignment="1">
      <alignment vertical="center" wrapText="1"/>
    </xf>
    <xf numFmtId="0" fontId="4" fillId="0" borderId="0" xfId="0" applyNumberFormat="1" applyFont="1" applyAlignment="1">
      <alignment vertical="center" wrapText="1"/>
    </xf>
    <xf numFmtId="164" fontId="5" fillId="0" borderId="0" xfId="4" applyAlignment="1">
      <alignment horizontal="center"/>
    </xf>
    <xf numFmtId="164" fontId="5" fillId="6" borderId="0" xfId="4" applyFill="1" applyAlignment="1">
      <alignment horizontal="center"/>
    </xf>
    <xf numFmtId="164" fontId="5" fillId="6" borderId="0" xfId="4" applyFill="1" applyAlignment="1">
      <alignment horizontal="center" wrapText="1"/>
    </xf>
    <xf numFmtId="164" fontId="7" fillId="0" borderId="3" xfId="4" applyFont="1" applyBorder="1" applyAlignment="1">
      <alignment horizontal="center" vertical="center" wrapText="1"/>
    </xf>
    <xf numFmtId="164" fontId="7" fillId="0" borderId="0" xfId="4" applyFont="1" applyBorder="1" applyAlignment="1">
      <alignment horizontal="center" vertical="center" wrapText="1"/>
    </xf>
    <xf numFmtId="164" fontId="7" fillId="0" borderId="4" xfId="4" applyFont="1" applyBorder="1" applyAlignment="1">
      <alignment horizontal="center" vertical="center" wrapText="1"/>
    </xf>
    <xf numFmtId="164" fontId="7" fillId="0" borderId="5" xfId="4" applyFont="1" applyBorder="1" applyAlignment="1">
      <alignment horizontal="center" vertical="center" wrapText="1"/>
    </xf>
    <xf numFmtId="164" fontId="7" fillId="0" borderId="9" xfId="4" applyFont="1" applyBorder="1" applyAlignment="1">
      <alignment horizontal="center" vertical="center" wrapText="1"/>
    </xf>
    <xf numFmtId="164" fontId="7" fillId="0" borderId="6" xfId="4" applyFont="1" applyBorder="1" applyAlignment="1">
      <alignment horizontal="center" vertical="center" wrapText="1"/>
    </xf>
    <xf numFmtId="164" fontId="26" fillId="0" borderId="0" xfId="0" applyFont="1" applyAlignment="1">
      <alignment horizontal="center" vertical="center"/>
    </xf>
    <xf numFmtId="164" fontId="10" fillId="0" borderId="0" xfId="0" applyFont="1" applyAlignment="1">
      <alignment horizontal="center" vertical="center" wrapText="1"/>
    </xf>
    <xf numFmtId="164" fontId="10" fillId="0" borderId="0" xfId="0" applyFont="1" applyAlignment="1">
      <alignment horizontal="center" vertical="center"/>
    </xf>
    <xf numFmtId="164" fontId="10" fillId="0" borderId="0" xfId="0" applyFont="1" applyAlignment="1">
      <alignment horizontal="center"/>
    </xf>
    <xf numFmtId="0" fontId="10" fillId="0" borderId="0" xfId="6" applyFont="1" applyAlignment="1">
      <alignment horizontal="center"/>
    </xf>
    <xf numFmtId="0" fontId="10" fillId="0" borderId="0" xfId="0" applyNumberFormat="1" applyFont="1" applyAlignment="1">
      <alignment horizontal="center"/>
    </xf>
    <xf numFmtId="164" fontId="0" fillId="4" borderId="0" xfId="0" applyFill="1" applyAlignment="1">
      <alignment horizontal="center" vertical="center"/>
    </xf>
    <xf numFmtId="164" fontId="0" fillId="0" borderId="0" xfId="0" applyAlignment="1">
      <alignment horizontal="center"/>
    </xf>
    <xf numFmtId="164" fontId="10" fillId="0" borderId="0" xfId="0" applyNumberFormat="1" applyFont="1" applyAlignment="1">
      <alignment horizontal="center"/>
    </xf>
    <xf numFmtId="164" fontId="4" fillId="0" borderId="0" xfId="0" applyFont="1" applyAlignment="1">
      <alignment horizontal="center" vertical="center" wrapText="1"/>
    </xf>
    <xf numFmtId="164" fontId="10" fillId="0" borderId="0" xfId="0" applyNumberFormat="1" applyFont="1" applyAlignment="1">
      <alignment horizontal="center" vertical="center" wrapText="1"/>
    </xf>
    <xf numFmtId="0" fontId="6" fillId="0" borderId="0" xfId="5" applyFont="1" applyAlignment="1">
      <alignment horizontal="center" vertical="center" wrapText="1"/>
    </xf>
    <xf numFmtId="0" fontId="6" fillId="0" borderId="0" xfId="5" applyFont="1" applyAlignment="1">
      <alignment horizontal="center" vertical="center"/>
    </xf>
    <xf numFmtId="164" fontId="0" fillId="5" borderId="0" xfId="0" applyFill="1" applyAlignment="1">
      <alignment horizontal="center" vertical="center" wrapText="1"/>
    </xf>
    <xf numFmtId="0" fontId="6" fillId="0" borderId="0" xfId="7" applyFont="1" applyAlignment="1">
      <alignment horizontal="center"/>
    </xf>
    <xf numFmtId="164" fontId="6" fillId="0" borderId="0" xfId="4" applyFont="1" applyAlignment="1">
      <alignment horizontal="center" vertical="center" wrapText="1"/>
    </xf>
    <xf numFmtId="164" fontId="6" fillId="0" borderId="0" xfId="4" applyFont="1" applyAlignment="1">
      <alignment horizontal="center" vertical="center"/>
    </xf>
    <xf numFmtId="164" fontId="5" fillId="0" borderId="0" xfId="4" applyAlignment="1">
      <alignment horizontal="center" vertical="center" wrapText="1"/>
    </xf>
    <xf numFmtId="164" fontId="5" fillId="0" borderId="0" xfId="4" applyAlignment="1">
      <alignment horizontal="center" vertical="center"/>
    </xf>
    <xf numFmtId="164" fontId="22" fillId="0" borderId="0" xfId="4" applyFont="1" applyAlignment="1">
      <alignment horizontal="left" vertical="center" wrapText="1"/>
    </xf>
    <xf numFmtId="164" fontId="6" fillId="0" borderId="0" xfId="2" applyFont="1" applyAlignment="1">
      <alignment horizontal="center"/>
    </xf>
    <xf numFmtId="164" fontId="0" fillId="4" borderId="0" xfId="0" applyFill="1" applyAlignment="1">
      <alignment horizontal="center" vertical="center" wrapText="1"/>
    </xf>
  </cellXfs>
  <cellStyles count="12">
    <cellStyle name="Comma 2" xfId="8" xr:uid="{00000000-0005-0000-0000-000000000000}"/>
    <cellStyle name="Invisible" xfId="10" xr:uid="{FD0AC5AE-592D-4A73-BBB8-34FC18BE9807}"/>
    <cellStyle name="Invisible 2" xfId="11" xr:uid="{6F7A0D95-0620-4A81-9BFA-B873699C5B76}"/>
    <cellStyle name="Normal" xfId="0" builtinId="0"/>
    <cellStyle name="Normal 2" xfId="4" xr:uid="{00000000-0005-0000-0000-000002000000}"/>
    <cellStyle name="Normal 2 2" xfId="7" xr:uid="{00000000-0005-0000-0000-000003000000}"/>
    <cellStyle name="Normal 3" xfId="5" xr:uid="{00000000-0005-0000-0000-000004000000}"/>
    <cellStyle name="Normal 4" xfId="6" xr:uid="{00000000-0005-0000-0000-000005000000}"/>
    <cellStyle name="Normal 4 2" xfId="9" xr:uid="{D0BC27A2-2BF1-4FBD-A9AF-14AD79AB80A5}"/>
    <cellStyle name="Normal_Tyson" xfId="2" xr:uid="{00000000-0005-0000-0000-000006000000}"/>
    <cellStyle name="Percent" xfId="1" builtinId="5"/>
    <cellStyle name="Percent 2" xfId="3" xr:uid="{00000000-0005-0000-0000-000008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ysClr val="windowText" lastClr="000000"/>
                </a:solidFill>
                <a:latin typeface="+mn-lt"/>
                <a:ea typeface="+mn-ea"/>
                <a:cs typeface="+mn-cs"/>
              </a:defRPr>
            </a:pPr>
            <a:r>
              <a:rPr lang="en-US" sz="2000" b="1" baseline="0">
                <a:solidFill>
                  <a:sysClr val="windowText" lastClr="000000"/>
                </a:solidFill>
              </a:rPr>
              <a:t>Term Structure, A Bonds, 17 August 2012</a:t>
            </a:r>
          </a:p>
        </c:rich>
      </c:tx>
      <c:layout>
        <c:manualLayout>
          <c:xMode val="edge"/>
          <c:yMode val="edge"/>
          <c:x val="0.25017486537013717"/>
          <c:y val="3.4404762549770575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5.2946378896815971E-2"/>
          <c:y val="4.3547441761294374E-2"/>
          <c:w val="0.93080232543488617"/>
          <c:h val="0.94410222054934811"/>
        </c:manualLayout>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5.9981808037468373E-2"/>
                  <c:y val="0.3289725941007946"/>
                </c:manualLayout>
              </c:layout>
              <c:numFmt formatCode="General" sourceLinked="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trendlineLbl>
          </c:trendline>
          <c:xVal>
            <c:numRef>
              <c:f>'Cost of Debt via bonds'!$E$3:$E$1004</c:f>
              <c:numCache>
                <c:formatCode>#,##0.0000</c:formatCode>
                <c:ptCount val="1002"/>
                <c:pt idx="0">
                  <c:v>2.7397260273972601E-2</c:v>
                </c:pt>
                <c:pt idx="1">
                  <c:v>2.7397260273972601E-2</c:v>
                </c:pt>
                <c:pt idx="2">
                  <c:v>4.1095890410958902E-2</c:v>
                </c:pt>
                <c:pt idx="3">
                  <c:v>4.1095890410958902E-2</c:v>
                </c:pt>
                <c:pt idx="4">
                  <c:v>6.8493150684931503E-2</c:v>
                </c:pt>
                <c:pt idx="5">
                  <c:v>7.9452054794520555E-2</c:v>
                </c:pt>
                <c:pt idx="6">
                  <c:v>7.9452054794520555E-2</c:v>
                </c:pt>
                <c:pt idx="7">
                  <c:v>7.9452054794520555E-2</c:v>
                </c:pt>
                <c:pt idx="8">
                  <c:v>7.9452054794520555E-2</c:v>
                </c:pt>
                <c:pt idx="9">
                  <c:v>8.4931506849315067E-2</c:v>
                </c:pt>
                <c:pt idx="10">
                  <c:v>0.16164383561643836</c:v>
                </c:pt>
                <c:pt idx="11">
                  <c:v>0.16164383561643836</c:v>
                </c:pt>
                <c:pt idx="12">
                  <c:v>0.16164383561643836</c:v>
                </c:pt>
                <c:pt idx="13">
                  <c:v>0.16164383561643836</c:v>
                </c:pt>
                <c:pt idx="14">
                  <c:v>0.16712328767123288</c:v>
                </c:pt>
                <c:pt idx="15">
                  <c:v>0.24657534246575341</c:v>
                </c:pt>
                <c:pt idx="16">
                  <c:v>0.24657534246575341</c:v>
                </c:pt>
                <c:pt idx="17">
                  <c:v>0.24657534246575341</c:v>
                </c:pt>
                <c:pt idx="18">
                  <c:v>0.24657534246575341</c:v>
                </c:pt>
                <c:pt idx="19">
                  <c:v>0.28767123287671231</c:v>
                </c:pt>
                <c:pt idx="20">
                  <c:v>0.29041095890410956</c:v>
                </c:pt>
                <c:pt idx="21">
                  <c:v>0.29041095890410956</c:v>
                </c:pt>
                <c:pt idx="22">
                  <c:v>0.29589041095890412</c:v>
                </c:pt>
                <c:pt idx="23">
                  <c:v>0.33424657534246577</c:v>
                </c:pt>
                <c:pt idx="24">
                  <c:v>0.37808219178082192</c:v>
                </c:pt>
                <c:pt idx="25">
                  <c:v>0.41095890410958902</c:v>
                </c:pt>
                <c:pt idx="26">
                  <c:v>0.41369863013698632</c:v>
                </c:pt>
                <c:pt idx="27">
                  <c:v>0.41369863013698632</c:v>
                </c:pt>
                <c:pt idx="28">
                  <c:v>0.41369863013698632</c:v>
                </c:pt>
                <c:pt idx="29">
                  <c:v>0.41369863013698632</c:v>
                </c:pt>
                <c:pt idx="30">
                  <c:v>0.41369863013698632</c:v>
                </c:pt>
                <c:pt idx="31">
                  <c:v>0.41369863013698632</c:v>
                </c:pt>
                <c:pt idx="32">
                  <c:v>0.41369863013698632</c:v>
                </c:pt>
                <c:pt idx="33">
                  <c:v>0.45479452054794522</c:v>
                </c:pt>
                <c:pt idx="34">
                  <c:v>0.46027397260273972</c:v>
                </c:pt>
                <c:pt idx="35">
                  <c:v>0.47123287671232877</c:v>
                </c:pt>
                <c:pt idx="36">
                  <c:v>0.47945205479452052</c:v>
                </c:pt>
                <c:pt idx="37">
                  <c:v>0.49041095890410957</c:v>
                </c:pt>
                <c:pt idx="38">
                  <c:v>0.49863013698630138</c:v>
                </c:pt>
                <c:pt idx="39">
                  <c:v>0.49863013698630138</c:v>
                </c:pt>
                <c:pt idx="40">
                  <c:v>0.49863013698630138</c:v>
                </c:pt>
                <c:pt idx="41">
                  <c:v>0.49863013698630138</c:v>
                </c:pt>
                <c:pt idx="42">
                  <c:v>0.49863013698630138</c:v>
                </c:pt>
                <c:pt idx="43">
                  <c:v>0.49863013698630138</c:v>
                </c:pt>
                <c:pt idx="44">
                  <c:v>0.49863013698630138</c:v>
                </c:pt>
                <c:pt idx="45">
                  <c:v>0.53698630136986303</c:v>
                </c:pt>
                <c:pt idx="46">
                  <c:v>0.53698630136986303</c:v>
                </c:pt>
                <c:pt idx="47">
                  <c:v>0.53698630136986303</c:v>
                </c:pt>
                <c:pt idx="48">
                  <c:v>0.53698630136986303</c:v>
                </c:pt>
                <c:pt idx="49">
                  <c:v>0.53698630136986303</c:v>
                </c:pt>
                <c:pt idx="50">
                  <c:v>0.55068493150684927</c:v>
                </c:pt>
                <c:pt idx="51">
                  <c:v>0.56438356164383563</c:v>
                </c:pt>
                <c:pt idx="52">
                  <c:v>0.57534246575342463</c:v>
                </c:pt>
                <c:pt idx="53">
                  <c:v>0.57534246575342463</c:v>
                </c:pt>
                <c:pt idx="54">
                  <c:v>0.57534246575342463</c:v>
                </c:pt>
                <c:pt idx="55">
                  <c:v>0.57534246575342463</c:v>
                </c:pt>
                <c:pt idx="56">
                  <c:v>0.57534246575342463</c:v>
                </c:pt>
                <c:pt idx="57">
                  <c:v>0.57534246575342463</c:v>
                </c:pt>
                <c:pt idx="58">
                  <c:v>0.60547945205479448</c:v>
                </c:pt>
                <c:pt idx="59">
                  <c:v>0.62191780821917808</c:v>
                </c:pt>
                <c:pt idx="60">
                  <c:v>0.62191780821917808</c:v>
                </c:pt>
                <c:pt idx="61">
                  <c:v>0.62739726027397258</c:v>
                </c:pt>
                <c:pt idx="62">
                  <c:v>0.63287671232876708</c:v>
                </c:pt>
                <c:pt idx="63">
                  <c:v>0.64931506849315068</c:v>
                </c:pt>
                <c:pt idx="64">
                  <c:v>0.66027397260273968</c:v>
                </c:pt>
                <c:pt idx="65">
                  <c:v>0.66027397260273968</c:v>
                </c:pt>
                <c:pt idx="66">
                  <c:v>0.66027397260273968</c:v>
                </c:pt>
                <c:pt idx="67">
                  <c:v>0.66027397260273968</c:v>
                </c:pt>
                <c:pt idx="68">
                  <c:v>0.66027397260273968</c:v>
                </c:pt>
                <c:pt idx="69">
                  <c:v>0.66027397260273968</c:v>
                </c:pt>
                <c:pt idx="70">
                  <c:v>0.66027397260273968</c:v>
                </c:pt>
                <c:pt idx="71">
                  <c:v>0.68767123287671228</c:v>
                </c:pt>
                <c:pt idx="72">
                  <c:v>0.70136986301369864</c:v>
                </c:pt>
                <c:pt idx="73">
                  <c:v>0.70410958904109588</c:v>
                </c:pt>
                <c:pt idx="74">
                  <c:v>0.70410958904109588</c:v>
                </c:pt>
                <c:pt idx="75">
                  <c:v>0.70684931506849313</c:v>
                </c:pt>
                <c:pt idx="76">
                  <c:v>0.74246575342465748</c:v>
                </c:pt>
                <c:pt idx="77">
                  <c:v>0.74246575342465748</c:v>
                </c:pt>
                <c:pt idx="78">
                  <c:v>0.74246575342465748</c:v>
                </c:pt>
                <c:pt idx="79">
                  <c:v>0.74246575342465748</c:v>
                </c:pt>
                <c:pt idx="80">
                  <c:v>0.74246575342465748</c:v>
                </c:pt>
                <c:pt idx="81">
                  <c:v>0.74246575342465748</c:v>
                </c:pt>
                <c:pt idx="82">
                  <c:v>0.74246575342465748</c:v>
                </c:pt>
                <c:pt idx="83">
                  <c:v>0.74246575342465748</c:v>
                </c:pt>
                <c:pt idx="84">
                  <c:v>0.74246575342465748</c:v>
                </c:pt>
                <c:pt idx="85">
                  <c:v>0.74520547945205484</c:v>
                </c:pt>
                <c:pt idx="86">
                  <c:v>0.78356164383561644</c:v>
                </c:pt>
                <c:pt idx="87">
                  <c:v>0.78904109589041094</c:v>
                </c:pt>
                <c:pt idx="88">
                  <c:v>0.78904109589041094</c:v>
                </c:pt>
                <c:pt idx="89">
                  <c:v>0.82739726027397265</c:v>
                </c:pt>
                <c:pt idx="90">
                  <c:v>0.82739726027397265</c:v>
                </c:pt>
                <c:pt idx="91">
                  <c:v>0.86301369863013699</c:v>
                </c:pt>
                <c:pt idx="92">
                  <c:v>0.90958904109589045</c:v>
                </c:pt>
                <c:pt idx="93">
                  <c:v>0.90958904109589045</c:v>
                </c:pt>
                <c:pt idx="94">
                  <c:v>0.90958904109589045</c:v>
                </c:pt>
                <c:pt idx="95">
                  <c:v>0.90958904109589045</c:v>
                </c:pt>
                <c:pt idx="96">
                  <c:v>0.90958904109589045</c:v>
                </c:pt>
                <c:pt idx="97">
                  <c:v>0.95616438356164379</c:v>
                </c:pt>
                <c:pt idx="98">
                  <c:v>0.95616438356164379</c:v>
                </c:pt>
                <c:pt idx="99">
                  <c:v>0.95616438356164379</c:v>
                </c:pt>
                <c:pt idx="100">
                  <c:v>0.9945205479452055</c:v>
                </c:pt>
                <c:pt idx="101">
                  <c:v>0.9945205479452055</c:v>
                </c:pt>
                <c:pt idx="102">
                  <c:v>0.9945205479452055</c:v>
                </c:pt>
                <c:pt idx="103">
                  <c:v>0.9945205479452055</c:v>
                </c:pt>
                <c:pt idx="104">
                  <c:v>0.9945205479452055</c:v>
                </c:pt>
                <c:pt idx="105">
                  <c:v>0.9945205479452055</c:v>
                </c:pt>
                <c:pt idx="106">
                  <c:v>1.0054794520547945</c:v>
                </c:pt>
                <c:pt idx="107">
                  <c:v>1.0082191780821919</c:v>
                </c:pt>
                <c:pt idx="108">
                  <c:v>1.0164383561643835</c:v>
                </c:pt>
                <c:pt idx="109">
                  <c:v>1.0356164383561643</c:v>
                </c:pt>
                <c:pt idx="110">
                  <c:v>1.0630136986301371</c:v>
                </c:pt>
                <c:pt idx="111">
                  <c:v>1.0657534246575342</c:v>
                </c:pt>
                <c:pt idx="112">
                  <c:v>1.0739726027397261</c:v>
                </c:pt>
                <c:pt idx="113">
                  <c:v>1.0794520547945206</c:v>
                </c:pt>
                <c:pt idx="114">
                  <c:v>1.0794520547945206</c:v>
                </c:pt>
                <c:pt idx="115">
                  <c:v>1.1205479452054794</c:v>
                </c:pt>
                <c:pt idx="116">
                  <c:v>1.1232876712328768</c:v>
                </c:pt>
                <c:pt idx="117">
                  <c:v>1.1232876712328768</c:v>
                </c:pt>
                <c:pt idx="118">
                  <c:v>1.1616438356164382</c:v>
                </c:pt>
                <c:pt idx="119">
                  <c:v>1.1616438356164382</c:v>
                </c:pt>
                <c:pt idx="120">
                  <c:v>1.1616438356164382</c:v>
                </c:pt>
                <c:pt idx="121">
                  <c:v>1.1616438356164382</c:v>
                </c:pt>
                <c:pt idx="122">
                  <c:v>1.1643835616438356</c:v>
                </c:pt>
                <c:pt idx="123">
                  <c:v>1.2082191780821918</c:v>
                </c:pt>
                <c:pt idx="124">
                  <c:v>1.2082191780821918</c:v>
                </c:pt>
                <c:pt idx="125">
                  <c:v>1.2246575342465753</c:v>
                </c:pt>
                <c:pt idx="126">
                  <c:v>1.2465753424657535</c:v>
                </c:pt>
                <c:pt idx="127">
                  <c:v>1.2465753424657535</c:v>
                </c:pt>
                <c:pt idx="128">
                  <c:v>1.2465753424657535</c:v>
                </c:pt>
                <c:pt idx="129">
                  <c:v>1.2904109589041095</c:v>
                </c:pt>
                <c:pt idx="130">
                  <c:v>1.3232876712328767</c:v>
                </c:pt>
                <c:pt idx="131">
                  <c:v>1.3232876712328767</c:v>
                </c:pt>
                <c:pt idx="132">
                  <c:v>1.3287671232876712</c:v>
                </c:pt>
                <c:pt idx="133">
                  <c:v>1.3315068493150686</c:v>
                </c:pt>
                <c:pt idx="134">
                  <c:v>1.3315068493150686</c:v>
                </c:pt>
                <c:pt idx="135">
                  <c:v>1.4027397260273973</c:v>
                </c:pt>
                <c:pt idx="136">
                  <c:v>1.4136986301369863</c:v>
                </c:pt>
                <c:pt idx="137">
                  <c:v>1.4136986301369863</c:v>
                </c:pt>
                <c:pt idx="138">
                  <c:v>1.4136986301369863</c:v>
                </c:pt>
                <c:pt idx="139">
                  <c:v>1.4136986301369863</c:v>
                </c:pt>
                <c:pt idx="140">
                  <c:v>1.4136986301369863</c:v>
                </c:pt>
                <c:pt idx="141">
                  <c:v>1.4136986301369863</c:v>
                </c:pt>
                <c:pt idx="142">
                  <c:v>1.4301369863013698</c:v>
                </c:pt>
                <c:pt idx="143">
                  <c:v>1.4602739726027398</c:v>
                </c:pt>
                <c:pt idx="144">
                  <c:v>1.4602739726027398</c:v>
                </c:pt>
                <c:pt idx="145">
                  <c:v>1.4657534246575343</c:v>
                </c:pt>
                <c:pt idx="146">
                  <c:v>1.4986301369863013</c:v>
                </c:pt>
                <c:pt idx="147">
                  <c:v>1.4986301369863013</c:v>
                </c:pt>
                <c:pt idx="148">
                  <c:v>1.4986301369863013</c:v>
                </c:pt>
                <c:pt idx="149">
                  <c:v>1.4986301369863013</c:v>
                </c:pt>
                <c:pt idx="150">
                  <c:v>1.4986301369863013</c:v>
                </c:pt>
                <c:pt idx="151">
                  <c:v>1.5041095890410958</c:v>
                </c:pt>
                <c:pt idx="152">
                  <c:v>1.5287671232876712</c:v>
                </c:pt>
                <c:pt idx="153">
                  <c:v>1.536986301369863</c:v>
                </c:pt>
                <c:pt idx="154">
                  <c:v>1.536986301369863</c:v>
                </c:pt>
                <c:pt idx="155">
                  <c:v>1.536986301369863</c:v>
                </c:pt>
                <c:pt idx="156">
                  <c:v>1.5424657534246575</c:v>
                </c:pt>
                <c:pt idx="157">
                  <c:v>1.5753424657534247</c:v>
                </c:pt>
                <c:pt idx="158">
                  <c:v>1.5753424657534247</c:v>
                </c:pt>
                <c:pt idx="159">
                  <c:v>1.5808219178082192</c:v>
                </c:pt>
                <c:pt idx="160">
                  <c:v>1.5917808219178082</c:v>
                </c:pt>
                <c:pt idx="161">
                  <c:v>1.6109589041095891</c:v>
                </c:pt>
                <c:pt idx="162">
                  <c:v>1.6219178082191781</c:v>
                </c:pt>
                <c:pt idx="163">
                  <c:v>1.6219178082191781</c:v>
                </c:pt>
                <c:pt idx="164">
                  <c:v>1.6602739726027398</c:v>
                </c:pt>
                <c:pt idx="165">
                  <c:v>1.6602739726027398</c:v>
                </c:pt>
                <c:pt idx="166">
                  <c:v>1.6602739726027398</c:v>
                </c:pt>
                <c:pt idx="167">
                  <c:v>1.6602739726027398</c:v>
                </c:pt>
                <c:pt idx="168">
                  <c:v>1.6876712328767123</c:v>
                </c:pt>
                <c:pt idx="169">
                  <c:v>1.7013698630136986</c:v>
                </c:pt>
                <c:pt idx="170">
                  <c:v>1.7013698630136986</c:v>
                </c:pt>
                <c:pt idx="171">
                  <c:v>1.704109589041096</c:v>
                </c:pt>
                <c:pt idx="172">
                  <c:v>1.704109589041096</c:v>
                </c:pt>
                <c:pt idx="173">
                  <c:v>1.715068493150685</c:v>
                </c:pt>
                <c:pt idx="174">
                  <c:v>1.7232876712328766</c:v>
                </c:pt>
                <c:pt idx="175">
                  <c:v>1.736986301369863</c:v>
                </c:pt>
                <c:pt idx="176">
                  <c:v>1.7424657534246575</c:v>
                </c:pt>
                <c:pt idx="177">
                  <c:v>1.7424657534246575</c:v>
                </c:pt>
                <c:pt idx="178">
                  <c:v>1.7452054794520548</c:v>
                </c:pt>
                <c:pt idx="179">
                  <c:v>1.7534246575342465</c:v>
                </c:pt>
                <c:pt idx="180">
                  <c:v>1.7561643835616438</c:v>
                </c:pt>
                <c:pt idx="181">
                  <c:v>1.7561643835616438</c:v>
                </c:pt>
                <c:pt idx="182">
                  <c:v>1.7835616438356163</c:v>
                </c:pt>
                <c:pt idx="183">
                  <c:v>1.789041095890411</c:v>
                </c:pt>
                <c:pt idx="184">
                  <c:v>1.789041095890411</c:v>
                </c:pt>
                <c:pt idx="185">
                  <c:v>1.7917808219178082</c:v>
                </c:pt>
                <c:pt idx="186">
                  <c:v>1.8136986301369864</c:v>
                </c:pt>
                <c:pt idx="187">
                  <c:v>1.8273972602739725</c:v>
                </c:pt>
                <c:pt idx="188">
                  <c:v>1.8273972602739725</c:v>
                </c:pt>
                <c:pt idx="189">
                  <c:v>1.8273972602739725</c:v>
                </c:pt>
                <c:pt idx="190">
                  <c:v>1.8410958904109589</c:v>
                </c:pt>
                <c:pt idx="191">
                  <c:v>1.8712328767123287</c:v>
                </c:pt>
                <c:pt idx="192">
                  <c:v>1.8904109589041096</c:v>
                </c:pt>
                <c:pt idx="193">
                  <c:v>1.9068493150684931</c:v>
                </c:pt>
                <c:pt idx="194">
                  <c:v>1.9095890410958904</c:v>
                </c:pt>
                <c:pt idx="195">
                  <c:v>1.9095890410958904</c:v>
                </c:pt>
                <c:pt idx="196">
                  <c:v>1.9452054794520548</c:v>
                </c:pt>
                <c:pt idx="197">
                  <c:v>1.9561643835616438</c:v>
                </c:pt>
                <c:pt idx="198">
                  <c:v>1.9863013698630136</c:v>
                </c:pt>
                <c:pt idx="199">
                  <c:v>1.9945205479452055</c:v>
                </c:pt>
                <c:pt idx="200">
                  <c:v>1.9945205479452055</c:v>
                </c:pt>
                <c:pt idx="201">
                  <c:v>1.9945205479452055</c:v>
                </c:pt>
                <c:pt idx="202">
                  <c:v>1.9945205479452055</c:v>
                </c:pt>
                <c:pt idx="203">
                  <c:v>2.021917808219178</c:v>
                </c:pt>
                <c:pt idx="204">
                  <c:v>2.0410958904109591</c:v>
                </c:pt>
                <c:pt idx="205">
                  <c:v>2.0794520547945203</c:v>
                </c:pt>
                <c:pt idx="206">
                  <c:v>2.0794520547945203</c:v>
                </c:pt>
                <c:pt idx="207">
                  <c:v>2.0794520547945203</c:v>
                </c:pt>
                <c:pt idx="208">
                  <c:v>2.0794520547945203</c:v>
                </c:pt>
                <c:pt idx="209">
                  <c:v>2.0794520547945203</c:v>
                </c:pt>
                <c:pt idx="210">
                  <c:v>2.0794520547945203</c:v>
                </c:pt>
                <c:pt idx="211">
                  <c:v>2.0794520547945203</c:v>
                </c:pt>
                <c:pt idx="212">
                  <c:v>2.0794520547945203</c:v>
                </c:pt>
                <c:pt idx="213">
                  <c:v>2.0794520547945203</c:v>
                </c:pt>
                <c:pt idx="214">
                  <c:v>2.0794520547945203</c:v>
                </c:pt>
                <c:pt idx="215">
                  <c:v>2.0794520547945203</c:v>
                </c:pt>
                <c:pt idx="216">
                  <c:v>2.0931506849315067</c:v>
                </c:pt>
                <c:pt idx="217">
                  <c:v>2.0986301369863014</c:v>
                </c:pt>
                <c:pt idx="218">
                  <c:v>2.117808219178082</c:v>
                </c:pt>
                <c:pt idx="219">
                  <c:v>2.1232876712328768</c:v>
                </c:pt>
                <c:pt idx="220">
                  <c:v>2.1616438356164385</c:v>
                </c:pt>
                <c:pt idx="221">
                  <c:v>2.1616438356164385</c:v>
                </c:pt>
                <c:pt idx="222">
                  <c:v>2.1616438356164385</c:v>
                </c:pt>
                <c:pt idx="223">
                  <c:v>2.1616438356164385</c:v>
                </c:pt>
                <c:pt idx="224">
                  <c:v>2.1945205479452055</c:v>
                </c:pt>
                <c:pt idx="225">
                  <c:v>2.2082191780821918</c:v>
                </c:pt>
                <c:pt idx="226">
                  <c:v>2.2328767123287672</c:v>
                </c:pt>
                <c:pt idx="227">
                  <c:v>2.2465753424657535</c:v>
                </c:pt>
                <c:pt idx="228">
                  <c:v>2.2465753424657535</c:v>
                </c:pt>
                <c:pt idx="229">
                  <c:v>2.2465753424657535</c:v>
                </c:pt>
                <c:pt idx="230">
                  <c:v>2.2465753424657535</c:v>
                </c:pt>
                <c:pt idx="231">
                  <c:v>2.2465753424657535</c:v>
                </c:pt>
                <c:pt idx="232">
                  <c:v>2.2520547945205478</c:v>
                </c:pt>
                <c:pt idx="233">
                  <c:v>2.2547945205479452</c:v>
                </c:pt>
                <c:pt idx="234">
                  <c:v>2.2602739726027399</c:v>
                </c:pt>
                <c:pt idx="235">
                  <c:v>2.2904109589041095</c:v>
                </c:pt>
                <c:pt idx="236">
                  <c:v>2.3150684931506849</c:v>
                </c:pt>
                <c:pt idx="237">
                  <c:v>2.3287671232876712</c:v>
                </c:pt>
                <c:pt idx="238">
                  <c:v>2.4109589041095889</c:v>
                </c:pt>
                <c:pt idx="239">
                  <c:v>2.4136986301369863</c:v>
                </c:pt>
                <c:pt idx="240">
                  <c:v>2.4136986301369863</c:v>
                </c:pt>
                <c:pt idx="241">
                  <c:v>2.4136986301369863</c:v>
                </c:pt>
                <c:pt idx="242">
                  <c:v>2.4136986301369863</c:v>
                </c:pt>
                <c:pt idx="243">
                  <c:v>2.4136986301369863</c:v>
                </c:pt>
                <c:pt idx="244">
                  <c:v>2.4136986301369863</c:v>
                </c:pt>
                <c:pt idx="245">
                  <c:v>2.4136986301369863</c:v>
                </c:pt>
                <c:pt idx="246">
                  <c:v>2.4136986301369863</c:v>
                </c:pt>
                <c:pt idx="247">
                  <c:v>2.4136986301369863</c:v>
                </c:pt>
                <c:pt idx="248">
                  <c:v>2.4136986301369863</c:v>
                </c:pt>
                <c:pt idx="249">
                  <c:v>2.4438356164383563</c:v>
                </c:pt>
                <c:pt idx="250">
                  <c:v>2.4547945205479453</c:v>
                </c:pt>
                <c:pt idx="251">
                  <c:v>2.4602739726027396</c:v>
                </c:pt>
                <c:pt idx="252">
                  <c:v>2.4794520547945207</c:v>
                </c:pt>
                <c:pt idx="253">
                  <c:v>2.4986301369863013</c:v>
                </c:pt>
                <c:pt idx="254">
                  <c:v>2.536986301369863</c:v>
                </c:pt>
                <c:pt idx="255">
                  <c:v>2.5397260273972604</c:v>
                </c:pt>
                <c:pt idx="256">
                  <c:v>2.558904109589041</c:v>
                </c:pt>
                <c:pt idx="257">
                  <c:v>2.5616438356164384</c:v>
                </c:pt>
                <c:pt idx="258">
                  <c:v>2.5753424657534247</c:v>
                </c:pt>
                <c:pt idx="259">
                  <c:v>2.5753424657534247</c:v>
                </c:pt>
                <c:pt idx="260">
                  <c:v>2.5753424657534247</c:v>
                </c:pt>
                <c:pt idx="261">
                  <c:v>2.5753424657534247</c:v>
                </c:pt>
                <c:pt idx="262">
                  <c:v>2.5780821917808221</c:v>
                </c:pt>
                <c:pt idx="263">
                  <c:v>2.6164383561643834</c:v>
                </c:pt>
                <c:pt idx="264">
                  <c:v>2.6219178082191781</c:v>
                </c:pt>
                <c:pt idx="265">
                  <c:v>2.6219178082191781</c:v>
                </c:pt>
                <c:pt idx="266">
                  <c:v>2.6219178082191781</c:v>
                </c:pt>
                <c:pt idx="267">
                  <c:v>2.6602739726027398</c:v>
                </c:pt>
                <c:pt idx="268">
                  <c:v>2.6602739726027398</c:v>
                </c:pt>
                <c:pt idx="269">
                  <c:v>2.6602739726027398</c:v>
                </c:pt>
                <c:pt idx="270">
                  <c:v>2.6602739726027398</c:v>
                </c:pt>
                <c:pt idx="271">
                  <c:v>2.6602739726027398</c:v>
                </c:pt>
                <c:pt idx="272">
                  <c:v>2.6602739726027398</c:v>
                </c:pt>
                <c:pt idx="273">
                  <c:v>2.6849315068493151</c:v>
                </c:pt>
                <c:pt idx="274">
                  <c:v>2.6958904109589041</c:v>
                </c:pt>
                <c:pt idx="275">
                  <c:v>2.7041095890410958</c:v>
                </c:pt>
                <c:pt idx="276">
                  <c:v>2.7041095890410958</c:v>
                </c:pt>
                <c:pt idx="277">
                  <c:v>2.7041095890410958</c:v>
                </c:pt>
                <c:pt idx="278">
                  <c:v>2.7205479452054795</c:v>
                </c:pt>
                <c:pt idx="279">
                  <c:v>2.7424657534246575</c:v>
                </c:pt>
                <c:pt idx="280">
                  <c:v>2.7424657534246575</c:v>
                </c:pt>
                <c:pt idx="281">
                  <c:v>2.7534246575342465</c:v>
                </c:pt>
                <c:pt idx="282">
                  <c:v>2.7808219178082192</c:v>
                </c:pt>
                <c:pt idx="283">
                  <c:v>2.7890410958904108</c:v>
                </c:pt>
                <c:pt idx="284">
                  <c:v>2.7890410958904108</c:v>
                </c:pt>
                <c:pt idx="285">
                  <c:v>2.7890410958904108</c:v>
                </c:pt>
                <c:pt idx="286">
                  <c:v>2.8219178082191783</c:v>
                </c:pt>
                <c:pt idx="287">
                  <c:v>2.8273972602739725</c:v>
                </c:pt>
                <c:pt idx="288">
                  <c:v>2.8273972602739725</c:v>
                </c:pt>
                <c:pt idx="289">
                  <c:v>2.8273972602739725</c:v>
                </c:pt>
                <c:pt idx="290">
                  <c:v>2.8273972602739725</c:v>
                </c:pt>
                <c:pt idx="291">
                  <c:v>2.8684931506849316</c:v>
                </c:pt>
                <c:pt idx="292">
                  <c:v>2.9095890410958902</c:v>
                </c:pt>
                <c:pt idx="293">
                  <c:v>2.9095890410958902</c:v>
                </c:pt>
                <c:pt idx="294">
                  <c:v>2.9095890410958902</c:v>
                </c:pt>
                <c:pt idx="295">
                  <c:v>2.9095890410958902</c:v>
                </c:pt>
                <c:pt idx="296">
                  <c:v>2.9095890410958902</c:v>
                </c:pt>
                <c:pt idx="297">
                  <c:v>2.9342465753424656</c:v>
                </c:pt>
                <c:pt idx="298">
                  <c:v>2.956164383561644</c:v>
                </c:pt>
                <c:pt idx="299">
                  <c:v>2.956164383561644</c:v>
                </c:pt>
                <c:pt idx="300">
                  <c:v>2.9945205479452053</c:v>
                </c:pt>
                <c:pt idx="301">
                  <c:v>2.9945205479452053</c:v>
                </c:pt>
                <c:pt idx="302">
                  <c:v>3.0410958904109591</c:v>
                </c:pt>
                <c:pt idx="303">
                  <c:v>3.0657534246575344</c:v>
                </c:pt>
                <c:pt idx="304">
                  <c:v>3.0739726027397261</c:v>
                </c:pt>
                <c:pt idx="305">
                  <c:v>3.0794520547945203</c:v>
                </c:pt>
                <c:pt idx="306">
                  <c:v>3.0794520547945203</c:v>
                </c:pt>
                <c:pt idx="307">
                  <c:v>3.0794520547945203</c:v>
                </c:pt>
                <c:pt idx="308">
                  <c:v>3.0794520547945203</c:v>
                </c:pt>
                <c:pt idx="309">
                  <c:v>3.0794520547945203</c:v>
                </c:pt>
                <c:pt idx="310">
                  <c:v>3.0794520547945203</c:v>
                </c:pt>
                <c:pt idx="311">
                  <c:v>3.0794520547945203</c:v>
                </c:pt>
                <c:pt idx="312">
                  <c:v>3.0821917808219177</c:v>
                </c:pt>
                <c:pt idx="313">
                  <c:v>3.0849315068493151</c:v>
                </c:pt>
                <c:pt idx="314">
                  <c:v>3.095890410958904</c:v>
                </c:pt>
                <c:pt idx="315">
                  <c:v>3.095890410958904</c:v>
                </c:pt>
                <c:pt idx="316">
                  <c:v>3.1205479452054794</c:v>
                </c:pt>
                <c:pt idx="317">
                  <c:v>3.1232876712328768</c:v>
                </c:pt>
                <c:pt idx="318">
                  <c:v>3.1232876712328768</c:v>
                </c:pt>
                <c:pt idx="319">
                  <c:v>3.1232876712328768</c:v>
                </c:pt>
                <c:pt idx="320">
                  <c:v>3.1232876712328768</c:v>
                </c:pt>
                <c:pt idx="321">
                  <c:v>3.1616438356164385</c:v>
                </c:pt>
                <c:pt idx="322">
                  <c:v>3.1616438356164385</c:v>
                </c:pt>
                <c:pt idx="323">
                  <c:v>3.1616438356164385</c:v>
                </c:pt>
                <c:pt idx="324">
                  <c:v>3.1616438356164385</c:v>
                </c:pt>
                <c:pt idx="325">
                  <c:v>3.1616438356164385</c:v>
                </c:pt>
                <c:pt idx="326">
                  <c:v>3.1726027397260275</c:v>
                </c:pt>
                <c:pt idx="327">
                  <c:v>3.1972602739726028</c:v>
                </c:pt>
                <c:pt idx="328">
                  <c:v>3.2109589041095892</c:v>
                </c:pt>
                <c:pt idx="329">
                  <c:v>3.2465753424657535</c:v>
                </c:pt>
                <c:pt idx="330">
                  <c:v>3.2904109589041095</c:v>
                </c:pt>
                <c:pt idx="331">
                  <c:v>3.2904109589041095</c:v>
                </c:pt>
                <c:pt idx="332">
                  <c:v>3.3287671232876712</c:v>
                </c:pt>
                <c:pt idx="333">
                  <c:v>3.3287671232876712</c:v>
                </c:pt>
                <c:pt idx="334">
                  <c:v>3.3287671232876712</c:v>
                </c:pt>
                <c:pt idx="335">
                  <c:v>3.3506849315068492</c:v>
                </c:pt>
                <c:pt idx="336">
                  <c:v>3.3917808219178083</c:v>
                </c:pt>
                <c:pt idx="337">
                  <c:v>3.4027397260273973</c:v>
                </c:pt>
                <c:pt idx="338">
                  <c:v>3.4136986301369863</c:v>
                </c:pt>
                <c:pt idx="339">
                  <c:v>3.4136986301369863</c:v>
                </c:pt>
                <c:pt idx="340">
                  <c:v>3.4136986301369863</c:v>
                </c:pt>
                <c:pt idx="341">
                  <c:v>3.4136986301369863</c:v>
                </c:pt>
                <c:pt idx="342">
                  <c:v>3.43013698630137</c:v>
                </c:pt>
                <c:pt idx="343">
                  <c:v>3.4602739726027396</c:v>
                </c:pt>
                <c:pt idx="344">
                  <c:v>3.4602739726027396</c:v>
                </c:pt>
                <c:pt idx="345">
                  <c:v>3.4767123287671233</c:v>
                </c:pt>
                <c:pt idx="346">
                  <c:v>3.4986301369863013</c:v>
                </c:pt>
                <c:pt idx="347">
                  <c:v>3.4986301369863013</c:v>
                </c:pt>
                <c:pt idx="348">
                  <c:v>3.4986301369863013</c:v>
                </c:pt>
                <c:pt idx="349">
                  <c:v>3.4986301369863013</c:v>
                </c:pt>
                <c:pt idx="350">
                  <c:v>3.5178082191780824</c:v>
                </c:pt>
                <c:pt idx="351">
                  <c:v>3.5397260273972604</c:v>
                </c:pt>
                <c:pt idx="352">
                  <c:v>3.5397260273972604</c:v>
                </c:pt>
                <c:pt idx="353">
                  <c:v>3.5561643835616437</c:v>
                </c:pt>
                <c:pt idx="354">
                  <c:v>3.5671232876712327</c:v>
                </c:pt>
                <c:pt idx="355">
                  <c:v>3.5780821917808221</c:v>
                </c:pt>
                <c:pt idx="356">
                  <c:v>3.5780821917808221</c:v>
                </c:pt>
                <c:pt idx="357">
                  <c:v>3.5780821917808221</c:v>
                </c:pt>
                <c:pt idx="358">
                  <c:v>3.5780821917808221</c:v>
                </c:pt>
                <c:pt idx="359">
                  <c:v>3.5780821917808221</c:v>
                </c:pt>
                <c:pt idx="360">
                  <c:v>3.5780821917808221</c:v>
                </c:pt>
                <c:pt idx="361">
                  <c:v>3.5780821917808221</c:v>
                </c:pt>
                <c:pt idx="362">
                  <c:v>3.5780821917808221</c:v>
                </c:pt>
                <c:pt idx="363">
                  <c:v>3.5780821917808221</c:v>
                </c:pt>
                <c:pt idx="364">
                  <c:v>3.580821917808219</c:v>
                </c:pt>
                <c:pt idx="365">
                  <c:v>3.5835616438356164</c:v>
                </c:pt>
                <c:pt idx="366">
                  <c:v>3.6246575342465754</c:v>
                </c:pt>
                <c:pt idx="367">
                  <c:v>3.6246575342465754</c:v>
                </c:pt>
                <c:pt idx="368">
                  <c:v>3.6246575342465754</c:v>
                </c:pt>
                <c:pt idx="369">
                  <c:v>3.6630136986301371</c:v>
                </c:pt>
                <c:pt idx="370">
                  <c:v>3.7013698630136984</c:v>
                </c:pt>
                <c:pt idx="371">
                  <c:v>3.7013698630136984</c:v>
                </c:pt>
                <c:pt idx="372">
                  <c:v>3.7068493150684931</c:v>
                </c:pt>
                <c:pt idx="373">
                  <c:v>3.7452054794520548</c:v>
                </c:pt>
                <c:pt idx="374">
                  <c:v>3.7452054794520548</c:v>
                </c:pt>
                <c:pt idx="375">
                  <c:v>3.7452054794520548</c:v>
                </c:pt>
                <c:pt idx="376">
                  <c:v>3.7452054794520548</c:v>
                </c:pt>
                <c:pt idx="377">
                  <c:v>3.7452054794520548</c:v>
                </c:pt>
                <c:pt idx="378">
                  <c:v>3.7452054794520548</c:v>
                </c:pt>
                <c:pt idx="379">
                  <c:v>3.7479452054794522</c:v>
                </c:pt>
                <c:pt idx="380">
                  <c:v>3.7479452054794522</c:v>
                </c:pt>
                <c:pt idx="381">
                  <c:v>3.7479452054794522</c:v>
                </c:pt>
                <c:pt idx="382">
                  <c:v>3.7589041095890412</c:v>
                </c:pt>
                <c:pt idx="383">
                  <c:v>3.7863013698630139</c:v>
                </c:pt>
                <c:pt idx="384">
                  <c:v>3.7863013698630139</c:v>
                </c:pt>
                <c:pt idx="385">
                  <c:v>3.7917808219178082</c:v>
                </c:pt>
                <c:pt idx="386">
                  <c:v>3.7917808219178082</c:v>
                </c:pt>
                <c:pt idx="387">
                  <c:v>3.8054794520547945</c:v>
                </c:pt>
                <c:pt idx="388">
                  <c:v>3.8082191780821919</c:v>
                </c:pt>
                <c:pt idx="389">
                  <c:v>3.8301369863013699</c:v>
                </c:pt>
                <c:pt idx="390">
                  <c:v>3.8301369863013699</c:v>
                </c:pt>
                <c:pt idx="391">
                  <c:v>3.8301369863013699</c:v>
                </c:pt>
                <c:pt idx="392">
                  <c:v>3.8301369863013699</c:v>
                </c:pt>
                <c:pt idx="393">
                  <c:v>3.8301369863013699</c:v>
                </c:pt>
                <c:pt idx="394">
                  <c:v>3.8301369863013699</c:v>
                </c:pt>
                <c:pt idx="395">
                  <c:v>3.904109589041096</c:v>
                </c:pt>
                <c:pt idx="396">
                  <c:v>3.9123287671232876</c:v>
                </c:pt>
                <c:pt idx="397">
                  <c:v>3.9123287671232876</c:v>
                </c:pt>
                <c:pt idx="398">
                  <c:v>3.9589041095890409</c:v>
                </c:pt>
                <c:pt idx="399">
                  <c:v>3.9589041095890409</c:v>
                </c:pt>
                <c:pt idx="400">
                  <c:v>3.9616438356164383</c:v>
                </c:pt>
                <c:pt idx="401">
                  <c:v>3.9972602739726026</c:v>
                </c:pt>
                <c:pt idx="402">
                  <c:v>3.9972602739726026</c:v>
                </c:pt>
                <c:pt idx="403">
                  <c:v>3.9972602739726026</c:v>
                </c:pt>
                <c:pt idx="404">
                  <c:v>3.9972602739726026</c:v>
                </c:pt>
                <c:pt idx="405">
                  <c:v>3.9972602739726026</c:v>
                </c:pt>
                <c:pt idx="406">
                  <c:v>3.9972602739726026</c:v>
                </c:pt>
                <c:pt idx="407">
                  <c:v>4</c:v>
                </c:pt>
                <c:pt idx="408">
                  <c:v>4.0082191780821921</c:v>
                </c:pt>
                <c:pt idx="409">
                  <c:v>4.043835616438356</c:v>
                </c:pt>
                <c:pt idx="410">
                  <c:v>4.043835616438356</c:v>
                </c:pt>
                <c:pt idx="411">
                  <c:v>4.0630136986301366</c:v>
                </c:pt>
                <c:pt idx="412">
                  <c:v>4.0739726027397261</c:v>
                </c:pt>
                <c:pt idx="413">
                  <c:v>4.0794520547945208</c:v>
                </c:pt>
                <c:pt idx="414">
                  <c:v>4.0821917808219181</c:v>
                </c:pt>
                <c:pt idx="415">
                  <c:v>4.0821917808219181</c:v>
                </c:pt>
                <c:pt idx="416">
                  <c:v>4.0821917808219181</c:v>
                </c:pt>
                <c:pt idx="417">
                  <c:v>4.0821917808219181</c:v>
                </c:pt>
                <c:pt idx="418">
                  <c:v>4.0821917808219181</c:v>
                </c:pt>
                <c:pt idx="419">
                  <c:v>4.0821917808219181</c:v>
                </c:pt>
                <c:pt idx="420">
                  <c:v>4.0821917808219181</c:v>
                </c:pt>
                <c:pt idx="421">
                  <c:v>4.0821917808219181</c:v>
                </c:pt>
                <c:pt idx="422">
                  <c:v>4.0821917808219181</c:v>
                </c:pt>
                <c:pt idx="423">
                  <c:v>4.0931506849315067</c:v>
                </c:pt>
                <c:pt idx="424">
                  <c:v>4.095890410958904</c:v>
                </c:pt>
                <c:pt idx="425">
                  <c:v>4.1232876712328768</c:v>
                </c:pt>
                <c:pt idx="426">
                  <c:v>4.1260273972602741</c:v>
                </c:pt>
                <c:pt idx="427">
                  <c:v>4.1260273972602741</c:v>
                </c:pt>
                <c:pt idx="428">
                  <c:v>4.1260273972602741</c:v>
                </c:pt>
                <c:pt idx="429">
                  <c:v>4.13972602739726</c:v>
                </c:pt>
                <c:pt idx="430">
                  <c:v>4.161643835616438</c:v>
                </c:pt>
                <c:pt idx="431">
                  <c:v>4.1643835616438354</c:v>
                </c:pt>
                <c:pt idx="432">
                  <c:v>4.1643835616438354</c:v>
                </c:pt>
                <c:pt idx="433">
                  <c:v>4.1643835616438354</c:v>
                </c:pt>
                <c:pt idx="434">
                  <c:v>4.1698630136986301</c:v>
                </c:pt>
                <c:pt idx="435">
                  <c:v>4.1726027397260275</c:v>
                </c:pt>
                <c:pt idx="436">
                  <c:v>4.1726027397260275</c:v>
                </c:pt>
                <c:pt idx="437">
                  <c:v>4.2109589041095887</c:v>
                </c:pt>
                <c:pt idx="438">
                  <c:v>4.2109589041095887</c:v>
                </c:pt>
                <c:pt idx="439">
                  <c:v>4.2301369863013702</c:v>
                </c:pt>
                <c:pt idx="440">
                  <c:v>4.2356164383561641</c:v>
                </c:pt>
                <c:pt idx="441">
                  <c:v>4.2493150684931509</c:v>
                </c:pt>
                <c:pt idx="442">
                  <c:v>4.2493150684931509</c:v>
                </c:pt>
                <c:pt idx="443">
                  <c:v>4.2630136986301368</c:v>
                </c:pt>
                <c:pt idx="444">
                  <c:v>4.2931506849315069</c:v>
                </c:pt>
                <c:pt idx="445">
                  <c:v>4.2931506849315069</c:v>
                </c:pt>
                <c:pt idx="446">
                  <c:v>4.3315068493150681</c:v>
                </c:pt>
                <c:pt idx="447">
                  <c:v>4.4000000000000004</c:v>
                </c:pt>
                <c:pt idx="448">
                  <c:v>4.4164383561643836</c:v>
                </c:pt>
                <c:pt idx="449">
                  <c:v>4.4164383561643836</c:v>
                </c:pt>
                <c:pt idx="450">
                  <c:v>4.4356164383561643</c:v>
                </c:pt>
                <c:pt idx="451">
                  <c:v>4.4383561643835616</c:v>
                </c:pt>
                <c:pt idx="452">
                  <c:v>4.4575342465753423</c:v>
                </c:pt>
                <c:pt idx="453">
                  <c:v>4.463013698630137</c:v>
                </c:pt>
                <c:pt idx="454">
                  <c:v>4.5013698630136982</c:v>
                </c:pt>
                <c:pt idx="455">
                  <c:v>4.5013698630136982</c:v>
                </c:pt>
                <c:pt idx="456">
                  <c:v>4.5013698630136982</c:v>
                </c:pt>
                <c:pt idx="457">
                  <c:v>4.5342465753424657</c:v>
                </c:pt>
                <c:pt idx="458">
                  <c:v>4.5397260273972604</c:v>
                </c:pt>
                <c:pt idx="459">
                  <c:v>4.5753424657534243</c:v>
                </c:pt>
                <c:pt idx="460">
                  <c:v>4.5780821917808217</c:v>
                </c:pt>
                <c:pt idx="461">
                  <c:v>4.5780821917808217</c:v>
                </c:pt>
                <c:pt idx="462">
                  <c:v>4.5780821917808217</c:v>
                </c:pt>
                <c:pt idx="463">
                  <c:v>4.624657534246575</c:v>
                </c:pt>
                <c:pt idx="464">
                  <c:v>4.6493150684931503</c:v>
                </c:pt>
                <c:pt idx="465">
                  <c:v>4.6958904109589037</c:v>
                </c:pt>
                <c:pt idx="466">
                  <c:v>4.7068493150684931</c:v>
                </c:pt>
                <c:pt idx="467">
                  <c:v>4.7095890410958905</c:v>
                </c:pt>
                <c:pt idx="468">
                  <c:v>4.7452054794520544</c:v>
                </c:pt>
                <c:pt idx="469">
                  <c:v>4.7917808219178086</c:v>
                </c:pt>
                <c:pt idx="470">
                  <c:v>4.8301369863013699</c:v>
                </c:pt>
                <c:pt idx="471">
                  <c:v>4.8301369863013699</c:v>
                </c:pt>
                <c:pt idx="472">
                  <c:v>4.8301369863013699</c:v>
                </c:pt>
                <c:pt idx="473">
                  <c:v>4.8301369863013699</c:v>
                </c:pt>
                <c:pt idx="474">
                  <c:v>4.8630136986301373</c:v>
                </c:pt>
                <c:pt idx="475">
                  <c:v>4.8712328767123285</c:v>
                </c:pt>
                <c:pt idx="476">
                  <c:v>4.8739726027397259</c:v>
                </c:pt>
                <c:pt idx="477">
                  <c:v>4.912328767123288</c:v>
                </c:pt>
                <c:pt idx="478">
                  <c:v>4.912328767123288</c:v>
                </c:pt>
                <c:pt idx="479">
                  <c:v>4.9972602739726026</c:v>
                </c:pt>
                <c:pt idx="480">
                  <c:v>4.9972602739726026</c:v>
                </c:pt>
                <c:pt idx="481">
                  <c:v>4.9972602739726026</c:v>
                </c:pt>
                <c:pt idx="482">
                  <c:v>5.0328767123287674</c:v>
                </c:pt>
                <c:pt idx="483">
                  <c:v>5.0328767123287674</c:v>
                </c:pt>
                <c:pt idx="484">
                  <c:v>5.0328767123287674</c:v>
                </c:pt>
                <c:pt idx="485">
                  <c:v>5.043835616438356</c:v>
                </c:pt>
                <c:pt idx="486">
                  <c:v>5.043835616438356</c:v>
                </c:pt>
                <c:pt idx="487">
                  <c:v>5.043835616438356</c:v>
                </c:pt>
                <c:pt idx="488">
                  <c:v>5.0821917808219181</c:v>
                </c:pt>
                <c:pt idx="489">
                  <c:v>5.0904109589041093</c:v>
                </c:pt>
                <c:pt idx="490">
                  <c:v>5.1260273972602741</c:v>
                </c:pt>
                <c:pt idx="491">
                  <c:v>5.1643835616438354</c:v>
                </c:pt>
                <c:pt idx="492">
                  <c:v>5.1643835616438354</c:v>
                </c:pt>
                <c:pt idx="493">
                  <c:v>5.1643835616438354</c:v>
                </c:pt>
                <c:pt idx="494">
                  <c:v>5.1863013698630134</c:v>
                </c:pt>
                <c:pt idx="495">
                  <c:v>5.2493150684931509</c:v>
                </c:pt>
                <c:pt idx="496">
                  <c:v>5.2657534246575342</c:v>
                </c:pt>
                <c:pt idx="497">
                  <c:v>5.2931506849315069</c:v>
                </c:pt>
                <c:pt idx="498">
                  <c:v>5.2931506849315069</c:v>
                </c:pt>
                <c:pt idx="499">
                  <c:v>5.2931506849315069</c:v>
                </c:pt>
                <c:pt idx="500">
                  <c:v>5.2931506849315069</c:v>
                </c:pt>
                <c:pt idx="501">
                  <c:v>5.3315068493150681</c:v>
                </c:pt>
                <c:pt idx="502">
                  <c:v>5.3315068493150681</c:v>
                </c:pt>
                <c:pt idx="503">
                  <c:v>5.3315068493150681</c:v>
                </c:pt>
                <c:pt idx="504">
                  <c:v>5.3671232876712329</c:v>
                </c:pt>
                <c:pt idx="505">
                  <c:v>5.4164383561643836</c:v>
                </c:pt>
                <c:pt idx="506">
                  <c:v>5.419178082191781</c:v>
                </c:pt>
                <c:pt idx="507">
                  <c:v>5.4246575342465757</c:v>
                </c:pt>
                <c:pt idx="508">
                  <c:v>5.463013698630137</c:v>
                </c:pt>
                <c:pt idx="509">
                  <c:v>5.463013698630137</c:v>
                </c:pt>
                <c:pt idx="510">
                  <c:v>5.5013698630136982</c:v>
                </c:pt>
                <c:pt idx="511">
                  <c:v>5.5013698630136982</c:v>
                </c:pt>
                <c:pt idx="512">
                  <c:v>5.5013698630136982</c:v>
                </c:pt>
                <c:pt idx="513">
                  <c:v>5.5397260273972604</c:v>
                </c:pt>
                <c:pt idx="514">
                  <c:v>5.5397260273972604</c:v>
                </c:pt>
                <c:pt idx="515">
                  <c:v>5.5397260273972604</c:v>
                </c:pt>
                <c:pt idx="516">
                  <c:v>5.5397260273972604</c:v>
                </c:pt>
                <c:pt idx="517">
                  <c:v>5.5397260273972604</c:v>
                </c:pt>
                <c:pt idx="518">
                  <c:v>5.5671232876712331</c:v>
                </c:pt>
                <c:pt idx="519">
                  <c:v>5.5780821917808217</c:v>
                </c:pt>
                <c:pt idx="520">
                  <c:v>5.5780821917808217</c:v>
                </c:pt>
                <c:pt idx="521">
                  <c:v>5.5780821917808217</c:v>
                </c:pt>
                <c:pt idx="522">
                  <c:v>5.5780821917808217</c:v>
                </c:pt>
                <c:pt idx="523">
                  <c:v>5.5890410958904111</c:v>
                </c:pt>
                <c:pt idx="524">
                  <c:v>5.624657534246575</c:v>
                </c:pt>
                <c:pt idx="525">
                  <c:v>5.624657534246575</c:v>
                </c:pt>
                <c:pt idx="526">
                  <c:v>5.6301369863013697</c:v>
                </c:pt>
                <c:pt idx="527">
                  <c:v>5.6630136986301371</c:v>
                </c:pt>
                <c:pt idx="528">
                  <c:v>5.6630136986301371</c:v>
                </c:pt>
                <c:pt idx="529">
                  <c:v>5.6630136986301371</c:v>
                </c:pt>
                <c:pt idx="530">
                  <c:v>5.6630136986301371</c:v>
                </c:pt>
                <c:pt idx="531">
                  <c:v>5.6630136986301371</c:v>
                </c:pt>
                <c:pt idx="532">
                  <c:v>5.6904109589041099</c:v>
                </c:pt>
                <c:pt idx="533">
                  <c:v>5.7068493150684931</c:v>
                </c:pt>
                <c:pt idx="534">
                  <c:v>5.7068493150684931</c:v>
                </c:pt>
                <c:pt idx="535">
                  <c:v>5.7068493150684931</c:v>
                </c:pt>
                <c:pt idx="536">
                  <c:v>5.7068493150684931</c:v>
                </c:pt>
                <c:pt idx="537">
                  <c:v>5.7068493150684931</c:v>
                </c:pt>
                <c:pt idx="538">
                  <c:v>5.7452054794520544</c:v>
                </c:pt>
                <c:pt idx="539">
                  <c:v>5.7452054794520544</c:v>
                </c:pt>
                <c:pt idx="540">
                  <c:v>5.7452054794520544</c:v>
                </c:pt>
                <c:pt idx="541">
                  <c:v>5.7452054794520544</c:v>
                </c:pt>
                <c:pt idx="542">
                  <c:v>5.7452054794520544</c:v>
                </c:pt>
                <c:pt idx="543">
                  <c:v>5.7479452054794518</c:v>
                </c:pt>
                <c:pt idx="544">
                  <c:v>5.7917808219178086</c:v>
                </c:pt>
                <c:pt idx="545">
                  <c:v>5.7917808219178086</c:v>
                </c:pt>
                <c:pt idx="546">
                  <c:v>5.7917808219178086</c:v>
                </c:pt>
                <c:pt idx="547">
                  <c:v>5.7917808219178086</c:v>
                </c:pt>
                <c:pt idx="548">
                  <c:v>5.8</c:v>
                </c:pt>
                <c:pt idx="549">
                  <c:v>5.8301369863013699</c:v>
                </c:pt>
                <c:pt idx="550">
                  <c:v>5.8301369863013699</c:v>
                </c:pt>
                <c:pt idx="551">
                  <c:v>5.912328767123288</c:v>
                </c:pt>
                <c:pt idx="552">
                  <c:v>5.912328767123288</c:v>
                </c:pt>
                <c:pt idx="553">
                  <c:v>5.912328767123288</c:v>
                </c:pt>
                <c:pt idx="554">
                  <c:v>5.912328767123288</c:v>
                </c:pt>
                <c:pt idx="555">
                  <c:v>5.912328767123288</c:v>
                </c:pt>
                <c:pt idx="556">
                  <c:v>5.912328767123288</c:v>
                </c:pt>
                <c:pt idx="557">
                  <c:v>5.912328767123288</c:v>
                </c:pt>
                <c:pt idx="558">
                  <c:v>6.0684931506849313</c:v>
                </c:pt>
                <c:pt idx="559">
                  <c:v>6.0821917808219181</c:v>
                </c:pt>
                <c:pt idx="560">
                  <c:v>6.0821917808219181</c:v>
                </c:pt>
                <c:pt idx="561">
                  <c:v>6.0821917808219181</c:v>
                </c:pt>
                <c:pt idx="562">
                  <c:v>6.1260273972602741</c:v>
                </c:pt>
                <c:pt idx="563">
                  <c:v>6.1643835616438354</c:v>
                </c:pt>
                <c:pt idx="564">
                  <c:v>6.2109589041095887</c:v>
                </c:pt>
                <c:pt idx="565">
                  <c:v>6.2109589041095887</c:v>
                </c:pt>
                <c:pt idx="566">
                  <c:v>6.2109589041095887</c:v>
                </c:pt>
                <c:pt idx="567">
                  <c:v>6.2109589041095887</c:v>
                </c:pt>
                <c:pt idx="568">
                  <c:v>6.2109589041095887</c:v>
                </c:pt>
                <c:pt idx="569">
                  <c:v>6.2493150684931509</c:v>
                </c:pt>
                <c:pt idx="570">
                  <c:v>6.3315068493150681</c:v>
                </c:pt>
                <c:pt idx="571">
                  <c:v>6.3315068493150681</c:v>
                </c:pt>
                <c:pt idx="572">
                  <c:v>6.4164383561643836</c:v>
                </c:pt>
                <c:pt idx="573">
                  <c:v>6.4164383561643836</c:v>
                </c:pt>
                <c:pt idx="574">
                  <c:v>6.4164383561643836</c:v>
                </c:pt>
                <c:pt idx="575">
                  <c:v>6.4164383561643836</c:v>
                </c:pt>
                <c:pt idx="576">
                  <c:v>6.463013698630137</c:v>
                </c:pt>
                <c:pt idx="577">
                  <c:v>6.463013698630137</c:v>
                </c:pt>
                <c:pt idx="578">
                  <c:v>6.463013698630137</c:v>
                </c:pt>
                <c:pt idx="579">
                  <c:v>6.463013698630137</c:v>
                </c:pt>
                <c:pt idx="580">
                  <c:v>6.5013698630136982</c:v>
                </c:pt>
                <c:pt idx="581">
                  <c:v>6.5013698630136982</c:v>
                </c:pt>
                <c:pt idx="582">
                  <c:v>6.5013698630136982</c:v>
                </c:pt>
                <c:pt idx="583">
                  <c:v>6.5013698630136982</c:v>
                </c:pt>
                <c:pt idx="584">
                  <c:v>6.5013698630136982</c:v>
                </c:pt>
                <c:pt idx="585">
                  <c:v>6.5013698630136982</c:v>
                </c:pt>
                <c:pt idx="586">
                  <c:v>6.5013698630136982</c:v>
                </c:pt>
                <c:pt idx="587">
                  <c:v>6.5013698630136982</c:v>
                </c:pt>
                <c:pt idx="588">
                  <c:v>6.5397260273972604</c:v>
                </c:pt>
                <c:pt idx="589">
                  <c:v>6.5643835616438357</c:v>
                </c:pt>
                <c:pt idx="590">
                  <c:v>6.5780821917808217</c:v>
                </c:pt>
                <c:pt idx="591">
                  <c:v>6.5780821917808217</c:v>
                </c:pt>
                <c:pt idx="592">
                  <c:v>6.5780821917808217</c:v>
                </c:pt>
                <c:pt idx="593">
                  <c:v>6.5780821917808217</c:v>
                </c:pt>
                <c:pt idx="594">
                  <c:v>6.5917808219178085</c:v>
                </c:pt>
                <c:pt idx="595">
                  <c:v>6.624657534246575</c:v>
                </c:pt>
                <c:pt idx="596">
                  <c:v>6.624657534246575</c:v>
                </c:pt>
                <c:pt idx="597">
                  <c:v>6.624657534246575</c:v>
                </c:pt>
                <c:pt idx="598">
                  <c:v>6.7068493150684931</c:v>
                </c:pt>
                <c:pt idx="599">
                  <c:v>6.7068493150684931</c:v>
                </c:pt>
                <c:pt idx="600">
                  <c:v>6.7452054794520544</c:v>
                </c:pt>
                <c:pt idx="601">
                  <c:v>6.7452054794520544</c:v>
                </c:pt>
                <c:pt idx="602">
                  <c:v>6.7452054794520544</c:v>
                </c:pt>
                <c:pt idx="603">
                  <c:v>6.7452054794520544</c:v>
                </c:pt>
                <c:pt idx="604">
                  <c:v>6.7479452054794518</c:v>
                </c:pt>
                <c:pt idx="605">
                  <c:v>6.7589041095890412</c:v>
                </c:pt>
                <c:pt idx="606">
                  <c:v>6.7643835616438359</c:v>
                </c:pt>
                <c:pt idx="607">
                  <c:v>6.7917808219178086</c:v>
                </c:pt>
                <c:pt idx="608">
                  <c:v>6.7917808219178086</c:v>
                </c:pt>
                <c:pt idx="609">
                  <c:v>6.7945205479452051</c:v>
                </c:pt>
                <c:pt idx="610">
                  <c:v>6.816438356164384</c:v>
                </c:pt>
                <c:pt idx="611">
                  <c:v>6.8301369863013699</c:v>
                </c:pt>
                <c:pt idx="612">
                  <c:v>6.8301369863013699</c:v>
                </c:pt>
                <c:pt idx="613">
                  <c:v>6.8739726027397259</c:v>
                </c:pt>
                <c:pt idx="614">
                  <c:v>6.8931506849315065</c:v>
                </c:pt>
                <c:pt idx="615">
                  <c:v>6.912328767123288</c:v>
                </c:pt>
                <c:pt idx="616">
                  <c:v>6.912328767123288</c:v>
                </c:pt>
                <c:pt idx="617">
                  <c:v>6.9972602739726026</c:v>
                </c:pt>
                <c:pt idx="618">
                  <c:v>6.9972602739726026</c:v>
                </c:pt>
                <c:pt idx="619">
                  <c:v>6.9972602739726026</c:v>
                </c:pt>
                <c:pt idx="620">
                  <c:v>6.9972602739726026</c:v>
                </c:pt>
                <c:pt idx="621">
                  <c:v>7.0821917808219181</c:v>
                </c:pt>
                <c:pt idx="622">
                  <c:v>7.0821917808219181</c:v>
                </c:pt>
                <c:pt idx="623">
                  <c:v>7.0821917808219181</c:v>
                </c:pt>
                <c:pt idx="624">
                  <c:v>7.0821917808219181</c:v>
                </c:pt>
                <c:pt idx="625">
                  <c:v>7.1041095890410961</c:v>
                </c:pt>
                <c:pt idx="626">
                  <c:v>7.1260273972602741</c:v>
                </c:pt>
                <c:pt idx="627">
                  <c:v>7.1643835616438354</c:v>
                </c:pt>
                <c:pt idx="628">
                  <c:v>7.1643835616438354</c:v>
                </c:pt>
                <c:pt idx="629">
                  <c:v>7.1643835616438354</c:v>
                </c:pt>
                <c:pt idx="630">
                  <c:v>7.1671232876712327</c:v>
                </c:pt>
                <c:pt idx="631">
                  <c:v>7.1972602739726028</c:v>
                </c:pt>
                <c:pt idx="632">
                  <c:v>7.2493150684931509</c:v>
                </c:pt>
                <c:pt idx="633">
                  <c:v>7.2493150684931509</c:v>
                </c:pt>
                <c:pt idx="634">
                  <c:v>7.2493150684931509</c:v>
                </c:pt>
                <c:pt idx="635">
                  <c:v>7.3178082191780822</c:v>
                </c:pt>
                <c:pt idx="636">
                  <c:v>7.3315068493150681</c:v>
                </c:pt>
                <c:pt idx="637">
                  <c:v>7.3780821917808215</c:v>
                </c:pt>
                <c:pt idx="638">
                  <c:v>7.3780821917808215</c:v>
                </c:pt>
                <c:pt idx="639">
                  <c:v>7.4164383561643836</c:v>
                </c:pt>
                <c:pt idx="640">
                  <c:v>7.4164383561643836</c:v>
                </c:pt>
                <c:pt idx="641">
                  <c:v>7.4164383561643836</c:v>
                </c:pt>
                <c:pt idx="642">
                  <c:v>7.4164383561643836</c:v>
                </c:pt>
                <c:pt idx="643">
                  <c:v>7.4164383561643836</c:v>
                </c:pt>
                <c:pt idx="644">
                  <c:v>7.4164383561643836</c:v>
                </c:pt>
                <c:pt idx="645">
                  <c:v>7.4301369863013695</c:v>
                </c:pt>
                <c:pt idx="646">
                  <c:v>7.5013698630136982</c:v>
                </c:pt>
                <c:pt idx="647">
                  <c:v>7.5013698630136982</c:v>
                </c:pt>
                <c:pt idx="648">
                  <c:v>7.5013698630136982</c:v>
                </c:pt>
                <c:pt idx="649">
                  <c:v>7.580821917808219</c:v>
                </c:pt>
                <c:pt idx="650">
                  <c:v>7.580821917808219</c:v>
                </c:pt>
                <c:pt idx="651">
                  <c:v>7.580821917808219</c:v>
                </c:pt>
                <c:pt idx="652">
                  <c:v>7.6109589041095891</c:v>
                </c:pt>
                <c:pt idx="653">
                  <c:v>7.6273972602739724</c:v>
                </c:pt>
                <c:pt idx="654">
                  <c:v>7.6657534246575345</c:v>
                </c:pt>
                <c:pt idx="655">
                  <c:v>7.6657534246575345</c:v>
                </c:pt>
                <c:pt idx="656">
                  <c:v>7.6657534246575345</c:v>
                </c:pt>
                <c:pt idx="657">
                  <c:v>7.8328767123287673</c:v>
                </c:pt>
                <c:pt idx="658">
                  <c:v>7.8328767123287673</c:v>
                </c:pt>
                <c:pt idx="659">
                  <c:v>7.8767123287671232</c:v>
                </c:pt>
                <c:pt idx="660">
                  <c:v>7.9150684931506845</c:v>
                </c:pt>
                <c:pt idx="661">
                  <c:v>7.9150684931506845</c:v>
                </c:pt>
                <c:pt idx="662">
                  <c:v>7.934246575342466</c:v>
                </c:pt>
                <c:pt idx="663">
                  <c:v>7.9397260273972599</c:v>
                </c:pt>
                <c:pt idx="664">
                  <c:v>7.9835616438356167</c:v>
                </c:pt>
                <c:pt idx="665">
                  <c:v>8</c:v>
                </c:pt>
                <c:pt idx="666">
                  <c:v>8</c:v>
                </c:pt>
                <c:pt idx="667">
                  <c:v>8.0246575342465754</c:v>
                </c:pt>
                <c:pt idx="668">
                  <c:v>8.0465753424657542</c:v>
                </c:pt>
                <c:pt idx="669">
                  <c:v>8.0465753424657542</c:v>
                </c:pt>
                <c:pt idx="670">
                  <c:v>8.0849315068493155</c:v>
                </c:pt>
                <c:pt idx="671">
                  <c:v>8.0849315068493155</c:v>
                </c:pt>
                <c:pt idx="672">
                  <c:v>8.0849315068493155</c:v>
                </c:pt>
                <c:pt idx="673">
                  <c:v>8.0849315068493155</c:v>
                </c:pt>
                <c:pt idx="674">
                  <c:v>8.0849315068493155</c:v>
                </c:pt>
                <c:pt idx="675">
                  <c:v>8.1287671232876715</c:v>
                </c:pt>
                <c:pt idx="676">
                  <c:v>8.1287671232876715</c:v>
                </c:pt>
                <c:pt idx="677">
                  <c:v>8.1287671232876715</c:v>
                </c:pt>
                <c:pt idx="678">
                  <c:v>8.1643835616438363</c:v>
                </c:pt>
                <c:pt idx="679">
                  <c:v>8.1671232876712327</c:v>
                </c:pt>
                <c:pt idx="680">
                  <c:v>8.1671232876712327</c:v>
                </c:pt>
                <c:pt idx="681">
                  <c:v>8.213698630136987</c:v>
                </c:pt>
                <c:pt idx="682">
                  <c:v>8.213698630136987</c:v>
                </c:pt>
                <c:pt idx="683">
                  <c:v>8.2164383561643834</c:v>
                </c:pt>
                <c:pt idx="684">
                  <c:v>8.2520547945205482</c:v>
                </c:pt>
                <c:pt idx="685">
                  <c:v>8.2520547945205482</c:v>
                </c:pt>
                <c:pt idx="686">
                  <c:v>8.2520547945205482</c:v>
                </c:pt>
                <c:pt idx="687">
                  <c:v>8.2520547945205482</c:v>
                </c:pt>
                <c:pt idx="688">
                  <c:v>8.2520547945205482</c:v>
                </c:pt>
                <c:pt idx="689">
                  <c:v>8.2958904109589042</c:v>
                </c:pt>
                <c:pt idx="690">
                  <c:v>8.2958904109589042</c:v>
                </c:pt>
                <c:pt idx="691">
                  <c:v>8.3342465753424655</c:v>
                </c:pt>
                <c:pt idx="692">
                  <c:v>8.3342465753424655</c:v>
                </c:pt>
                <c:pt idx="693">
                  <c:v>8.3342465753424655</c:v>
                </c:pt>
                <c:pt idx="694">
                  <c:v>8.3917808219178074</c:v>
                </c:pt>
                <c:pt idx="695">
                  <c:v>8.4082191780821915</c:v>
                </c:pt>
                <c:pt idx="696">
                  <c:v>8.419178082191781</c:v>
                </c:pt>
                <c:pt idx="697">
                  <c:v>8.4356164383561651</c:v>
                </c:pt>
                <c:pt idx="698">
                  <c:v>8.4465753424657528</c:v>
                </c:pt>
                <c:pt idx="699">
                  <c:v>8.4657534246575334</c:v>
                </c:pt>
                <c:pt idx="700">
                  <c:v>8.4657534246575334</c:v>
                </c:pt>
                <c:pt idx="701">
                  <c:v>8.4849315068493159</c:v>
                </c:pt>
                <c:pt idx="702">
                  <c:v>8.5041095890410965</c:v>
                </c:pt>
                <c:pt idx="703">
                  <c:v>8.5041095890410965</c:v>
                </c:pt>
                <c:pt idx="704">
                  <c:v>8.5424657534246577</c:v>
                </c:pt>
                <c:pt idx="705">
                  <c:v>8.5424657534246577</c:v>
                </c:pt>
                <c:pt idx="706">
                  <c:v>8.5424657534246577</c:v>
                </c:pt>
                <c:pt idx="707">
                  <c:v>8.5424657534246577</c:v>
                </c:pt>
                <c:pt idx="708">
                  <c:v>8.5424657534246577</c:v>
                </c:pt>
                <c:pt idx="709">
                  <c:v>8.5698630136986296</c:v>
                </c:pt>
                <c:pt idx="710">
                  <c:v>8.580821917808219</c:v>
                </c:pt>
                <c:pt idx="711">
                  <c:v>8.5835616438356173</c:v>
                </c:pt>
                <c:pt idx="712">
                  <c:v>8.6273972602739732</c:v>
                </c:pt>
                <c:pt idx="713">
                  <c:v>8.6273972602739732</c:v>
                </c:pt>
                <c:pt idx="714">
                  <c:v>8.6273972602739732</c:v>
                </c:pt>
                <c:pt idx="715">
                  <c:v>8.7095890410958905</c:v>
                </c:pt>
                <c:pt idx="716">
                  <c:v>8.742465753424657</c:v>
                </c:pt>
                <c:pt idx="717">
                  <c:v>8.7479452054794518</c:v>
                </c:pt>
                <c:pt idx="718">
                  <c:v>8.7479452054794518</c:v>
                </c:pt>
                <c:pt idx="719">
                  <c:v>8.7479452054794518</c:v>
                </c:pt>
                <c:pt idx="720">
                  <c:v>8.7479452054794518</c:v>
                </c:pt>
                <c:pt idx="721">
                  <c:v>8.7616438356164377</c:v>
                </c:pt>
                <c:pt idx="722">
                  <c:v>8.7726027397260271</c:v>
                </c:pt>
                <c:pt idx="723">
                  <c:v>8.7808219178082183</c:v>
                </c:pt>
                <c:pt idx="724">
                  <c:v>8.7890410958904113</c:v>
                </c:pt>
                <c:pt idx="725">
                  <c:v>8.794520547945206</c:v>
                </c:pt>
                <c:pt idx="726">
                  <c:v>8.794520547945206</c:v>
                </c:pt>
                <c:pt idx="727">
                  <c:v>8.794520547945206</c:v>
                </c:pt>
                <c:pt idx="728">
                  <c:v>8.794520547945206</c:v>
                </c:pt>
                <c:pt idx="729">
                  <c:v>8.794520547945206</c:v>
                </c:pt>
                <c:pt idx="730">
                  <c:v>8.8328767123287673</c:v>
                </c:pt>
                <c:pt idx="731">
                  <c:v>8.8328767123287673</c:v>
                </c:pt>
                <c:pt idx="732">
                  <c:v>8.9068493150684933</c:v>
                </c:pt>
                <c:pt idx="733">
                  <c:v>8.9150684931506845</c:v>
                </c:pt>
                <c:pt idx="734">
                  <c:v>8.9479452054794528</c:v>
                </c:pt>
                <c:pt idx="735">
                  <c:v>8.9506849315068493</c:v>
                </c:pt>
                <c:pt idx="736">
                  <c:v>9</c:v>
                </c:pt>
                <c:pt idx="737">
                  <c:v>9.0027397260273965</c:v>
                </c:pt>
                <c:pt idx="738">
                  <c:v>9.0849315068493155</c:v>
                </c:pt>
                <c:pt idx="739">
                  <c:v>9.0849315068493155</c:v>
                </c:pt>
                <c:pt idx="740">
                  <c:v>9.0849315068493155</c:v>
                </c:pt>
                <c:pt idx="741">
                  <c:v>9.0849315068493155</c:v>
                </c:pt>
                <c:pt idx="742">
                  <c:v>9.0986301369863014</c:v>
                </c:pt>
                <c:pt idx="743">
                  <c:v>9.1287671232876715</c:v>
                </c:pt>
                <c:pt idx="744">
                  <c:v>9.1287671232876715</c:v>
                </c:pt>
                <c:pt idx="745">
                  <c:v>9.1671232876712327</c:v>
                </c:pt>
                <c:pt idx="746">
                  <c:v>9.1671232876712327</c:v>
                </c:pt>
                <c:pt idx="747">
                  <c:v>9.213698630136987</c:v>
                </c:pt>
                <c:pt idx="748">
                  <c:v>9.213698630136987</c:v>
                </c:pt>
                <c:pt idx="749">
                  <c:v>9.2191780821917817</c:v>
                </c:pt>
                <c:pt idx="750">
                  <c:v>9.2383561643835623</c:v>
                </c:pt>
                <c:pt idx="751">
                  <c:v>9.2520547945205482</c:v>
                </c:pt>
                <c:pt idx="752">
                  <c:v>9.2520547945205482</c:v>
                </c:pt>
                <c:pt idx="753">
                  <c:v>9.2958904109589042</c:v>
                </c:pt>
                <c:pt idx="754">
                  <c:v>9.4164383561643827</c:v>
                </c:pt>
                <c:pt idx="755">
                  <c:v>9.419178082191781</c:v>
                </c:pt>
                <c:pt idx="756">
                  <c:v>9.419178082191781</c:v>
                </c:pt>
                <c:pt idx="757">
                  <c:v>9.4657534246575334</c:v>
                </c:pt>
                <c:pt idx="758">
                  <c:v>9.6027397260273979</c:v>
                </c:pt>
                <c:pt idx="759">
                  <c:v>9.7479452054794518</c:v>
                </c:pt>
                <c:pt idx="760">
                  <c:v>9.794520547945206</c:v>
                </c:pt>
                <c:pt idx="761">
                  <c:v>9.8328767123287673</c:v>
                </c:pt>
                <c:pt idx="762">
                  <c:v>10</c:v>
                </c:pt>
                <c:pt idx="763">
                  <c:v>10.084931506849315</c:v>
                </c:pt>
                <c:pt idx="764">
                  <c:v>10.084931506849315</c:v>
                </c:pt>
                <c:pt idx="765">
                  <c:v>10.295890410958904</c:v>
                </c:pt>
                <c:pt idx="766">
                  <c:v>10.419178082191781</c:v>
                </c:pt>
                <c:pt idx="767">
                  <c:v>10.747945205479452</c:v>
                </c:pt>
                <c:pt idx="768">
                  <c:v>10.931506849315069</c:v>
                </c:pt>
                <c:pt idx="769">
                  <c:v>11.084931506849315</c:v>
                </c:pt>
                <c:pt idx="770">
                  <c:v>11.295890410958904</c:v>
                </c:pt>
                <c:pt idx="771">
                  <c:v>11.504109589041096</c:v>
                </c:pt>
                <c:pt idx="772">
                  <c:v>11.75068493150685</c:v>
                </c:pt>
                <c:pt idx="773">
                  <c:v>11.835616438356164</c:v>
                </c:pt>
                <c:pt idx="774">
                  <c:v>12.002739726027396</c:v>
                </c:pt>
                <c:pt idx="775">
                  <c:v>12.216438356164383</c:v>
                </c:pt>
                <c:pt idx="776">
                  <c:v>12.583561643835617</c:v>
                </c:pt>
                <c:pt idx="777">
                  <c:v>12.835616438356164</c:v>
                </c:pt>
                <c:pt idx="778">
                  <c:v>12.835616438356164</c:v>
                </c:pt>
                <c:pt idx="779">
                  <c:v>13.002739726027396</c:v>
                </c:pt>
                <c:pt idx="780">
                  <c:v>13.131506849315068</c:v>
                </c:pt>
                <c:pt idx="781">
                  <c:v>13.298630136986301</c:v>
                </c:pt>
                <c:pt idx="782">
                  <c:v>13.336986301369864</c:v>
                </c:pt>
                <c:pt idx="783">
                  <c:v>13.506849315068493</c:v>
                </c:pt>
                <c:pt idx="784">
                  <c:v>13.583561643835617</c:v>
                </c:pt>
                <c:pt idx="785">
                  <c:v>13.986301369863014</c:v>
                </c:pt>
                <c:pt idx="786">
                  <c:v>14.002739726027396</c:v>
                </c:pt>
                <c:pt idx="787">
                  <c:v>14.002739726027396</c:v>
                </c:pt>
                <c:pt idx="788">
                  <c:v>14.087671232876712</c:v>
                </c:pt>
                <c:pt idx="789">
                  <c:v>14.169863013698631</c:v>
                </c:pt>
                <c:pt idx="790">
                  <c:v>14.254794520547945</c:v>
                </c:pt>
                <c:pt idx="791">
                  <c:v>14.421917808219177</c:v>
                </c:pt>
                <c:pt idx="792">
                  <c:v>14.583561643835617</c:v>
                </c:pt>
                <c:pt idx="793">
                  <c:v>14.75068493150685</c:v>
                </c:pt>
                <c:pt idx="794">
                  <c:v>14.75068493150685</c:v>
                </c:pt>
                <c:pt idx="795">
                  <c:v>15.169863013698631</c:v>
                </c:pt>
                <c:pt idx="796">
                  <c:v>15.298630136986301</c:v>
                </c:pt>
                <c:pt idx="797">
                  <c:v>15.298630136986301</c:v>
                </c:pt>
                <c:pt idx="798">
                  <c:v>15.383561643835616</c:v>
                </c:pt>
                <c:pt idx="799">
                  <c:v>15.421917808219177</c:v>
                </c:pt>
                <c:pt idx="800">
                  <c:v>15.421917808219177</c:v>
                </c:pt>
                <c:pt idx="801">
                  <c:v>15.421917808219177</c:v>
                </c:pt>
                <c:pt idx="802">
                  <c:v>15.421917808219177</c:v>
                </c:pt>
                <c:pt idx="803">
                  <c:v>15.547945205479452</c:v>
                </c:pt>
                <c:pt idx="804">
                  <c:v>15.547945205479452</c:v>
                </c:pt>
                <c:pt idx="805">
                  <c:v>15.586301369863014</c:v>
                </c:pt>
                <c:pt idx="806">
                  <c:v>15.671232876712329</c:v>
                </c:pt>
                <c:pt idx="807">
                  <c:v>15.671232876712329</c:v>
                </c:pt>
                <c:pt idx="808">
                  <c:v>15.753424657534246</c:v>
                </c:pt>
                <c:pt idx="809">
                  <c:v>15.8</c:v>
                </c:pt>
                <c:pt idx="810">
                  <c:v>15.8</c:v>
                </c:pt>
                <c:pt idx="811">
                  <c:v>15.920547945205479</c:v>
                </c:pt>
                <c:pt idx="812">
                  <c:v>15.920547945205479</c:v>
                </c:pt>
                <c:pt idx="813">
                  <c:v>15.967123287671233</c:v>
                </c:pt>
                <c:pt idx="814">
                  <c:v>15.967123287671233</c:v>
                </c:pt>
                <c:pt idx="815">
                  <c:v>16.301369863013697</c:v>
                </c:pt>
                <c:pt idx="816">
                  <c:v>16.339726027397262</c:v>
                </c:pt>
                <c:pt idx="817">
                  <c:v>16.424657534246574</c:v>
                </c:pt>
                <c:pt idx="818">
                  <c:v>16.547945205479451</c:v>
                </c:pt>
                <c:pt idx="819">
                  <c:v>16.56986301369863</c:v>
                </c:pt>
                <c:pt idx="820">
                  <c:v>16.586301369863012</c:v>
                </c:pt>
                <c:pt idx="821">
                  <c:v>16.586301369863012</c:v>
                </c:pt>
                <c:pt idx="822">
                  <c:v>16.627397260273973</c:v>
                </c:pt>
                <c:pt idx="823">
                  <c:v>16.671232876712327</c:v>
                </c:pt>
                <c:pt idx="824">
                  <c:v>16.715068493150685</c:v>
                </c:pt>
                <c:pt idx="825">
                  <c:v>16.715068493150685</c:v>
                </c:pt>
                <c:pt idx="826">
                  <c:v>16.838356164383562</c:v>
                </c:pt>
                <c:pt idx="827">
                  <c:v>17.202739726027396</c:v>
                </c:pt>
                <c:pt idx="828">
                  <c:v>17.257534246575343</c:v>
                </c:pt>
                <c:pt idx="829">
                  <c:v>17.257534246575343</c:v>
                </c:pt>
                <c:pt idx="830">
                  <c:v>17.838356164383562</c:v>
                </c:pt>
                <c:pt idx="831">
                  <c:v>18.257534246575343</c:v>
                </c:pt>
                <c:pt idx="832">
                  <c:v>18.301369863013697</c:v>
                </c:pt>
                <c:pt idx="833">
                  <c:v>18.339726027397262</c:v>
                </c:pt>
                <c:pt idx="834">
                  <c:v>18.339726027397262</c:v>
                </c:pt>
                <c:pt idx="835">
                  <c:v>18.432876712328767</c:v>
                </c:pt>
                <c:pt idx="836">
                  <c:v>18.547945205479451</c:v>
                </c:pt>
                <c:pt idx="837">
                  <c:v>18.753424657534246</c:v>
                </c:pt>
                <c:pt idx="838">
                  <c:v>18.967123287671232</c:v>
                </c:pt>
                <c:pt idx="839">
                  <c:v>19.172602739726027</c:v>
                </c:pt>
                <c:pt idx="840">
                  <c:v>19.257534246575343</c:v>
                </c:pt>
                <c:pt idx="841">
                  <c:v>19.257534246575343</c:v>
                </c:pt>
                <c:pt idx="842">
                  <c:v>19.301369863013697</c:v>
                </c:pt>
                <c:pt idx="843">
                  <c:v>19.339726027397262</c:v>
                </c:pt>
                <c:pt idx="844">
                  <c:v>19.550684931506851</c:v>
                </c:pt>
                <c:pt idx="845">
                  <c:v>19.635616438356163</c:v>
                </c:pt>
                <c:pt idx="846">
                  <c:v>19.841095890410958</c:v>
                </c:pt>
                <c:pt idx="847">
                  <c:v>19.841095890410958</c:v>
                </c:pt>
                <c:pt idx="848">
                  <c:v>20.008219178082193</c:v>
                </c:pt>
                <c:pt idx="849">
                  <c:v>20.021917808219179</c:v>
                </c:pt>
                <c:pt idx="850">
                  <c:v>20.175342465753424</c:v>
                </c:pt>
                <c:pt idx="851">
                  <c:v>20.221917808219178</c:v>
                </c:pt>
                <c:pt idx="852">
                  <c:v>20.293150684931508</c:v>
                </c:pt>
                <c:pt idx="853">
                  <c:v>20.342465753424658</c:v>
                </c:pt>
                <c:pt idx="854">
                  <c:v>20.342465753424658</c:v>
                </c:pt>
                <c:pt idx="855">
                  <c:v>20.427397260273974</c:v>
                </c:pt>
                <c:pt idx="856">
                  <c:v>20.427397260273974</c:v>
                </c:pt>
                <c:pt idx="857">
                  <c:v>20.512328767123286</c:v>
                </c:pt>
                <c:pt idx="858">
                  <c:v>20.512328767123286</c:v>
                </c:pt>
                <c:pt idx="859">
                  <c:v>20.531506849315068</c:v>
                </c:pt>
                <c:pt idx="860">
                  <c:v>20.589041095890412</c:v>
                </c:pt>
                <c:pt idx="861">
                  <c:v>20.589041095890412</c:v>
                </c:pt>
                <c:pt idx="862">
                  <c:v>20.589041095890412</c:v>
                </c:pt>
                <c:pt idx="863">
                  <c:v>20.635616438356163</c:v>
                </c:pt>
                <c:pt idx="864">
                  <c:v>20.756164383561643</c:v>
                </c:pt>
                <c:pt idx="865">
                  <c:v>20.802739726027397</c:v>
                </c:pt>
                <c:pt idx="866">
                  <c:v>20.841095890410958</c:v>
                </c:pt>
                <c:pt idx="867">
                  <c:v>20.841095890410958</c:v>
                </c:pt>
                <c:pt idx="868">
                  <c:v>20.841095890410958</c:v>
                </c:pt>
                <c:pt idx="869">
                  <c:v>20.923287671232877</c:v>
                </c:pt>
                <c:pt idx="870">
                  <c:v>21.175342465753424</c:v>
                </c:pt>
                <c:pt idx="871">
                  <c:v>21.219178082191782</c:v>
                </c:pt>
                <c:pt idx="872">
                  <c:v>21.432876712328767</c:v>
                </c:pt>
                <c:pt idx="873">
                  <c:v>21.473972602739725</c:v>
                </c:pt>
                <c:pt idx="874">
                  <c:v>21.512328767123286</c:v>
                </c:pt>
                <c:pt idx="875">
                  <c:v>21.632876712328766</c:v>
                </c:pt>
                <c:pt idx="876">
                  <c:v>21.802739726027397</c:v>
                </c:pt>
                <c:pt idx="877">
                  <c:v>21.841095890410958</c:v>
                </c:pt>
                <c:pt idx="878">
                  <c:v>21.841095890410958</c:v>
                </c:pt>
                <c:pt idx="879">
                  <c:v>21.841095890410958</c:v>
                </c:pt>
                <c:pt idx="880">
                  <c:v>22.008219178082193</c:v>
                </c:pt>
                <c:pt idx="881">
                  <c:v>22.093150684931508</c:v>
                </c:pt>
                <c:pt idx="882">
                  <c:v>22.260273972602739</c:v>
                </c:pt>
                <c:pt idx="883">
                  <c:v>22.260273972602739</c:v>
                </c:pt>
                <c:pt idx="884">
                  <c:v>22.331506849315069</c:v>
                </c:pt>
                <c:pt idx="885">
                  <c:v>22.342465753424658</c:v>
                </c:pt>
                <c:pt idx="886">
                  <c:v>22.473972602739725</c:v>
                </c:pt>
                <c:pt idx="887">
                  <c:v>22.56986301369863</c:v>
                </c:pt>
                <c:pt idx="888">
                  <c:v>22.739726027397261</c:v>
                </c:pt>
                <c:pt idx="889">
                  <c:v>22.802739726027397</c:v>
                </c:pt>
                <c:pt idx="890">
                  <c:v>22.841095890410958</c:v>
                </c:pt>
                <c:pt idx="891">
                  <c:v>22.841095890410958</c:v>
                </c:pt>
                <c:pt idx="892">
                  <c:v>22.841095890410958</c:v>
                </c:pt>
                <c:pt idx="893">
                  <c:v>22.964383561643835</c:v>
                </c:pt>
                <c:pt idx="894">
                  <c:v>22.964383561643835</c:v>
                </c:pt>
                <c:pt idx="895">
                  <c:v>22.969863013698632</c:v>
                </c:pt>
                <c:pt idx="896">
                  <c:v>23.093150684931508</c:v>
                </c:pt>
                <c:pt idx="897">
                  <c:v>23.175342465753424</c:v>
                </c:pt>
                <c:pt idx="898">
                  <c:v>23.175342465753424</c:v>
                </c:pt>
                <c:pt idx="899">
                  <c:v>23.221917808219178</c:v>
                </c:pt>
                <c:pt idx="900">
                  <c:v>23.427397260273974</c:v>
                </c:pt>
                <c:pt idx="901">
                  <c:v>23.591780821917808</c:v>
                </c:pt>
                <c:pt idx="902">
                  <c:v>23.591780821917808</c:v>
                </c:pt>
                <c:pt idx="903">
                  <c:v>23.591780821917808</c:v>
                </c:pt>
                <c:pt idx="904">
                  <c:v>23.597260273972601</c:v>
                </c:pt>
                <c:pt idx="905">
                  <c:v>23.638356164383563</c:v>
                </c:pt>
                <c:pt idx="906">
                  <c:v>23.720547945205478</c:v>
                </c:pt>
                <c:pt idx="907">
                  <c:v>23.758904109589039</c:v>
                </c:pt>
                <c:pt idx="908">
                  <c:v>23.805479452054794</c:v>
                </c:pt>
                <c:pt idx="909">
                  <c:v>23.805479452054794</c:v>
                </c:pt>
                <c:pt idx="910">
                  <c:v>23.805479452054794</c:v>
                </c:pt>
                <c:pt idx="911">
                  <c:v>23.843835616438355</c:v>
                </c:pt>
                <c:pt idx="912">
                  <c:v>23.843835616438355</c:v>
                </c:pt>
                <c:pt idx="913">
                  <c:v>23.857534246575341</c:v>
                </c:pt>
                <c:pt idx="914">
                  <c:v>24.010958904109589</c:v>
                </c:pt>
                <c:pt idx="915">
                  <c:v>24.17808219178082</c:v>
                </c:pt>
                <c:pt idx="916">
                  <c:v>24.17808219178082</c:v>
                </c:pt>
                <c:pt idx="917">
                  <c:v>24.17808219178082</c:v>
                </c:pt>
                <c:pt idx="918">
                  <c:v>24.263013698630136</c:v>
                </c:pt>
                <c:pt idx="919">
                  <c:v>24.268493150684932</c:v>
                </c:pt>
                <c:pt idx="920">
                  <c:v>24.279452054794522</c:v>
                </c:pt>
                <c:pt idx="921">
                  <c:v>24.306849315068494</c:v>
                </c:pt>
                <c:pt idx="922">
                  <c:v>24.342465753424658</c:v>
                </c:pt>
                <c:pt idx="923">
                  <c:v>24.43013698630137</c:v>
                </c:pt>
                <c:pt idx="924">
                  <c:v>24.468493150684932</c:v>
                </c:pt>
                <c:pt idx="925">
                  <c:v>24.515068493150686</c:v>
                </c:pt>
                <c:pt idx="926">
                  <c:v>24.547945205479451</c:v>
                </c:pt>
                <c:pt idx="927">
                  <c:v>24.553424657534247</c:v>
                </c:pt>
                <c:pt idx="928">
                  <c:v>24.56986301369863</c:v>
                </c:pt>
                <c:pt idx="929">
                  <c:v>24.591780821917808</c:v>
                </c:pt>
                <c:pt idx="930">
                  <c:v>24.613698630136987</c:v>
                </c:pt>
                <c:pt idx="931">
                  <c:v>24.638356164383563</c:v>
                </c:pt>
                <c:pt idx="932">
                  <c:v>24.747945205479454</c:v>
                </c:pt>
                <c:pt idx="933">
                  <c:v>24.797260273972604</c:v>
                </c:pt>
                <c:pt idx="934">
                  <c:v>24.843835616438355</c:v>
                </c:pt>
                <c:pt idx="935">
                  <c:v>24.926027397260274</c:v>
                </c:pt>
                <c:pt idx="936">
                  <c:v>25.010958904109589</c:v>
                </c:pt>
                <c:pt idx="937">
                  <c:v>25.010958904109589</c:v>
                </c:pt>
                <c:pt idx="938">
                  <c:v>25.057534246575344</c:v>
                </c:pt>
                <c:pt idx="939">
                  <c:v>25.057534246575344</c:v>
                </c:pt>
                <c:pt idx="940">
                  <c:v>25.095890410958905</c:v>
                </c:pt>
                <c:pt idx="941">
                  <c:v>25.139726027397259</c:v>
                </c:pt>
                <c:pt idx="942">
                  <c:v>25.17808219178082</c:v>
                </c:pt>
                <c:pt idx="943">
                  <c:v>25.306849315068494</c:v>
                </c:pt>
                <c:pt idx="944">
                  <c:v>25.345205479452055</c:v>
                </c:pt>
                <c:pt idx="945">
                  <c:v>25.43013698630137</c:v>
                </c:pt>
                <c:pt idx="946">
                  <c:v>25.43013698630137</c:v>
                </c:pt>
                <c:pt idx="947">
                  <c:v>25.43013698630137</c:v>
                </c:pt>
                <c:pt idx="948">
                  <c:v>25.515068493150686</c:v>
                </c:pt>
                <c:pt idx="949">
                  <c:v>25.515068493150686</c:v>
                </c:pt>
                <c:pt idx="950">
                  <c:v>25.515068493150686</c:v>
                </c:pt>
                <c:pt idx="951">
                  <c:v>25.564383561643837</c:v>
                </c:pt>
                <c:pt idx="952">
                  <c:v>25.580821917808219</c:v>
                </c:pt>
                <c:pt idx="953">
                  <c:v>25.676712328767124</c:v>
                </c:pt>
                <c:pt idx="954">
                  <c:v>25.676712328767124</c:v>
                </c:pt>
                <c:pt idx="955">
                  <c:v>25.676712328767124</c:v>
                </c:pt>
                <c:pt idx="956">
                  <c:v>25.756164383561643</c:v>
                </c:pt>
                <c:pt idx="957">
                  <c:v>25.758904109589039</c:v>
                </c:pt>
                <c:pt idx="958">
                  <c:v>25.758904109589039</c:v>
                </c:pt>
                <c:pt idx="959">
                  <c:v>25.758904109589039</c:v>
                </c:pt>
                <c:pt idx="960">
                  <c:v>25.758904109589039</c:v>
                </c:pt>
                <c:pt idx="961">
                  <c:v>25.972602739726028</c:v>
                </c:pt>
                <c:pt idx="962">
                  <c:v>26.010958904109589</c:v>
                </c:pt>
                <c:pt idx="963">
                  <c:v>26.095890410958905</c:v>
                </c:pt>
                <c:pt idx="964">
                  <c:v>26.476712328767125</c:v>
                </c:pt>
                <c:pt idx="965">
                  <c:v>26.553424657534247</c:v>
                </c:pt>
                <c:pt idx="966">
                  <c:v>26.591780821917808</c:v>
                </c:pt>
                <c:pt idx="967">
                  <c:v>26.638356164383563</c:v>
                </c:pt>
                <c:pt idx="968">
                  <c:v>26.906849315068492</c:v>
                </c:pt>
                <c:pt idx="969">
                  <c:v>26.926027397260274</c:v>
                </c:pt>
                <c:pt idx="970">
                  <c:v>27.139726027397259</c:v>
                </c:pt>
                <c:pt idx="971">
                  <c:v>27.224657534246575</c:v>
                </c:pt>
                <c:pt idx="972">
                  <c:v>27.24931506849315</c:v>
                </c:pt>
                <c:pt idx="973">
                  <c:v>27.350684931506848</c:v>
                </c:pt>
                <c:pt idx="974">
                  <c:v>27.43013698630137</c:v>
                </c:pt>
                <c:pt idx="975">
                  <c:v>27.594520547945205</c:v>
                </c:pt>
                <c:pt idx="976">
                  <c:v>27.723287671232878</c:v>
                </c:pt>
                <c:pt idx="977">
                  <c:v>27.846575342465755</c:v>
                </c:pt>
                <c:pt idx="978">
                  <c:v>27.863013698630137</c:v>
                </c:pt>
                <c:pt idx="979">
                  <c:v>28.013698630136986</c:v>
                </c:pt>
                <c:pt idx="980">
                  <c:v>28.013698630136986</c:v>
                </c:pt>
                <c:pt idx="981">
                  <c:v>28.06027397260274</c:v>
                </c:pt>
                <c:pt idx="982">
                  <c:v>28.084931506849315</c:v>
                </c:pt>
                <c:pt idx="983">
                  <c:v>28.227397260273971</c:v>
                </c:pt>
                <c:pt idx="984">
                  <c:v>28.227397260273971</c:v>
                </c:pt>
                <c:pt idx="985">
                  <c:v>28.257534246575343</c:v>
                </c:pt>
                <c:pt idx="986">
                  <c:v>28.265753424657536</c:v>
                </c:pt>
                <c:pt idx="987">
                  <c:v>28.479452054794521</c:v>
                </c:pt>
                <c:pt idx="988">
                  <c:v>28.493150684931507</c:v>
                </c:pt>
                <c:pt idx="989">
                  <c:v>28.556164383561644</c:v>
                </c:pt>
                <c:pt idx="990">
                  <c:v>28.594520547945205</c:v>
                </c:pt>
                <c:pt idx="991">
                  <c:v>28.753424657534246</c:v>
                </c:pt>
                <c:pt idx="992">
                  <c:v>28.846575342465755</c:v>
                </c:pt>
                <c:pt idx="993">
                  <c:v>28.92876712328767</c:v>
                </c:pt>
                <c:pt idx="994">
                  <c:v>29.098630136986301</c:v>
                </c:pt>
                <c:pt idx="995">
                  <c:v>29.227397260273971</c:v>
                </c:pt>
                <c:pt idx="996">
                  <c:v>29.265753424657536</c:v>
                </c:pt>
                <c:pt idx="997">
                  <c:v>29.723287671232878</c:v>
                </c:pt>
                <c:pt idx="998">
                  <c:v>29.723287671232878</c:v>
                </c:pt>
                <c:pt idx="999">
                  <c:v>30.479452054794521</c:v>
                </c:pt>
                <c:pt idx="1000">
                  <c:v>31.18082191780822</c:v>
                </c:pt>
                <c:pt idx="1001">
                  <c:v>33.268493150684932</c:v>
                </c:pt>
              </c:numCache>
            </c:numRef>
          </c:xVal>
          <c:yVal>
            <c:numRef>
              <c:f>'Cost of Debt via bonds'!$F$3:$F$1004</c:f>
              <c:numCache>
                <c:formatCode>0.00%</c:formatCode>
                <c:ptCount val="1002"/>
                <c:pt idx="0">
                  <c:v>3.64E-3</c:v>
                </c:pt>
                <c:pt idx="1">
                  <c:v>-1.6150000000000001E-2</c:v>
                </c:pt>
                <c:pt idx="2">
                  <c:v>-5.1900000000000002E-3</c:v>
                </c:pt>
                <c:pt idx="3">
                  <c:v>-1.2840000000000001E-2</c:v>
                </c:pt>
                <c:pt idx="4">
                  <c:v>1.5969999999999998E-2</c:v>
                </c:pt>
                <c:pt idx="5">
                  <c:v>1.286E-2</c:v>
                </c:pt>
                <c:pt idx="6">
                  <c:v>-1.6789999999999999E-2</c:v>
                </c:pt>
                <c:pt idx="7">
                  <c:v>-8.9899999999999997E-3</c:v>
                </c:pt>
                <c:pt idx="8">
                  <c:v>-1.06E-3</c:v>
                </c:pt>
                <c:pt idx="9">
                  <c:v>-1.3309999999999999E-2</c:v>
                </c:pt>
                <c:pt idx="10">
                  <c:v>-1.712E-2</c:v>
                </c:pt>
                <c:pt idx="11">
                  <c:v>-1.4410000000000001E-2</c:v>
                </c:pt>
                <c:pt idx="12">
                  <c:v>3.7000000000000002E-3</c:v>
                </c:pt>
                <c:pt idx="13">
                  <c:v>-1.218E-2</c:v>
                </c:pt>
                <c:pt idx="14">
                  <c:v>4.6899999999999997E-3</c:v>
                </c:pt>
                <c:pt idx="15">
                  <c:v>-9.6299999999999997E-3</c:v>
                </c:pt>
                <c:pt idx="16">
                  <c:v>-1.155E-2</c:v>
                </c:pt>
                <c:pt idx="17">
                  <c:v>-1.257E-2</c:v>
                </c:pt>
                <c:pt idx="18">
                  <c:v>-1.2430000000000002E-2</c:v>
                </c:pt>
                <c:pt idx="19">
                  <c:v>-9.0699999999999999E-3</c:v>
                </c:pt>
                <c:pt idx="20">
                  <c:v>-1.1209999999999999E-2</c:v>
                </c:pt>
                <c:pt idx="21">
                  <c:v>-8.0700000000000008E-3</c:v>
                </c:pt>
                <c:pt idx="22">
                  <c:v>-1.755E-2</c:v>
                </c:pt>
                <c:pt idx="23">
                  <c:v>-7.5700000000000003E-3</c:v>
                </c:pt>
                <c:pt idx="24">
                  <c:v>-2.5900000000000003E-3</c:v>
                </c:pt>
                <c:pt idx="25">
                  <c:v>-9.2999999999999995E-4</c:v>
                </c:pt>
                <c:pt idx="26">
                  <c:v>-1.0029999999999999E-2</c:v>
                </c:pt>
                <c:pt idx="27">
                  <c:v>-7.1300000000000001E-3</c:v>
                </c:pt>
                <c:pt idx="28">
                  <c:v>2.4500000000000001E-2</c:v>
                </c:pt>
                <c:pt idx="29">
                  <c:v>-2.5000000000000001E-4</c:v>
                </c:pt>
                <c:pt idx="30">
                  <c:v>-1.1379999999999999E-2</c:v>
                </c:pt>
                <c:pt idx="31">
                  <c:v>7.0899999999999999E-3</c:v>
                </c:pt>
                <c:pt idx="32">
                  <c:v>2.7E-4</c:v>
                </c:pt>
                <c:pt idx="33">
                  <c:v>1.4599999999999999E-3</c:v>
                </c:pt>
                <c:pt idx="34">
                  <c:v>-6.3600000000000002E-3</c:v>
                </c:pt>
                <c:pt idx="35">
                  <c:v>3.2259999999999997E-2</c:v>
                </c:pt>
                <c:pt idx="36">
                  <c:v>-6.6300000000000005E-3</c:v>
                </c:pt>
                <c:pt idx="37">
                  <c:v>-1.0880000000000001E-2</c:v>
                </c:pt>
                <c:pt idx="38">
                  <c:v>-6.5100000000000002E-3</c:v>
                </c:pt>
                <c:pt idx="39">
                  <c:v>4.2100000000000002E-3</c:v>
                </c:pt>
                <c:pt idx="40">
                  <c:v>1.329E-2</c:v>
                </c:pt>
                <c:pt idx="41">
                  <c:v>1.23E-2</c:v>
                </c:pt>
                <c:pt idx="42">
                  <c:v>-7.8799999999999999E-3</c:v>
                </c:pt>
                <c:pt idx="43">
                  <c:v>-5.5700000000000003E-3</c:v>
                </c:pt>
                <c:pt idx="44">
                  <c:v>-7.6899999999999998E-3</c:v>
                </c:pt>
                <c:pt idx="45">
                  <c:v>-2.5999999999999999E-3</c:v>
                </c:pt>
                <c:pt idx="46">
                  <c:v>-7.1500000000000001E-3</c:v>
                </c:pt>
                <c:pt idx="47">
                  <c:v>-7.5700000000000003E-3</c:v>
                </c:pt>
                <c:pt idx="48">
                  <c:v>3.1989999999999998E-2</c:v>
                </c:pt>
                <c:pt idx="49">
                  <c:v>-6.2100000000000002E-3</c:v>
                </c:pt>
                <c:pt idx="50">
                  <c:v>-6.0999999999999995E-3</c:v>
                </c:pt>
                <c:pt idx="51">
                  <c:v>-5.7499999999999999E-3</c:v>
                </c:pt>
                <c:pt idx="52">
                  <c:v>-4.0899999999999999E-3</c:v>
                </c:pt>
                <c:pt idx="53">
                  <c:v>-8.0300000000000007E-3</c:v>
                </c:pt>
                <c:pt idx="54">
                  <c:v>9.41E-3</c:v>
                </c:pt>
                <c:pt idx="55">
                  <c:v>1.3509999999999999E-2</c:v>
                </c:pt>
                <c:pt idx="56">
                  <c:v>-3.2400000000000003E-3</c:v>
                </c:pt>
                <c:pt idx="57">
                  <c:v>3.184E-2</c:v>
                </c:pt>
                <c:pt idx="58">
                  <c:v>-5.8499999999999993E-3</c:v>
                </c:pt>
                <c:pt idx="59">
                  <c:v>-5.7099999999999998E-3</c:v>
                </c:pt>
                <c:pt idx="60">
                  <c:v>1.3509999999999999E-2</c:v>
                </c:pt>
                <c:pt idx="61">
                  <c:v>-7.6500000000000005E-3</c:v>
                </c:pt>
                <c:pt idx="62">
                  <c:v>-9.92E-3</c:v>
                </c:pt>
                <c:pt idx="63">
                  <c:v>1.6120000000000002E-2</c:v>
                </c:pt>
                <c:pt idx="64">
                  <c:v>-3.9900000000000005E-3</c:v>
                </c:pt>
                <c:pt idx="65">
                  <c:v>-3.2200000000000002E-3</c:v>
                </c:pt>
                <c:pt idx="66">
                  <c:v>-6.11E-3</c:v>
                </c:pt>
                <c:pt idx="67">
                  <c:v>1.468E-2</c:v>
                </c:pt>
                <c:pt idx="68">
                  <c:v>2.2300000000000002E-3</c:v>
                </c:pt>
                <c:pt idx="69">
                  <c:v>-7.4799999999999997E-3</c:v>
                </c:pt>
                <c:pt idx="70">
                  <c:v>-5.5800000000000008E-3</c:v>
                </c:pt>
                <c:pt idx="71">
                  <c:v>3.8089999999999999E-2</c:v>
                </c:pt>
                <c:pt idx="72">
                  <c:v>-4.3999999999999996E-4</c:v>
                </c:pt>
                <c:pt idx="73">
                  <c:v>2.7999999999999997E-2</c:v>
                </c:pt>
                <c:pt idx="74">
                  <c:v>-5.8799999999999998E-3</c:v>
                </c:pt>
                <c:pt idx="75">
                  <c:v>5.13E-3</c:v>
                </c:pt>
                <c:pt idx="76">
                  <c:v>-6.3000000000000003E-4</c:v>
                </c:pt>
                <c:pt idx="77">
                  <c:v>2.4900000000000002E-2</c:v>
                </c:pt>
                <c:pt idx="78">
                  <c:v>-3.4000000000000002E-3</c:v>
                </c:pt>
                <c:pt idx="79">
                  <c:v>-4.7399999999999994E-3</c:v>
                </c:pt>
                <c:pt idx="80">
                  <c:v>-3.31E-3</c:v>
                </c:pt>
                <c:pt idx="81">
                  <c:v>-1.1979999999999999E-2</c:v>
                </c:pt>
                <c:pt idx="82">
                  <c:v>-7.92E-3</c:v>
                </c:pt>
                <c:pt idx="83">
                  <c:v>2.6099999999999999E-3</c:v>
                </c:pt>
                <c:pt idx="84">
                  <c:v>0</c:v>
                </c:pt>
                <c:pt idx="85">
                  <c:v>-6.3299999999999997E-3</c:v>
                </c:pt>
                <c:pt idx="86">
                  <c:v>-9.8300000000000002E-3</c:v>
                </c:pt>
                <c:pt idx="87">
                  <c:v>-6.6400000000000001E-3</c:v>
                </c:pt>
                <c:pt idx="88">
                  <c:v>-3.6600000000000001E-3</c:v>
                </c:pt>
                <c:pt idx="89">
                  <c:v>-6.0699999999999999E-3</c:v>
                </c:pt>
                <c:pt idx="90">
                  <c:v>1.2230000000000001E-2</c:v>
                </c:pt>
                <c:pt idx="91">
                  <c:v>1.8E-3</c:v>
                </c:pt>
                <c:pt idx="92">
                  <c:v>2.99E-3</c:v>
                </c:pt>
                <c:pt idx="93">
                  <c:v>-9.0200000000000002E-3</c:v>
                </c:pt>
                <c:pt idx="94">
                  <c:v>1.8589999999999999E-2</c:v>
                </c:pt>
                <c:pt idx="95">
                  <c:v>1.49E-2</c:v>
                </c:pt>
                <c:pt idx="96">
                  <c:v>2.8100000000000004E-3</c:v>
                </c:pt>
                <c:pt idx="97">
                  <c:v>1.1559999999999999E-2</c:v>
                </c:pt>
                <c:pt idx="98">
                  <c:v>-2.8199999999999996E-3</c:v>
                </c:pt>
                <c:pt idx="99">
                  <c:v>-6.1900000000000002E-3</c:v>
                </c:pt>
                <c:pt idx="100">
                  <c:v>-5.6799999999999993E-3</c:v>
                </c:pt>
                <c:pt idx="101">
                  <c:v>2.99E-3</c:v>
                </c:pt>
                <c:pt idx="102">
                  <c:v>-5.0499999999999998E-3</c:v>
                </c:pt>
                <c:pt idx="103">
                  <c:v>-5.4000000000000001E-4</c:v>
                </c:pt>
                <c:pt idx="104">
                  <c:v>-5.0000000000000001E-3</c:v>
                </c:pt>
                <c:pt idx="105">
                  <c:v>2.5200000000000001E-3</c:v>
                </c:pt>
                <c:pt idx="106">
                  <c:v>2.3140000000000001E-2</c:v>
                </c:pt>
                <c:pt idx="107">
                  <c:v>8.8299999999999993E-3</c:v>
                </c:pt>
                <c:pt idx="108">
                  <c:v>2.9049999999999999E-2</c:v>
                </c:pt>
                <c:pt idx="109">
                  <c:v>0</c:v>
                </c:pt>
                <c:pt idx="110">
                  <c:v>-2.8599999999999997E-3</c:v>
                </c:pt>
                <c:pt idx="111">
                  <c:v>-1.5100000000000001E-3</c:v>
                </c:pt>
                <c:pt idx="112">
                  <c:v>-3.5000000000000005E-4</c:v>
                </c:pt>
                <c:pt idx="113">
                  <c:v>9.4799999999999988E-3</c:v>
                </c:pt>
                <c:pt idx="114">
                  <c:v>-3.3700000000000002E-3</c:v>
                </c:pt>
                <c:pt idx="115">
                  <c:v>-4.0699999999999998E-3</c:v>
                </c:pt>
                <c:pt idx="116">
                  <c:v>2.1000000000000001E-4</c:v>
                </c:pt>
                <c:pt idx="117">
                  <c:v>-3.29E-3</c:v>
                </c:pt>
                <c:pt idx="118">
                  <c:v>2.2509999999999999E-2</c:v>
                </c:pt>
                <c:pt idx="119">
                  <c:v>-4.3099999999999996E-3</c:v>
                </c:pt>
                <c:pt idx="120">
                  <c:v>2.4700000000000003E-2</c:v>
                </c:pt>
                <c:pt idx="121">
                  <c:v>-1.48E-3</c:v>
                </c:pt>
                <c:pt idx="122">
                  <c:v>1.2370000000000001E-2</c:v>
                </c:pt>
                <c:pt idx="123">
                  <c:v>8.9999999999999998E-4</c:v>
                </c:pt>
                <c:pt idx="124">
                  <c:v>-1.16E-3</c:v>
                </c:pt>
                <c:pt idx="125">
                  <c:v>2.2400000000000002E-3</c:v>
                </c:pt>
                <c:pt idx="126">
                  <c:v>5.0000000000000002E-5</c:v>
                </c:pt>
                <c:pt idx="127">
                  <c:v>8.3999999999999995E-3</c:v>
                </c:pt>
                <c:pt idx="128">
                  <c:v>2.7E-4</c:v>
                </c:pt>
                <c:pt idx="129">
                  <c:v>3.1700000000000001E-3</c:v>
                </c:pt>
                <c:pt idx="130">
                  <c:v>2.6629999999999997E-2</c:v>
                </c:pt>
                <c:pt idx="131">
                  <c:v>-3.5199999999999997E-3</c:v>
                </c:pt>
                <c:pt idx="132">
                  <c:v>-4.0999999999999995E-3</c:v>
                </c:pt>
                <c:pt idx="133">
                  <c:v>4.8999999999999998E-3</c:v>
                </c:pt>
                <c:pt idx="134">
                  <c:v>1.34E-3</c:v>
                </c:pt>
                <c:pt idx="135">
                  <c:v>3.619E-2</c:v>
                </c:pt>
                <c:pt idx="136">
                  <c:v>3.7559999999999996E-2</c:v>
                </c:pt>
                <c:pt idx="137">
                  <c:v>5.3300000000000005E-3</c:v>
                </c:pt>
                <c:pt idx="138">
                  <c:v>5.2999999999999998E-4</c:v>
                </c:pt>
                <c:pt idx="139">
                  <c:v>8.699999999999999E-4</c:v>
                </c:pt>
                <c:pt idx="140">
                  <c:v>2.8229999999999998E-2</c:v>
                </c:pt>
                <c:pt idx="141">
                  <c:v>1.447E-2</c:v>
                </c:pt>
                <c:pt idx="142">
                  <c:v>1.5780000000000002E-2</c:v>
                </c:pt>
                <c:pt idx="143">
                  <c:v>5.6000000000000006E-4</c:v>
                </c:pt>
                <c:pt idx="144">
                  <c:v>-1.1299999999999999E-3</c:v>
                </c:pt>
                <c:pt idx="145">
                  <c:v>3.3319999999999995E-2</c:v>
                </c:pt>
                <c:pt idx="146">
                  <c:v>2.8599999999999997E-3</c:v>
                </c:pt>
                <c:pt idx="147">
                  <c:v>-1.92E-3</c:v>
                </c:pt>
                <c:pt idx="148">
                  <c:v>1.7520000000000001E-2</c:v>
                </c:pt>
                <c:pt idx="149">
                  <c:v>1.538E-2</c:v>
                </c:pt>
                <c:pt idx="150">
                  <c:v>6.6700000000000006E-3</c:v>
                </c:pt>
                <c:pt idx="151">
                  <c:v>1.91E-3</c:v>
                </c:pt>
                <c:pt idx="152">
                  <c:v>1.362E-2</c:v>
                </c:pt>
                <c:pt idx="153">
                  <c:v>5.7199999999999994E-3</c:v>
                </c:pt>
                <c:pt idx="154">
                  <c:v>5.5200000000000006E-3</c:v>
                </c:pt>
                <c:pt idx="155">
                  <c:v>6.5599999999999999E-3</c:v>
                </c:pt>
                <c:pt idx="156">
                  <c:v>2.5600000000000002E-3</c:v>
                </c:pt>
                <c:pt idx="157">
                  <c:v>-8.1000000000000006E-4</c:v>
                </c:pt>
                <c:pt idx="158">
                  <c:v>6.8100000000000001E-3</c:v>
                </c:pt>
                <c:pt idx="159">
                  <c:v>2.5999999999999999E-3</c:v>
                </c:pt>
                <c:pt idx="160">
                  <c:v>7.3200000000000001E-3</c:v>
                </c:pt>
                <c:pt idx="161">
                  <c:v>-1.47E-3</c:v>
                </c:pt>
                <c:pt idx="162">
                  <c:v>2.7300000000000002E-3</c:v>
                </c:pt>
                <c:pt idx="163">
                  <c:v>5.756E-2</c:v>
                </c:pt>
                <c:pt idx="164">
                  <c:v>2.4099999999999998E-3</c:v>
                </c:pt>
                <c:pt idx="165">
                  <c:v>2.0000000000000001E-4</c:v>
                </c:pt>
                <c:pt idx="166">
                  <c:v>2.2300000000000002E-3</c:v>
                </c:pt>
                <c:pt idx="167">
                  <c:v>1.328E-2</c:v>
                </c:pt>
                <c:pt idx="168">
                  <c:v>6.2E-4</c:v>
                </c:pt>
                <c:pt idx="169">
                  <c:v>7.1699999999999993E-3</c:v>
                </c:pt>
                <c:pt idx="170">
                  <c:v>-5.3500000000000006E-3</c:v>
                </c:pt>
                <c:pt idx="171">
                  <c:v>3.5049999999999998E-2</c:v>
                </c:pt>
                <c:pt idx="172">
                  <c:v>8.3000000000000001E-3</c:v>
                </c:pt>
                <c:pt idx="173">
                  <c:v>2.4550000000000002E-2</c:v>
                </c:pt>
                <c:pt idx="174">
                  <c:v>5.1200000000000004E-3</c:v>
                </c:pt>
                <c:pt idx="175">
                  <c:v>5.1279999999999999E-2</c:v>
                </c:pt>
                <c:pt idx="176">
                  <c:v>5.9459999999999999E-2</c:v>
                </c:pt>
                <c:pt idx="177">
                  <c:v>-5.0000000000000001E-4</c:v>
                </c:pt>
                <c:pt idx="178">
                  <c:v>4.5199999999999997E-3</c:v>
                </c:pt>
                <c:pt idx="179">
                  <c:v>5.7599999999999995E-3</c:v>
                </c:pt>
                <c:pt idx="180">
                  <c:v>1.4610000000000001E-2</c:v>
                </c:pt>
                <c:pt idx="181">
                  <c:v>-1.9E-3</c:v>
                </c:pt>
                <c:pt idx="182">
                  <c:v>3.9500000000000004E-3</c:v>
                </c:pt>
                <c:pt idx="183">
                  <c:v>7.9000000000000008E-3</c:v>
                </c:pt>
                <c:pt idx="184">
                  <c:v>3.7499999999999999E-3</c:v>
                </c:pt>
                <c:pt idx="185">
                  <c:v>5.4000000000000003E-3</c:v>
                </c:pt>
                <c:pt idx="186">
                  <c:v>6.8500000000000002E-3</c:v>
                </c:pt>
                <c:pt idx="187">
                  <c:v>4.6609999999999999E-2</c:v>
                </c:pt>
                <c:pt idx="188">
                  <c:v>1.5469999999999999E-2</c:v>
                </c:pt>
                <c:pt idx="189">
                  <c:v>1.2410000000000001E-2</c:v>
                </c:pt>
                <c:pt idx="190">
                  <c:v>1.14E-3</c:v>
                </c:pt>
                <c:pt idx="191">
                  <c:v>3.1900000000000001E-3</c:v>
                </c:pt>
                <c:pt idx="192">
                  <c:v>-7.9000000000000001E-4</c:v>
                </c:pt>
                <c:pt idx="193">
                  <c:v>3.81E-3</c:v>
                </c:pt>
                <c:pt idx="194">
                  <c:v>2.1299999999999999E-2</c:v>
                </c:pt>
                <c:pt idx="195">
                  <c:v>4.6879999999999998E-2</c:v>
                </c:pt>
                <c:pt idx="196">
                  <c:v>4.7169999999999997E-2</c:v>
                </c:pt>
                <c:pt idx="197">
                  <c:v>2.239E-2</c:v>
                </c:pt>
                <c:pt idx="198">
                  <c:v>3.2419999999999997E-2</c:v>
                </c:pt>
                <c:pt idx="199">
                  <c:v>7.1599999999999997E-3</c:v>
                </c:pt>
                <c:pt idx="200">
                  <c:v>3.049E-2</c:v>
                </c:pt>
                <c:pt idx="201">
                  <c:v>2.1349999999999997E-2</c:v>
                </c:pt>
                <c:pt idx="202">
                  <c:v>3.0769999999999999E-2</c:v>
                </c:pt>
                <c:pt idx="203">
                  <c:v>1.4879999999999999E-2</c:v>
                </c:pt>
                <c:pt idx="204">
                  <c:v>9.3500000000000007E-3</c:v>
                </c:pt>
                <c:pt idx="205">
                  <c:v>4.6509999999999996E-2</c:v>
                </c:pt>
                <c:pt idx="206">
                  <c:v>6.11E-3</c:v>
                </c:pt>
                <c:pt idx="207">
                  <c:v>4.1369999999999997E-2</c:v>
                </c:pt>
                <c:pt idx="208">
                  <c:v>2.6230000000000003E-2</c:v>
                </c:pt>
                <c:pt idx="209">
                  <c:v>2.8830000000000001E-2</c:v>
                </c:pt>
                <c:pt idx="210">
                  <c:v>2.886E-2</c:v>
                </c:pt>
                <c:pt idx="211">
                  <c:v>2.427E-2</c:v>
                </c:pt>
                <c:pt idx="212">
                  <c:v>2.9239999999999999E-2</c:v>
                </c:pt>
                <c:pt idx="213">
                  <c:v>2.4809999999999999E-2</c:v>
                </c:pt>
                <c:pt idx="214">
                  <c:v>5.1200000000000004E-3</c:v>
                </c:pt>
                <c:pt idx="215">
                  <c:v>4.5599999999999998E-3</c:v>
                </c:pt>
                <c:pt idx="216">
                  <c:v>1.6129999999999999E-2</c:v>
                </c:pt>
                <c:pt idx="217">
                  <c:v>1.179E-2</c:v>
                </c:pt>
                <c:pt idx="218">
                  <c:v>4.3699999999999998E-3</c:v>
                </c:pt>
                <c:pt idx="219">
                  <c:v>3.0619999999999998E-2</c:v>
                </c:pt>
                <c:pt idx="220">
                  <c:v>2.8910000000000002E-2</c:v>
                </c:pt>
                <c:pt idx="221">
                  <c:v>3.039E-2</c:v>
                </c:pt>
                <c:pt idx="222">
                  <c:v>2.5779999999999997E-2</c:v>
                </c:pt>
                <c:pt idx="223">
                  <c:v>1.8550000000000001E-2</c:v>
                </c:pt>
                <c:pt idx="224">
                  <c:v>5.0000000000000001E-4</c:v>
                </c:pt>
                <c:pt idx="225">
                  <c:v>7.8399999999999997E-3</c:v>
                </c:pt>
                <c:pt idx="226">
                  <c:v>9.2500000000000013E-3</c:v>
                </c:pt>
                <c:pt idx="227">
                  <c:v>1.069E-2</c:v>
                </c:pt>
                <c:pt idx="228">
                  <c:v>5.219E-2</c:v>
                </c:pt>
                <c:pt idx="229">
                  <c:v>3.2440000000000004E-2</c:v>
                </c:pt>
                <c:pt idx="230">
                  <c:v>4.1799999999999997E-3</c:v>
                </c:pt>
                <c:pt idx="231">
                  <c:v>2.128E-2</c:v>
                </c:pt>
                <c:pt idx="232">
                  <c:v>2.5000000000000001E-3</c:v>
                </c:pt>
                <c:pt idx="233">
                  <c:v>1.3169999999999999E-2</c:v>
                </c:pt>
                <c:pt idx="234">
                  <c:v>5.0549999999999998E-2</c:v>
                </c:pt>
                <c:pt idx="235">
                  <c:v>3.6209999999999999E-2</c:v>
                </c:pt>
                <c:pt idx="236">
                  <c:v>5.3E-3</c:v>
                </c:pt>
                <c:pt idx="237">
                  <c:v>9.7199999999999995E-3</c:v>
                </c:pt>
                <c:pt idx="238">
                  <c:v>1.9279999999999999E-2</c:v>
                </c:pt>
                <c:pt idx="239">
                  <c:v>9.4199999999999996E-3</c:v>
                </c:pt>
                <c:pt idx="240">
                  <c:v>3.4959999999999998E-2</c:v>
                </c:pt>
                <c:pt idx="241">
                  <c:v>1.5399999999999999E-3</c:v>
                </c:pt>
                <c:pt idx="242">
                  <c:v>6.5000000000000006E-3</c:v>
                </c:pt>
                <c:pt idx="243">
                  <c:v>1.5E-3</c:v>
                </c:pt>
                <c:pt idx="244">
                  <c:v>3.0399999999999997E-3</c:v>
                </c:pt>
                <c:pt idx="245">
                  <c:v>3.6859999999999997E-2</c:v>
                </c:pt>
                <c:pt idx="246">
                  <c:v>5.4690000000000003E-2</c:v>
                </c:pt>
                <c:pt idx="247">
                  <c:v>1.26E-2</c:v>
                </c:pt>
                <c:pt idx="248">
                  <c:v>2.4590000000000001E-2</c:v>
                </c:pt>
                <c:pt idx="249">
                  <c:v>5.9950000000000003E-2</c:v>
                </c:pt>
                <c:pt idx="250">
                  <c:v>9.0399999999999994E-3</c:v>
                </c:pt>
                <c:pt idx="251">
                  <c:v>7.5500000000000003E-3</c:v>
                </c:pt>
                <c:pt idx="252">
                  <c:v>1.332E-2</c:v>
                </c:pt>
                <c:pt idx="253">
                  <c:v>2.7700000000000003E-3</c:v>
                </c:pt>
                <c:pt idx="254">
                  <c:v>5.8699999999999994E-3</c:v>
                </c:pt>
                <c:pt idx="255">
                  <c:v>4.1399999999999999E-2</c:v>
                </c:pt>
                <c:pt idx="256">
                  <c:v>3.9199999999999999E-3</c:v>
                </c:pt>
                <c:pt idx="257">
                  <c:v>1.2450000000000001E-2</c:v>
                </c:pt>
                <c:pt idx="258">
                  <c:v>4.1980000000000003E-2</c:v>
                </c:pt>
                <c:pt idx="259">
                  <c:v>6.2599999999999999E-3</c:v>
                </c:pt>
                <c:pt idx="260">
                  <c:v>6.28E-3</c:v>
                </c:pt>
                <c:pt idx="261">
                  <c:v>8.26E-3</c:v>
                </c:pt>
                <c:pt idx="262">
                  <c:v>4.6900000000000004E-2</c:v>
                </c:pt>
                <c:pt idx="263">
                  <c:v>1.163E-2</c:v>
                </c:pt>
                <c:pt idx="264">
                  <c:v>5.8720000000000001E-2</c:v>
                </c:pt>
                <c:pt idx="265">
                  <c:v>9.5599999999999991E-3</c:v>
                </c:pt>
                <c:pt idx="266">
                  <c:v>7.3299999999999997E-3</c:v>
                </c:pt>
                <c:pt idx="267">
                  <c:v>4.2880000000000001E-2</c:v>
                </c:pt>
                <c:pt idx="268">
                  <c:v>1.8500000000000003E-2</c:v>
                </c:pt>
                <c:pt idx="269">
                  <c:v>7.3400000000000002E-3</c:v>
                </c:pt>
                <c:pt idx="270">
                  <c:v>3.4869999999999998E-2</c:v>
                </c:pt>
                <c:pt idx="271">
                  <c:v>2.6610000000000002E-2</c:v>
                </c:pt>
                <c:pt idx="272">
                  <c:v>3.9039999999999998E-2</c:v>
                </c:pt>
                <c:pt idx="273">
                  <c:v>4.5720000000000004E-2</c:v>
                </c:pt>
                <c:pt idx="274">
                  <c:v>6.0650000000000003E-2</c:v>
                </c:pt>
                <c:pt idx="275">
                  <c:v>3.024E-2</c:v>
                </c:pt>
                <c:pt idx="276">
                  <c:v>6.8400000000000006E-3</c:v>
                </c:pt>
                <c:pt idx="277">
                  <c:v>3.6900000000000001E-3</c:v>
                </c:pt>
                <c:pt idx="278">
                  <c:v>4.1479999999999996E-2</c:v>
                </c:pt>
                <c:pt idx="279">
                  <c:v>4.8579999999999998E-2</c:v>
                </c:pt>
                <c:pt idx="280">
                  <c:v>3.628E-2</c:v>
                </c:pt>
                <c:pt idx="281">
                  <c:v>3.6240000000000001E-2</c:v>
                </c:pt>
                <c:pt idx="282">
                  <c:v>3.5499999999999997E-2</c:v>
                </c:pt>
                <c:pt idx="283">
                  <c:v>1.695E-2</c:v>
                </c:pt>
                <c:pt idx="284">
                  <c:v>2.1840000000000002E-2</c:v>
                </c:pt>
                <c:pt idx="285">
                  <c:v>9.2600000000000009E-3</c:v>
                </c:pt>
                <c:pt idx="286">
                  <c:v>2.504E-2</c:v>
                </c:pt>
                <c:pt idx="287">
                  <c:v>4.8730000000000002E-2</c:v>
                </c:pt>
                <c:pt idx="288">
                  <c:v>3.0830000000000003E-2</c:v>
                </c:pt>
                <c:pt idx="289">
                  <c:v>3.4300000000000004E-2</c:v>
                </c:pt>
                <c:pt idx="290">
                  <c:v>2.1949999999999997E-2</c:v>
                </c:pt>
                <c:pt idx="291">
                  <c:v>3.6459999999999999E-2</c:v>
                </c:pt>
                <c:pt idx="292">
                  <c:v>3.1789999999999999E-2</c:v>
                </c:pt>
                <c:pt idx="293">
                  <c:v>3.0350000000000002E-2</c:v>
                </c:pt>
                <c:pt idx="294">
                  <c:v>3.252E-2</c:v>
                </c:pt>
                <c:pt idx="295">
                  <c:v>5.3540000000000004E-2</c:v>
                </c:pt>
                <c:pt idx="296">
                  <c:v>2.3730000000000001E-2</c:v>
                </c:pt>
                <c:pt idx="297">
                  <c:v>4.5929999999999999E-2</c:v>
                </c:pt>
                <c:pt idx="298">
                  <c:v>5.824E-2</c:v>
                </c:pt>
                <c:pt idx="299">
                  <c:v>3.9120000000000002E-2</c:v>
                </c:pt>
                <c:pt idx="300">
                  <c:v>8.6099999999999996E-3</c:v>
                </c:pt>
                <c:pt idx="301">
                  <c:v>6.6689999999999999E-2</c:v>
                </c:pt>
                <c:pt idx="302">
                  <c:v>5.7160000000000002E-2</c:v>
                </c:pt>
                <c:pt idx="303">
                  <c:v>1.0629999999999999E-2</c:v>
                </c:pt>
                <c:pt idx="304">
                  <c:v>1.328E-2</c:v>
                </c:pt>
                <c:pt idx="305">
                  <c:v>2.3799999999999998E-2</c:v>
                </c:pt>
                <c:pt idx="306">
                  <c:v>2.2530000000000001E-2</c:v>
                </c:pt>
                <c:pt idx="307">
                  <c:v>4.8230000000000002E-2</c:v>
                </c:pt>
                <c:pt idx="308">
                  <c:v>8.8800000000000007E-3</c:v>
                </c:pt>
                <c:pt idx="309">
                  <c:v>1.1240000000000002E-2</c:v>
                </c:pt>
                <c:pt idx="310">
                  <c:v>9.0500000000000008E-3</c:v>
                </c:pt>
                <c:pt idx="311">
                  <c:v>1.248E-2</c:v>
                </c:pt>
                <c:pt idx="312">
                  <c:v>1.8069999999999999E-2</c:v>
                </c:pt>
                <c:pt idx="313">
                  <c:v>2.4279999999999999E-2</c:v>
                </c:pt>
                <c:pt idx="314">
                  <c:v>1.4990000000000002E-2</c:v>
                </c:pt>
                <c:pt idx="315">
                  <c:v>4.8129999999999999E-2</c:v>
                </c:pt>
                <c:pt idx="316">
                  <c:v>5.8090000000000003E-2</c:v>
                </c:pt>
                <c:pt idx="317">
                  <c:v>4.9960000000000004E-2</c:v>
                </c:pt>
                <c:pt idx="318">
                  <c:v>1.4839999999999999E-2</c:v>
                </c:pt>
                <c:pt idx="319">
                  <c:v>3.2370000000000003E-2</c:v>
                </c:pt>
                <c:pt idx="320">
                  <c:v>1.6570000000000001E-2</c:v>
                </c:pt>
                <c:pt idx="321">
                  <c:v>3.5470000000000002E-2</c:v>
                </c:pt>
                <c:pt idx="322">
                  <c:v>6.9999999999999993E-3</c:v>
                </c:pt>
                <c:pt idx="323">
                  <c:v>3.0120000000000001E-2</c:v>
                </c:pt>
                <c:pt idx="324">
                  <c:v>1.3089999999999999E-2</c:v>
                </c:pt>
                <c:pt idx="325">
                  <c:v>1.5709999999999998E-2</c:v>
                </c:pt>
                <c:pt idx="326">
                  <c:v>2.7980000000000001E-2</c:v>
                </c:pt>
                <c:pt idx="327">
                  <c:v>1.0549999999999999E-2</c:v>
                </c:pt>
                <c:pt idx="328">
                  <c:v>8.7600000000000004E-3</c:v>
                </c:pt>
                <c:pt idx="329">
                  <c:v>2.598E-2</c:v>
                </c:pt>
                <c:pt idx="330">
                  <c:v>6.123E-2</c:v>
                </c:pt>
                <c:pt idx="331">
                  <c:v>1.3680000000000001E-2</c:v>
                </c:pt>
                <c:pt idx="332">
                  <c:v>7.92E-3</c:v>
                </c:pt>
                <c:pt idx="333">
                  <c:v>6.2649999999999997E-2</c:v>
                </c:pt>
                <c:pt idx="334">
                  <c:v>3.6749999999999998E-2</c:v>
                </c:pt>
                <c:pt idx="335">
                  <c:v>2.2170000000000002E-2</c:v>
                </c:pt>
                <c:pt idx="336">
                  <c:v>3.644E-2</c:v>
                </c:pt>
                <c:pt idx="337">
                  <c:v>2.8420000000000001E-2</c:v>
                </c:pt>
                <c:pt idx="338">
                  <c:v>9.1800000000000007E-3</c:v>
                </c:pt>
                <c:pt idx="339">
                  <c:v>4.2809999999999994E-2</c:v>
                </c:pt>
                <c:pt idx="340">
                  <c:v>3.3489999999999999E-2</c:v>
                </c:pt>
                <c:pt idx="341">
                  <c:v>8.5100000000000002E-3</c:v>
                </c:pt>
                <c:pt idx="342">
                  <c:v>4.8250000000000001E-2</c:v>
                </c:pt>
                <c:pt idx="343">
                  <c:v>1.333E-2</c:v>
                </c:pt>
                <c:pt idx="344">
                  <c:v>5.9899999999999997E-3</c:v>
                </c:pt>
                <c:pt idx="345">
                  <c:v>4.632E-2</c:v>
                </c:pt>
                <c:pt idx="346">
                  <c:v>9.300000000000001E-3</c:v>
                </c:pt>
                <c:pt idx="347">
                  <c:v>5.058E-2</c:v>
                </c:pt>
                <c:pt idx="348">
                  <c:v>4.1200000000000001E-2</c:v>
                </c:pt>
                <c:pt idx="349">
                  <c:v>1.452E-2</c:v>
                </c:pt>
                <c:pt idx="350">
                  <c:v>9.7699999999999992E-3</c:v>
                </c:pt>
                <c:pt idx="351">
                  <c:v>1.4070000000000001E-2</c:v>
                </c:pt>
                <c:pt idx="352">
                  <c:v>1.1810000000000001E-2</c:v>
                </c:pt>
                <c:pt idx="353">
                  <c:v>1.5859999999999999E-2</c:v>
                </c:pt>
                <c:pt idx="354">
                  <c:v>1.4410000000000001E-2</c:v>
                </c:pt>
                <c:pt idx="355">
                  <c:v>1.4930000000000001E-2</c:v>
                </c:pt>
                <c:pt idx="356">
                  <c:v>5.0709999999999998E-2</c:v>
                </c:pt>
                <c:pt idx="357">
                  <c:v>1.265E-2</c:v>
                </c:pt>
                <c:pt idx="358">
                  <c:v>3.3680000000000002E-2</c:v>
                </c:pt>
                <c:pt idx="359">
                  <c:v>3.3460000000000004E-2</c:v>
                </c:pt>
                <c:pt idx="360">
                  <c:v>8.4200000000000004E-3</c:v>
                </c:pt>
                <c:pt idx="361">
                  <c:v>2.2160000000000003E-2</c:v>
                </c:pt>
                <c:pt idx="362">
                  <c:v>2.7210000000000002E-2</c:v>
                </c:pt>
                <c:pt idx="363">
                  <c:v>1.3680000000000001E-2</c:v>
                </c:pt>
                <c:pt idx="364">
                  <c:v>8.4399999999999996E-3</c:v>
                </c:pt>
                <c:pt idx="365">
                  <c:v>6.0650000000000003E-2</c:v>
                </c:pt>
                <c:pt idx="366">
                  <c:v>1.217E-2</c:v>
                </c:pt>
                <c:pt idx="367">
                  <c:v>8.0300000000000007E-3</c:v>
                </c:pt>
                <c:pt idx="368">
                  <c:v>1.295E-2</c:v>
                </c:pt>
                <c:pt idx="369">
                  <c:v>1.0509999999999999E-2</c:v>
                </c:pt>
                <c:pt idx="370">
                  <c:v>1.5560000000000001E-2</c:v>
                </c:pt>
                <c:pt idx="371">
                  <c:v>6.3659999999999994E-2</c:v>
                </c:pt>
                <c:pt idx="372">
                  <c:v>1.4919999999999999E-2</c:v>
                </c:pt>
                <c:pt idx="373">
                  <c:v>1.2509999999999999E-2</c:v>
                </c:pt>
                <c:pt idx="374">
                  <c:v>5.2859999999999997E-2</c:v>
                </c:pt>
                <c:pt idx="375">
                  <c:v>7.3760000000000006E-2</c:v>
                </c:pt>
                <c:pt idx="376">
                  <c:v>3.2549999999999996E-2</c:v>
                </c:pt>
                <c:pt idx="377">
                  <c:v>2.7309999999999997E-2</c:v>
                </c:pt>
                <c:pt idx="378">
                  <c:v>3.7280000000000001E-2</c:v>
                </c:pt>
                <c:pt idx="379">
                  <c:v>7.1109999999999993E-2</c:v>
                </c:pt>
                <c:pt idx="380">
                  <c:v>1.1399999999999999E-2</c:v>
                </c:pt>
                <c:pt idx="381">
                  <c:v>7.9600000000000001E-3</c:v>
                </c:pt>
                <c:pt idx="382">
                  <c:v>1.2869999999999999E-2</c:v>
                </c:pt>
                <c:pt idx="383">
                  <c:v>1.6379999999999999E-2</c:v>
                </c:pt>
                <c:pt idx="384">
                  <c:v>1.3779999999999999E-2</c:v>
                </c:pt>
                <c:pt idx="385">
                  <c:v>1.7610000000000001E-2</c:v>
                </c:pt>
                <c:pt idx="386">
                  <c:v>2.7869999999999999E-2</c:v>
                </c:pt>
                <c:pt idx="387">
                  <c:v>2.145E-2</c:v>
                </c:pt>
                <c:pt idx="388">
                  <c:v>8.6899999999999998E-3</c:v>
                </c:pt>
                <c:pt idx="389">
                  <c:v>2.1629999999999996E-2</c:v>
                </c:pt>
                <c:pt idx="390">
                  <c:v>1.452E-2</c:v>
                </c:pt>
                <c:pt idx="391">
                  <c:v>6.0149999999999995E-2</c:v>
                </c:pt>
                <c:pt idx="392">
                  <c:v>3.9009999999999996E-2</c:v>
                </c:pt>
                <c:pt idx="393">
                  <c:v>4.546E-2</c:v>
                </c:pt>
                <c:pt idx="394">
                  <c:v>1.6629999999999999E-2</c:v>
                </c:pt>
                <c:pt idx="395">
                  <c:v>6.0110000000000004E-2</c:v>
                </c:pt>
                <c:pt idx="396">
                  <c:v>5.0170000000000006E-2</c:v>
                </c:pt>
                <c:pt idx="397">
                  <c:v>1.0709999999999999E-2</c:v>
                </c:pt>
                <c:pt idx="398">
                  <c:v>6.5299999999999997E-2</c:v>
                </c:pt>
                <c:pt idx="399">
                  <c:v>1.268E-2</c:v>
                </c:pt>
                <c:pt idx="400">
                  <c:v>1.0240000000000001E-2</c:v>
                </c:pt>
                <c:pt idx="401">
                  <c:v>1.618E-2</c:v>
                </c:pt>
                <c:pt idx="402">
                  <c:v>6.8379999999999996E-2</c:v>
                </c:pt>
                <c:pt idx="403">
                  <c:v>1.3500000000000002E-2</c:v>
                </c:pt>
                <c:pt idx="404">
                  <c:v>1.695E-2</c:v>
                </c:pt>
                <c:pt idx="405">
                  <c:v>1.222E-2</c:v>
                </c:pt>
                <c:pt idx="406">
                  <c:v>4.0579999999999998E-2</c:v>
                </c:pt>
                <c:pt idx="407">
                  <c:v>1.0200000000000001E-2</c:v>
                </c:pt>
                <c:pt idx="408">
                  <c:v>1.302E-2</c:v>
                </c:pt>
                <c:pt idx="409">
                  <c:v>1.214E-2</c:v>
                </c:pt>
                <c:pt idx="410">
                  <c:v>1.3809999999999999E-2</c:v>
                </c:pt>
                <c:pt idx="411">
                  <c:v>2.1610000000000001E-2</c:v>
                </c:pt>
                <c:pt idx="412">
                  <c:v>2.2959999999999998E-2</c:v>
                </c:pt>
                <c:pt idx="413">
                  <c:v>2.5579999999999999E-2</c:v>
                </c:pt>
                <c:pt idx="414">
                  <c:v>5.28E-2</c:v>
                </c:pt>
                <c:pt idx="415">
                  <c:v>5.8139999999999997E-2</c:v>
                </c:pt>
                <c:pt idx="416">
                  <c:v>6.5500000000000003E-2</c:v>
                </c:pt>
                <c:pt idx="417">
                  <c:v>1.362E-2</c:v>
                </c:pt>
                <c:pt idx="418">
                  <c:v>1.1259999999999999E-2</c:v>
                </c:pt>
                <c:pt idx="419">
                  <c:v>1.1890000000000001E-2</c:v>
                </c:pt>
                <c:pt idx="420">
                  <c:v>2.0720000000000002E-2</c:v>
                </c:pt>
                <c:pt idx="421">
                  <c:v>6.7680000000000004E-2</c:v>
                </c:pt>
                <c:pt idx="422">
                  <c:v>3.1210000000000002E-2</c:v>
                </c:pt>
                <c:pt idx="423">
                  <c:v>2.6089999999999999E-2</c:v>
                </c:pt>
                <c:pt idx="424">
                  <c:v>1.5800000000000002E-2</c:v>
                </c:pt>
                <c:pt idx="425">
                  <c:v>1.2330000000000001E-2</c:v>
                </c:pt>
                <c:pt idx="426">
                  <c:v>4.5339999999999998E-2</c:v>
                </c:pt>
                <c:pt idx="427">
                  <c:v>1.1650000000000001E-2</c:v>
                </c:pt>
                <c:pt idx="428">
                  <c:v>2.666E-2</c:v>
                </c:pt>
                <c:pt idx="429">
                  <c:v>2.9990000000000003E-2</c:v>
                </c:pt>
                <c:pt idx="430">
                  <c:v>6.5540000000000001E-2</c:v>
                </c:pt>
                <c:pt idx="431">
                  <c:v>1.6590000000000001E-2</c:v>
                </c:pt>
                <c:pt idx="432">
                  <c:v>1.482E-2</c:v>
                </c:pt>
                <c:pt idx="433">
                  <c:v>3.4950000000000002E-2</c:v>
                </c:pt>
                <c:pt idx="434">
                  <c:v>1.6160000000000001E-2</c:v>
                </c:pt>
                <c:pt idx="435">
                  <c:v>5.4939999999999996E-2</c:v>
                </c:pt>
                <c:pt idx="436">
                  <c:v>6.1170000000000002E-2</c:v>
                </c:pt>
                <c:pt idx="437">
                  <c:v>1.7849999999999998E-2</c:v>
                </c:pt>
                <c:pt idx="438">
                  <c:v>1.685E-2</c:v>
                </c:pt>
                <c:pt idx="439">
                  <c:v>1.2920000000000001E-2</c:v>
                </c:pt>
                <c:pt idx="440">
                  <c:v>1.984E-2</c:v>
                </c:pt>
                <c:pt idx="441">
                  <c:v>2.3479999999999997E-2</c:v>
                </c:pt>
                <c:pt idx="442">
                  <c:v>4.9259999999999998E-2</c:v>
                </c:pt>
                <c:pt idx="443">
                  <c:v>1.091E-2</c:v>
                </c:pt>
                <c:pt idx="444">
                  <c:v>1.3260000000000001E-2</c:v>
                </c:pt>
                <c:pt idx="445">
                  <c:v>1.6709999999999999E-2</c:v>
                </c:pt>
                <c:pt idx="446">
                  <c:v>1.353E-2</c:v>
                </c:pt>
                <c:pt idx="447">
                  <c:v>6.1799999999999994E-2</c:v>
                </c:pt>
                <c:pt idx="448">
                  <c:v>1.2709999999999999E-2</c:v>
                </c:pt>
                <c:pt idx="449">
                  <c:v>5.4059999999999997E-2</c:v>
                </c:pt>
                <c:pt idx="450">
                  <c:v>3.9699999999999999E-2</c:v>
                </c:pt>
                <c:pt idx="451">
                  <c:v>3.2820000000000002E-2</c:v>
                </c:pt>
                <c:pt idx="452">
                  <c:v>2.2749999999999999E-2</c:v>
                </c:pt>
                <c:pt idx="453">
                  <c:v>3.542E-2</c:v>
                </c:pt>
                <c:pt idx="454">
                  <c:v>4.6679999999999999E-2</c:v>
                </c:pt>
                <c:pt idx="455">
                  <c:v>2.1869999999999997E-2</c:v>
                </c:pt>
                <c:pt idx="456">
                  <c:v>1.329E-2</c:v>
                </c:pt>
                <c:pt idx="457">
                  <c:v>1.8689999999999998E-2</c:v>
                </c:pt>
                <c:pt idx="458">
                  <c:v>2.1179999999999997E-2</c:v>
                </c:pt>
                <c:pt idx="459">
                  <c:v>1.149E-2</c:v>
                </c:pt>
                <c:pt idx="460">
                  <c:v>6.9739999999999996E-2</c:v>
                </c:pt>
                <c:pt idx="461">
                  <c:v>1.1220000000000001E-2</c:v>
                </c:pt>
                <c:pt idx="462">
                  <c:v>1.264E-2</c:v>
                </c:pt>
                <c:pt idx="463">
                  <c:v>1.762E-2</c:v>
                </c:pt>
                <c:pt idx="464">
                  <c:v>2.0910000000000002E-2</c:v>
                </c:pt>
                <c:pt idx="465">
                  <c:v>6.6420000000000007E-2</c:v>
                </c:pt>
                <c:pt idx="466">
                  <c:v>2.1160000000000002E-2</c:v>
                </c:pt>
                <c:pt idx="467">
                  <c:v>7.3859999999999995E-2</c:v>
                </c:pt>
                <c:pt idx="468">
                  <c:v>4.7779999999999996E-2</c:v>
                </c:pt>
                <c:pt idx="469">
                  <c:v>2.5219999999999999E-2</c:v>
                </c:pt>
                <c:pt idx="470">
                  <c:v>6.8080000000000002E-2</c:v>
                </c:pt>
                <c:pt idx="471">
                  <c:v>1.966E-2</c:v>
                </c:pt>
                <c:pt idx="472">
                  <c:v>3.4980000000000004E-2</c:v>
                </c:pt>
                <c:pt idx="473">
                  <c:v>2.5479999999999999E-2</c:v>
                </c:pt>
                <c:pt idx="474">
                  <c:v>3.9E-2</c:v>
                </c:pt>
                <c:pt idx="475">
                  <c:v>2.7370000000000002E-2</c:v>
                </c:pt>
                <c:pt idx="476">
                  <c:v>1.9640000000000001E-2</c:v>
                </c:pt>
                <c:pt idx="477">
                  <c:v>1.345E-2</c:v>
                </c:pt>
                <c:pt idx="478">
                  <c:v>3.8699999999999998E-2</c:v>
                </c:pt>
                <c:pt idx="479">
                  <c:v>5.9359999999999996E-2</c:v>
                </c:pt>
                <c:pt idx="480">
                  <c:v>5.74E-2</c:v>
                </c:pt>
                <c:pt idx="481">
                  <c:v>4.5670000000000002E-2</c:v>
                </c:pt>
                <c:pt idx="482">
                  <c:v>3.1509999999999996E-2</c:v>
                </c:pt>
                <c:pt idx="483">
                  <c:v>7.0959999999999995E-2</c:v>
                </c:pt>
                <c:pt idx="484">
                  <c:v>6.3799999999999996E-2</c:v>
                </c:pt>
                <c:pt idx="485">
                  <c:v>6.7030000000000006E-2</c:v>
                </c:pt>
                <c:pt idx="486">
                  <c:v>5.2080000000000001E-2</c:v>
                </c:pt>
                <c:pt idx="487">
                  <c:v>2.7759999999999996E-2</c:v>
                </c:pt>
                <c:pt idx="488">
                  <c:v>3.2480000000000002E-2</c:v>
                </c:pt>
                <c:pt idx="489">
                  <c:v>1.584E-2</c:v>
                </c:pt>
                <c:pt idx="490">
                  <c:v>3.039E-2</c:v>
                </c:pt>
                <c:pt idx="491">
                  <c:v>1.8290000000000001E-2</c:v>
                </c:pt>
                <c:pt idx="492">
                  <c:v>3.5490000000000001E-2</c:v>
                </c:pt>
                <c:pt idx="493">
                  <c:v>1.456E-2</c:v>
                </c:pt>
                <c:pt idx="494">
                  <c:v>2.0059999999999998E-2</c:v>
                </c:pt>
                <c:pt idx="495">
                  <c:v>5.9389999999999998E-2</c:v>
                </c:pt>
                <c:pt idx="496">
                  <c:v>4.6289999999999998E-2</c:v>
                </c:pt>
                <c:pt idx="497">
                  <c:v>6.9099999999999995E-2</c:v>
                </c:pt>
                <c:pt idx="498">
                  <c:v>1.8620000000000001E-2</c:v>
                </c:pt>
                <c:pt idx="499">
                  <c:v>3.6309999999999995E-2</c:v>
                </c:pt>
                <c:pt idx="500">
                  <c:v>2.23E-2</c:v>
                </c:pt>
                <c:pt idx="501">
                  <c:v>2.7320000000000001E-2</c:v>
                </c:pt>
                <c:pt idx="502">
                  <c:v>2.3319999999999997E-2</c:v>
                </c:pt>
                <c:pt idx="503">
                  <c:v>1.789E-2</c:v>
                </c:pt>
                <c:pt idx="504">
                  <c:v>6.5140000000000003E-2</c:v>
                </c:pt>
                <c:pt idx="505">
                  <c:v>2.2330000000000003E-2</c:v>
                </c:pt>
                <c:pt idx="506">
                  <c:v>6.0339999999999998E-2</c:v>
                </c:pt>
                <c:pt idx="507">
                  <c:v>5.6029999999999996E-2</c:v>
                </c:pt>
                <c:pt idx="508">
                  <c:v>2.3849999999999996E-2</c:v>
                </c:pt>
                <c:pt idx="509">
                  <c:v>1.9779999999999999E-2</c:v>
                </c:pt>
                <c:pt idx="510">
                  <c:v>6.4729999999999996E-2</c:v>
                </c:pt>
                <c:pt idx="511">
                  <c:v>4.4500000000000005E-2</c:v>
                </c:pt>
                <c:pt idx="512">
                  <c:v>2.0930000000000001E-2</c:v>
                </c:pt>
                <c:pt idx="513">
                  <c:v>3.2259999999999997E-2</c:v>
                </c:pt>
                <c:pt idx="514">
                  <c:v>2.683E-2</c:v>
                </c:pt>
                <c:pt idx="515">
                  <c:v>2.1000000000000001E-2</c:v>
                </c:pt>
                <c:pt idx="516">
                  <c:v>1.4370000000000001E-2</c:v>
                </c:pt>
                <c:pt idx="517">
                  <c:v>4.0149999999999998E-2</c:v>
                </c:pt>
                <c:pt idx="518">
                  <c:v>2.3439999999999999E-2</c:v>
                </c:pt>
                <c:pt idx="519">
                  <c:v>1.9550000000000001E-2</c:v>
                </c:pt>
                <c:pt idx="520">
                  <c:v>5.2440000000000001E-2</c:v>
                </c:pt>
                <c:pt idx="521">
                  <c:v>3.8210000000000001E-2</c:v>
                </c:pt>
                <c:pt idx="522">
                  <c:v>1.9539999999999998E-2</c:v>
                </c:pt>
                <c:pt idx="523">
                  <c:v>3.4700000000000002E-2</c:v>
                </c:pt>
                <c:pt idx="524">
                  <c:v>2.3910000000000001E-2</c:v>
                </c:pt>
                <c:pt idx="525">
                  <c:v>5.636E-2</c:v>
                </c:pt>
                <c:pt idx="526">
                  <c:v>1.8440000000000002E-2</c:v>
                </c:pt>
                <c:pt idx="527">
                  <c:v>2.0579999999999998E-2</c:v>
                </c:pt>
                <c:pt idx="528">
                  <c:v>2.5489999999999999E-2</c:v>
                </c:pt>
                <c:pt idx="529">
                  <c:v>3.0009999999999998E-2</c:v>
                </c:pt>
                <c:pt idx="530">
                  <c:v>1.8779999999999998E-2</c:v>
                </c:pt>
                <c:pt idx="531">
                  <c:v>2.4550000000000002E-2</c:v>
                </c:pt>
                <c:pt idx="532">
                  <c:v>7.0639999999999994E-2</c:v>
                </c:pt>
                <c:pt idx="533">
                  <c:v>7.1569999999999995E-2</c:v>
                </c:pt>
                <c:pt idx="534">
                  <c:v>1.7310000000000002E-2</c:v>
                </c:pt>
                <c:pt idx="535">
                  <c:v>2.6409999999999999E-2</c:v>
                </c:pt>
                <c:pt idx="536">
                  <c:v>2.8490000000000001E-2</c:v>
                </c:pt>
                <c:pt idx="537">
                  <c:v>2.3090000000000003E-2</c:v>
                </c:pt>
                <c:pt idx="538">
                  <c:v>2.6030000000000001E-2</c:v>
                </c:pt>
                <c:pt idx="539">
                  <c:v>4.7840000000000001E-2</c:v>
                </c:pt>
                <c:pt idx="540">
                  <c:v>2.1530000000000001E-2</c:v>
                </c:pt>
                <c:pt idx="541">
                  <c:v>1.8870000000000001E-2</c:v>
                </c:pt>
                <c:pt idx="542">
                  <c:v>2.5059999999999999E-2</c:v>
                </c:pt>
                <c:pt idx="543">
                  <c:v>2.3279999999999999E-2</c:v>
                </c:pt>
                <c:pt idx="544">
                  <c:v>3.1969999999999998E-2</c:v>
                </c:pt>
                <c:pt idx="545">
                  <c:v>2.0579999999999998E-2</c:v>
                </c:pt>
                <c:pt idx="546">
                  <c:v>2.0139999999999998E-2</c:v>
                </c:pt>
                <c:pt idx="547">
                  <c:v>3.814E-2</c:v>
                </c:pt>
                <c:pt idx="548">
                  <c:v>5.7529999999999998E-2</c:v>
                </c:pt>
                <c:pt idx="549">
                  <c:v>2.5139999999999999E-2</c:v>
                </c:pt>
                <c:pt idx="550">
                  <c:v>2.0179999999999997E-2</c:v>
                </c:pt>
                <c:pt idx="551">
                  <c:v>3.3430000000000001E-2</c:v>
                </c:pt>
                <c:pt idx="552">
                  <c:v>1.6570000000000001E-2</c:v>
                </c:pt>
                <c:pt idx="553">
                  <c:v>1.83E-2</c:v>
                </c:pt>
                <c:pt idx="554">
                  <c:v>6.5820000000000004E-2</c:v>
                </c:pt>
                <c:pt idx="555">
                  <c:v>2.0799999999999999E-2</c:v>
                </c:pt>
                <c:pt idx="556">
                  <c:v>2.912E-2</c:v>
                </c:pt>
                <c:pt idx="557">
                  <c:v>2.843E-2</c:v>
                </c:pt>
                <c:pt idx="558">
                  <c:v>1.7600000000000001E-2</c:v>
                </c:pt>
                <c:pt idx="559">
                  <c:v>2.674E-2</c:v>
                </c:pt>
                <c:pt idx="560">
                  <c:v>6.0010000000000001E-2</c:v>
                </c:pt>
                <c:pt idx="561">
                  <c:v>6.6720000000000002E-2</c:v>
                </c:pt>
                <c:pt idx="562">
                  <c:v>2.1659999999999999E-2</c:v>
                </c:pt>
                <c:pt idx="563">
                  <c:v>2.6230000000000003E-2</c:v>
                </c:pt>
                <c:pt idx="564">
                  <c:v>2.3E-2</c:v>
                </c:pt>
                <c:pt idx="565">
                  <c:v>2.0840000000000001E-2</c:v>
                </c:pt>
                <c:pt idx="566">
                  <c:v>2.1680000000000001E-2</c:v>
                </c:pt>
                <c:pt idx="567">
                  <c:v>2.1589999999999998E-2</c:v>
                </c:pt>
                <c:pt idx="568">
                  <c:v>2.5950000000000001E-2</c:v>
                </c:pt>
                <c:pt idx="569">
                  <c:v>6.0350000000000001E-2</c:v>
                </c:pt>
                <c:pt idx="570">
                  <c:v>2.2789999999999998E-2</c:v>
                </c:pt>
                <c:pt idx="571">
                  <c:v>2.4380000000000002E-2</c:v>
                </c:pt>
                <c:pt idx="572">
                  <c:v>2.1589999999999998E-2</c:v>
                </c:pt>
                <c:pt idx="573">
                  <c:v>2.7229999999999997E-2</c:v>
                </c:pt>
                <c:pt idx="574">
                  <c:v>3.5369999999999999E-2</c:v>
                </c:pt>
                <c:pt idx="575">
                  <c:v>2.035E-2</c:v>
                </c:pt>
                <c:pt idx="576">
                  <c:v>3.1480000000000001E-2</c:v>
                </c:pt>
                <c:pt idx="577">
                  <c:v>2.0899999999999998E-2</c:v>
                </c:pt>
                <c:pt idx="578">
                  <c:v>2.1610000000000001E-2</c:v>
                </c:pt>
                <c:pt idx="579">
                  <c:v>2.0830000000000001E-2</c:v>
                </c:pt>
                <c:pt idx="580">
                  <c:v>2.665E-2</c:v>
                </c:pt>
                <c:pt idx="581">
                  <c:v>7.4550000000000005E-2</c:v>
                </c:pt>
                <c:pt idx="582">
                  <c:v>2.4809999999999999E-2</c:v>
                </c:pt>
                <c:pt idx="583">
                  <c:v>2.383E-2</c:v>
                </c:pt>
                <c:pt idx="584">
                  <c:v>6.0789999999999997E-2</c:v>
                </c:pt>
                <c:pt idx="585">
                  <c:v>2.188E-2</c:v>
                </c:pt>
                <c:pt idx="586">
                  <c:v>3.388E-2</c:v>
                </c:pt>
                <c:pt idx="587">
                  <c:v>2.8910000000000002E-2</c:v>
                </c:pt>
                <c:pt idx="588">
                  <c:v>2.5319999999999999E-2</c:v>
                </c:pt>
                <c:pt idx="589">
                  <c:v>2.5070000000000002E-2</c:v>
                </c:pt>
                <c:pt idx="590">
                  <c:v>2.298E-2</c:v>
                </c:pt>
                <c:pt idx="591">
                  <c:v>2.0969999999999999E-2</c:v>
                </c:pt>
                <c:pt idx="592">
                  <c:v>2.4140000000000002E-2</c:v>
                </c:pt>
                <c:pt idx="593">
                  <c:v>4.3730000000000005E-2</c:v>
                </c:pt>
                <c:pt idx="594">
                  <c:v>2.4329999999999997E-2</c:v>
                </c:pt>
                <c:pt idx="595">
                  <c:v>2.598E-2</c:v>
                </c:pt>
                <c:pt idx="596">
                  <c:v>2.9449999999999997E-2</c:v>
                </c:pt>
                <c:pt idx="597">
                  <c:v>2.597E-2</c:v>
                </c:pt>
                <c:pt idx="598">
                  <c:v>3.2739999999999998E-2</c:v>
                </c:pt>
                <c:pt idx="599">
                  <c:v>3.3279999999999997E-2</c:v>
                </c:pt>
                <c:pt idx="600">
                  <c:v>4.6269999999999999E-2</c:v>
                </c:pt>
                <c:pt idx="601">
                  <c:v>3.0440000000000002E-2</c:v>
                </c:pt>
                <c:pt idx="602">
                  <c:v>4.8150000000000005E-2</c:v>
                </c:pt>
                <c:pt idx="603">
                  <c:v>3.9480000000000001E-2</c:v>
                </c:pt>
                <c:pt idx="604">
                  <c:v>3.7870000000000001E-2</c:v>
                </c:pt>
                <c:pt idx="605">
                  <c:v>3.4849999999999999E-2</c:v>
                </c:pt>
                <c:pt idx="606">
                  <c:v>5.2670000000000002E-2</c:v>
                </c:pt>
                <c:pt idx="607">
                  <c:v>7.4230000000000004E-2</c:v>
                </c:pt>
                <c:pt idx="608">
                  <c:v>2.052E-2</c:v>
                </c:pt>
                <c:pt idx="609">
                  <c:v>2.53E-2</c:v>
                </c:pt>
                <c:pt idx="610">
                  <c:v>2.802E-2</c:v>
                </c:pt>
                <c:pt idx="611">
                  <c:v>2.8929999999999997E-2</c:v>
                </c:pt>
                <c:pt idx="612">
                  <c:v>4.4850000000000001E-2</c:v>
                </c:pt>
                <c:pt idx="613">
                  <c:v>5.2240000000000002E-2</c:v>
                </c:pt>
                <c:pt idx="614">
                  <c:v>2.3E-2</c:v>
                </c:pt>
                <c:pt idx="615">
                  <c:v>4.471E-2</c:v>
                </c:pt>
                <c:pt idx="616">
                  <c:v>2.5929999999999998E-2</c:v>
                </c:pt>
                <c:pt idx="617">
                  <c:v>6.6220000000000001E-2</c:v>
                </c:pt>
                <c:pt idx="618">
                  <c:v>5.7660000000000003E-2</c:v>
                </c:pt>
                <c:pt idx="619">
                  <c:v>2.5009999999999998E-2</c:v>
                </c:pt>
                <c:pt idx="620">
                  <c:v>4.9669999999999999E-2</c:v>
                </c:pt>
                <c:pt idx="621">
                  <c:v>6.4089999999999994E-2</c:v>
                </c:pt>
                <c:pt idx="622">
                  <c:v>4.8930000000000001E-2</c:v>
                </c:pt>
                <c:pt idx="623">
                  <c:v>2.512E-2</c:v>
                </c:pt>
                <c:pt idx="624">
                  <c:v>4.0549999999999996E-2</c:v>
                </c:pt>
                <c:pt idx="625">
                  <c:v>7.2980000000000003E-2</c:v>
                </c:pt>
                <c:pt idx="626">
                  <c:v>2.7019999999999999E-2</c:v>
                </c:pt>
                <c:pt idx="627">
                  <c:v>2.2099999999999998E-2</c:v>
                </c:pt>
                <c:pt idx="628">
                  <c:v>2.7810000000000001E-2</c:v>
                </c:pt>
                <c:pt idx="629">
                  <c:v>5.534E-2</c:v>
                </c:pt>
                <c:pt idx="630">
                  <c:v>2.2540000000000001E-2</c:v>
                </c:pt>
                <c:pt idx="631">
                  <c:v>2.5249999999999998E-2</c:v>
                </c:pt>
                <c:pt idx="632">
                  <c:v>2.4460000000000003E-2</c:v>
                </c:pt>
                <c:pt idx="633">
                  <c:v>3.04E-2</c:v>
                </c:pt>
                <c:pt idx="634">
                  <c:v>4.3490000000000001E-2</c:v>
                </c:pt>
                <c:pt idx="635">
                  <c:v>3.1320000000000001E-2</c:v>
                </c:pt>
                <c:pt idx="636">
                  <c:v>6.1980000000000007E-2</c:v>
                </c:pt>
                <c:pt idx="637">
                  <c:v>3.0280000000000001E-2</c:v>
                </c:pt>
                <c:pt idx="638">
                  <c:v>2.9159999999999998E-2</c:v>
                </c:pt>
                <c:pt idx="639">
                  <c:v>2.614E-2</c:v>
                </c:pt>
                <c:pt idx="640">
                  <c:v>3.15E-2</c:v>
                </c:pt>
                <c:pt idx="641">
                  <c:v>2.3119999999999998E-2</c:v>
                </c:pt>
                <c:pt idx="642">
                  <c:v>2.4230000000000002E-2</c:v>
                </c:pt>
                <c:pt idx="643">
                  <c:v>2.0739999999999998E-2</c:v>
                </c:pt>
                <c:pt idx="644">
                  <c:v>2.3789999999999999E-2</c:v>
                </c:pt>
                <c:pt idx="645">
                  <c:v>4.4299999999999999E-2</c:v>
                </c:pt>
                <c:pt idx="646">
                  <c:v>6.2260000000000003E-2</c:v>
                </c:pt>
                <c:pt idx="647">
                  <c:v>2.4160000000000001E-2</c:v>
                </c:pt>
                <c:pt idx="648">
                  <c:v>4.2359999999999995E-2</c:v>
                </c:pt>
                <c:pt idx="649">
                  <c:v>3.9699999999999999E-2</c:v>
                </c:pt>
                <c:pt idx="650">
                  <c:v>3.2959999999999996E-2</c:v>
                </c:pt>
                <c:pt idx="651">
                  <c:v>6.0220000000000003E-2</c:v>
                </c:pt>
                <c:pt idx="652">
                  <c:v>2.588E-2</c:v>
                </c:pt>
                <c:pt idx="653">
                  <c:v>4.938E-2</c:v>
                </c:pt>
                <c:pt idx="654">
                  <c:v>2.9100000000000001E-2</c:v>
                </c:pt>
                <c:pt idx="655">
                  <c:v>6.2600000000000003E-2</c:v>
                </c:pt>
                <c:pt idx="656">
                  <c:v>2.418E-2</c:v>
                </c:pt>
                <c:pt idx="657">
                  <c:v>2.4209999999999999E-2</c:v>
                </c:pt>
                <c:pt idx="658">
                  <c:v>6.0069999999999998E-2</c:v>
                </c:pt>
                <c:pt idx="659">
                  <c:v>7.2929999999999995E-2</c:v>
                </c:pt>
                <c:pt idx="660">
                  <c:v>2.2069999999999999E-2</c:v>
                </c:pt>
                <c:pt idx="661">
                  <c:v>2.3269999999999999E-2</c:v>
                </c:pt>
                <c:pt idx="662">
                  <c:v>3.5159999999999997E-2</c:v>
                </c:pt>
                <c:pt idx="663">
                  <c:v>7.349E-2</c:v>
                </c:pt>
                <c:pt idx="664">
                  <c:v>4.9790000000000001E-2</c:v>
                </c:pt>
                <c:pt idx="665">
                  <c:v>5.9669999999999994E-2</c:v>
                </c:pt>
                <c:pt idx="666">
                  <c:v>6.4829999999999999E-2</c:v>
                </c:pt>
                <c:pt idx="667">
                  <c:v>6.1539999999999997E-2</c:v>
                </c:pt>
                <c:pt idx="668">
                  <c:v>3.0960000000000001E-2</c:v>
                </c:pt>
                <c:pt idx="669">
                  <c:v>2.947E-2</c:v>
                </c:pt>
                <c:pt idx="670">
                  <c:v>2.5160000000000002E-2</c:v>
                </c:pt>
                <c:pt idx="671">
                  <c:v>5.9299999999999999E-2</c:v>
                </c:pt>
                <c:pt idx="672">
                  <c:v>2.6690000000000002E-2</c:v>
                </c:pt>
                <c:pt idx="673">
                  <c:v>4.4249999999999998E-2</c:v>
                </c:pt>
                <c:pt idx="674">
                  <c:v>4.1420000000000005E-2</c:v>
                </c:pt>
                <c:pt idx="675">
                  <c:v>2.3599999999999999E-2</c:v>
                </c:pt>
                <c:pt idx="676">
                  <c:v>3.354E-2</c:v>
                </c:pt>
                <c:pt idx="677">
                  <c:v>2.69E-2</c:v>
                </c:pt>
                <c:pt idx="678">
                  <c:v>7.6100000000000001E-2</c:v>
                </c:pt>
                <c:pt idx="679">
                  <c:v>2.5150000000000002E-2</c:v>
                </c:pt>
                <c:pt idx="680">
                  <c:v>2.6339999999999999E-2</c:v>
                </c:pt>
                <c:pt idx="681">
                  <c:v>3.6639999999999999E-2</c:v>
                </c:pt>
                <c:pt idx="682">
                  <c:v>2.7389999999999998E-2</c:v>
                </c:pt>
                <c:pt idx="683">
                  <c:v>2.7999999999999997E-2</c:v>
                </c:pt>
                <c:pt idx="684">
                  <c:v>6.6360000000000002E-2</c:v>
                </c:pt>
                <c:pt idx="685">
                  <c:v>3.8469999999999997E-2</c:v>
                </c:pt>
                <c:pt idx="686">
                  <c:v>2.6259999999999999E-2</c:v>
                </c:pt>
                <c:pt idx="687">
                  <c:v>4.7869999999999996E-2</c:v>
                </c:pt>
                <c:pt idx="688">
                  <c:v>4.3400000000000001E-2</c:v>
                </c:pt>
                <c:pt idx="689">
                  <c:v>2.2339999999999999E-2</c:v>
                </c:pt>
                <c:pt idx="690">
                  <c:v>3.4540000000000001E-2</c:v>
                </c:pt>
                <c:pt idx="691">
                  <c:v>6.1440000000000002E-2</c:v>
                </c:pt>
                <c:pt idx="692">
                  <c:v>3.2690000000000004E-2</c:v>
                </c:pt>
                <c:pt idx="693">
                  <c:v>3.0019999999999998E-2</c:v>
                </c:pt>
                <c:pt idx="694">
                  <c:v>7.2419999999999998E-2</c:v>
                </c:pt>
                <c:pt idx="695">
                  <c:v>5.9740000000000001E-2</c:v>
                </c:pt>
                <c:pt idx="696">
                  <c:v>2.307E-2</c:v>
                </c:pt>
                <c:pt idx="697">
                  <c:v>6.1239999999999996E-2</c:v>
                </c:pt>
                <c:pt idx="698">
                  <c:v>7.3349999999999999E-2</c:v>
                </c:pt>
                <c:pt idx="699">
                  <c:v>2.5619999999999997E-2</c:v>
                </c:pt>
                <c:pt idx="700">
                  <c:v>2.4940000000000004E-2</c:v>
                </c:pt>
                <c:pt idx="701">
                  <c:v>3.3709999999999997E-2</c:v>
                </c:pt>
                <c:pt idx="702">
                  <c:v>2.366E-2</c:v>
                </c:pt>
                <c:pt idx="703">
                  <c:v>2.9940000000000001E-2</c:v>
                </c:pt>
                <c:pt idx="704">
                  <c:v>2.4369999999999999E-2</c:v>
                </c:pt>
                <c:pt idx="705">
                  <c:v>2.8210000000000002E-2</c:v>
                </c:pt>
                <c:pt idx="706">
                  <c:v>3.2410000000000001E-2</c:v>
                </c:pt>
                <c:pt idx="707">
                  <c:v>2.8809999999999999E-2</c:v>
                </c:pt>
                <c:pt idx="708">
                  <c:v>2.7679999999999996E-2</c:v>
                </c:pt>
                <c:pt idx="709">
                  <c:v>2.7820000000000001E-2</c:v>
                </c:pt>
                <c:pt idx="710">
                  <c:v>2.5179999999999998E-2</c:v>
                </c:pt>
                <c:pt idx="711">
                  <c:v>2.7820000000000001E-2</c:v>
                </c:pt>
                <c:pt idx="712">
                  <c:v>3.422E-2</c:v>
                </c:pt>
                <c:pt idx="713">
                  <c:v>2.4889999999999999E-2</c:v>
                </c:pt>
                <c:pt idx="714">
                  <c:v>3.1489999999999997E-2</c:v>
                </c:pt>
                <c:pt idx="715">
                  <c:v>3.1139999999999998E-2</c:v>
                </c:pt>
                <c:pt idx="716">
                  <c:v>7.0860000000000006E-2</c:v>
                </c:pt>
                <c:pt idx="717">
                  <c:v>3.3050000000000003E-2</c:v>
                </c:pt>
                <c:pt idx="718">
                  <c:v>3.8599999999999995E-2</c:v>
                </c:pt>
                <c:pt idx="719">
                  <c:v>4.5359999999999998E-2</c:v>
                </c:pt>
                <c:pt idx="720">
                  <c:v>5.0349999999999999E-2</c:v>
                </c:pt>
                <c:pt idx="721">
                  <c:v>2.9860000000000001E-2</c:v>
                </c:pt>
                <c:pt idx="722">
                  <c:v>3.3489999999999999E-2</c:v>
                </c:pt>
                <c:pt idx="723">
                  <c:v>2.6669999999999999E-2</c:v>
                </c:pt>
                <c:pt idx="724">
                  <c:v>3.356E-2</c:v>
                </c:pt>
                <c:pt idx="725">
                  <c:v>3.1289999999999998E-2</c:v>
                </c:pt>
                <c:pt idx="726">
                  <c:v>2.1899999999999999E-2</c:v>
                </c:pt>
                <c:pt idx="727">
                  <c:v>3.517E-2</c:v>
                </c:pt>
                <c:pt idx="728">
                  <c:v>3.1210000000000002E-2</c:v>
                </c:pt>
                <c:pt idx="729">
                  <c:v>6.7380000000000009E-2</c:v>
                </c:pt>
                <c:pt idx="730">
                  <c:v>3.5699999999999996E-2</c:v>
                </c:pt>
                <c:pt idx="731">
                  <c:v>3.0280000000000001E-2</c:v>
                </c:pt>
                <c:pt idx="732">
                  <c:v>2.699E-2</c:v>
                </c:pt>
                <c:pt idx="733">
                  <c:v>2.4680000000000001E-2</c:v>
                </c:pt>
                <c:pt idx="734">
                  <c:v>6.1210000000000007E-2</c:v>
                </c:pt>
                <c:pt idx="735">
                  <c:v>7.4380000000000002E-2</c:v>
                </c:pt>
                <c:pt idx="736">
                  <c:v>3.2750000000000001E-2</c:v>
                </c:pt>
                <c:pt idx="737">
                  <c:v>2.383E-2</c:v>
                </c:pt>
                <c:pt idx="738">
                  <c:v>3.619E-2</c:v>
                </c:pt>
                <c:pt idx="739">
                  <c:v>2.9780000000000001E-2</c:v>
                </c:pt>
                <c:pt idx="740">
                  <c:v>3.6740000000000002E-2</c:v>
                </c:pt>
                <c:pt idx="741">
                  <c:v>3.227E-2</c:v>
                </c:pt>
                <c:pt idx="742">
                  <c:v>3.1780000000000003E-2</c:v>
                </c:pt>
                <c:pt idx="743">
                  <c:v>3.5699999999999996E-2</c:v>
                </c:pt>
                <c:pt idx="744">
                  <c:v>2.734E-2</c:v>
                </c:pt>
                <c:pt idx="745">
                  <c:v>2.606E-2</c:v>
                </c:pt>
                <c:pt idx="746">
                  <c:v>3.0019999999999998E-2</c:v>
                </c:pt>
                <c:pt idx="747">
                  <c:v>2.9830000000000002E-2</c:v>
                </c:pt>
                <c:pt idx="748">
                  <c:v>3.2370000000000003E-2</c:v>
                </c:pt>
                <c:pt idx="749">
                  <c:v>2.4980000000000002E-2</c:v>
                </c:pt>
                <c:pt idx="750">
                  <c:v>3.551E-2</c:v>
                </c:pt>
                <c:pt idx="751">
                  <c:v>3.8670000000000003E-2</c:v>
                </c:pt>
                <c:pt idx="752">
                  <c:v>2.733E-2</c:v>
                </c:pt>
                <c:pt idx="753">
                  <c:v>3.4460000000000005E-2</c:v>
                </c:pt>
                <c:pt idx="754">
                  <c:v>4.8379999999999999E-2</c:v>
                </c:pt>
                <c:pt idx="755">
                  <c:v>2.1909999999999999E-2</c:v>
                </c:pt>
                <c:pt idx="756">
                  <c:v>4.027E-2</c:v>
                </c:pt>
                <c:pt idx="757">
                  <c:v>3.7170000000000002E-2</c:v>
                </c:pt>
                <c:pt idx="758">
                  <c:v>4.8140000000000002E-2</c:v>
                </c:pt>
                <c:pt idx="759">
                  <c:v>4.5609999999999998E-2</c:v>
                </c:pt>
                <c:pt idx="760">
                  <c:v>4.2839999999999996E-2</c:v>
                </c:pt>
                <c:pt idx="761">
                  <c:v>4.734E-2</c:v>
                </c:pt>
                <c:pt idx="762">
                  <c:v>4.6369999999999995E-2</c:v>
                </c:pt>
                <c:pt idx="763">
                  <c:v>3.4329999999999999E-2</c:v>
                </c:pt>
                <c:pt idx="764">
                  <c:v>2.6760000000000003E-2</c:v>
                </c:pt>
                <c:pt idx="765">
                  <c:v>2.8879999999999999E-2</c:v>
                </c:pt>
                <c:pt idx="766">
                  <c:v>4.027E-2</c:v>
                </c:pt>
                <c:pt idx="767">
                  <c:v>2.7360000000000002E-2</c:v>
                </c:pt>
                <c:pt idx="768">
                  <c:v>3.6479999999999999E-2</c:v>
                </c:pt>
                <c:pt idx="769">
                  <c:v>3.9969999999999999E-2</c:v>
                </c:pt>
                <c:pt idx="770">
                  <c:v>4.045E-2</c:v>
                </c:pt>
                <c:pt idx="771">
                  <c:v>3.7699999999999997E-2</c:v>
                </c:pt>
                <c:pt idx="772">
                  <c:v>3.4300000000000004E-2</c:v>
                </c:pt>
                <c:pt idx="773">
                  <c:v>4.7249999999999993E-2</c:v>
                </c:pt>
                <c:pt idx="774">
                  <c:v>4.8419999999999998E-2</c:v>
                </c:pt>
                <c:pt idx="775">
                  <c:v>3.635E-2</c:v>
                </c:pt>
                <c:pt idx="776">
                  <c:v>4.8320000000000002E-2</c:v>
                </c:pt>
                <c:pt idx="777">
                  <c:v>3.8190000000000002E-2</c:v>
                </c:pt>
                <c:pt idx="778">
                  <c:v>4.3700000000000003E-2</c:v>
                </c:pt>
                <c:pt idx="779">
                  <c:v>4.4109999999999996E-2</c:v>
                </c:pt>
                <c:pt idx="780">
                  <c:v>4.6519999999999999E-2</c:v>
                </c:pt>
                <c:pt idx="781">
                  <c:v>4.3830000000000001E-2</c:v>
                </c:pt>
                <c:pt idx="782">
                  <c:v>3.465E-2</c:v>
                </c:pt>
                <c:pt idx="783">
                  <c:v>5.4429999999999999E-2</c:v>
                </c:pt>
                <c:pt idx="784">
                  <c:v>4.0289999999999999E-2</c:v>
                </c:pt>
                <c:pt idx="785">
                  <c:v>7.084E-2</c:v>
                </c:pt>
                <c:pt idx="786">
                  <c:v>4.2209999999999998E-2</c:v>
                </c:pt>
                <c:pt idx="787">
                  <c:v>4.7789999999999999E-2</c:v>
                </c:pt>
                <c:pt idx="788">
                  <c:v>6.88E-2</c:v>
                </c:pt>
                <c:pt idx="789">
                  <c:v>5.1210000000000006E-2</c:v>
                </c:pt>
                <c:pt idx="790">
                  <c:v>3.6859999999999997E-2</c:v>
                </c:pt>
                <c:pt idx="791">
                  <c:v>6.0899999999999996E-2</c:v>
                </c:pt>
                <c:pt idx="792">
                  <c:v>3.841E-2</c:v>
                </c:pt>
                <c:pt idx="793">
                  <c:v>4.9729999999999996E-2</c:v>
                </c:pt>
                <c:pt idx="794">
                  <c:v>4.8910000000000002E-2</c:v>
                </c:pt>
                <c:pt idx="795">
                  <c:v>4.7100000000000003E-2</c:v>
                </c:pt>
                <c:pt idx="796">
                  <c:v>4.539E-2</c:v>
                </c:pt>
                <c:pt idx="797">
                  <c:v>4.539E-2</c:v>
                </c:pt>
                <c:pt idx="798">
                  <c:v>4.0989999999999999E-2</c:v>
                </c:pt>
                <c:pt idx="799">
                  <c:v>5.3449999999999998E-2</c:v>
                </c:pt>
                <c:pt idx="800">
                  <c:v>5.5810000000000005E-2</c:v>
                </c:pt>
                <c:pt idx="801">
                  <c:v>6.8479999999999999E-2</c:v>
                </c:pt>
                <c:pt idx="802">
                  <c:v>3.3669999999999999E-2</c:v>
                </c:pt>
                <c:pt idx="803">
                  <c:v>4.6120000000000001E-2</c:v>
                </c:pt>
                <c:pt idx="804">
                  <c:v>4.4139999999999999E-2</c:v>
                </c:pt>
                <c:pt idx="805">
                  <c:v>6.5879999999999994E-2</c:v>
                </c:pt>
                <c:pt idx="806">
                  <c:v>4.9699999999999994E-2</c:v>
                </c:pt>
                <c:pt idx="807">
                  <c:v>4.4989999999999995E-2</c:v>
                </c:pt>
                <c:pt idx="808">
                  <c:v>6.0240000000000002E-2</c:v>
                </c:pt>
                <c:pt idx="809">
                  <c:v>3.7269999999999998E-2</c:v>
                </c:pt>
                <c:pt idx="810">
                  <c:v>5.2420000000000001E-2</c:v>
                </c:pt>
                <c:pt idx="811">
                  <c:v>3.6319999999999998E-2</c:v>
                </c:pt>
                <c:pt idx="812">
                  <c:v>3.8809999999999997E-2</c:v>
                </c:pt>
                <c:pt idx="813">
                  <c:v>3.8740000000000004E-2</c:v>
                </c:pt>
                <c:pt idx="814">
                  <c:v>3.6389999999999999E-2</c:v>
                </c:pt>
                <c:pt idx="815">
                  <c:v>4.7869999999999996E-2</c:v>
                </c:pt>
                <c:pt idx="816">
                  <c:v>4.7019999999999999E-2</c:v>
                </c:pt>
                <c:pt idx="817">
                  <c:v>3.4799999999999998E-2</c:v>
                </c:pt>
                <c:pt idx="818">
                  <c:v>4.7009999999999996E-2</c:v>
                </c:pt>
                <c:pt idx="819">
                  <c:v>4.3459999999999999E-2</c:v>
                </c:pt>
                <c:pt idx="820">
                  <c:v>4.7449999999999999E-2</c:v>
                </c:pt>
                <c:pt idx="821">
                  <c:v>4.4069999999999998E-2</c:v>
                </c:pt>
                <c:pt idx="822">
                  <c:v>3.7440000000000001E-2</c:v>
                </c:pt>
                <c:pt idx="823">
                  <c:v>3.8399999999999997E-2</c:v>
                </c:pt>
                <c:pt idx="824">
                  <c:v>4.2699999999999995E-2</c:v>
                </c:pt>
                <c:pt idx="825">
                  <c:v>3.9759999999999997E-2</c:v>
                </c:pt>
                <c:pt idx="826">
                  <c:v>4.9089999999999995E-2</c:v>
                </c:pt>
                <c:pt idx="827">
                  <c:v>8.7279999999999996E-2</c:v>
                </c:pt>
                <c:pt idx="828">
                  <c:v>5.0549999999999998E-2</c:v>
                </c:pt>
                <c:pt idx="829">
                  <c:v>5.0359999999999995E-2</c:v>
                </c:pt>
                <c:pt idx="830">
                  <c:v>5.8749999999999997E-2</c:v>
                </c:pt>
                <c:pt idx="831">
                  <c:v>4.8789999999999993E-2</c:v>
                </c:pt>
                <c:pt idx="832">
                  <c:v>4.3979999999999998E-2</c:v>
                </c:pt>
                <c:pt idx="833">
                  <c:v>7.5510000000000008E-2</c:v>
                </c:pt>
                <c:pt idx="834">
                  <c:v>5.1849999999999993E-2</c:v>
                </c:pt>
                <c:pt idx="835">
                  <c:v>4.8320000000000002E-2</c:v>
                </c:pt>
                <c:pt idx="836">
                  <c:v>4.4490000000000002E-2</c:v>
                </c:pt>
                <c:pt idx="837">
                  <c:v>5.0959999999999998E-2</c:v>
                </c:pt>
                <c:pt idx="838">
                  <c:v>6.0250000000000005E-2</c:v>
                </c:pt>
                <c:pt idx="839">
                  <c:v>4.7779999999999996E-2</c:v>
                </c:pt>
                <c:pt idx="840">
                  <c:v>4.444E-2</c:v>
                </c:pt>
                <c:pt idx="841">
                  <c:v>5.1269999999999996E-2</c:v>
                </c:pt>
                <c:pt idx="842">
                  <c:v>3.8769999999999999E-2</c:v>
                </c:pt>
                <c:pt idx="843">
                  <c:v>4.5890000000000007E-2</c:v>
                </c:pt>
                <c:pt idx="844">
                  <c:v>3.5769999999999996E-2</c:v>
                </c:pt>
                <c:pt idx="845">
                  <c:v>5.2699999999999997E-2</c:v>
                </c:pt>
                <c:pt idx="846">
                  <c:v>6.3390000000000002E-2</c:v>
                </c:pt>
                <c:pt idx="847">
                  <c:v>4.3499999999999997E-2</c:v>
                </c:pt>
                <c:pt idx="848">
                  <c:v>3.1859999999999999E-2</c:v>
                </c:pt>
                <c:pt idx="849">
                  <c:v>4.1100000000000005E-2</c:v>
                </c:pt>
                <c:pt idx="850">
                  <c:v>4.6199999999999998E-2</c:v>
                </c:pt>
                <c:pt idx="851">
                  <c:v>4.3060000000000001E-2</c:v>
                </c:pt>
                <c:pt idx="852">
                  <c:v>6.4619999999999997E-2</c:v>
                </c:pt>
                <c:pt idx="853">
                  <c:v>4.9439999999999998E-2</c:v>
                </c:pt>
                <c:pt idx="854">
                  <c:v>4.938E-2</c:v>
                </c:pt>
                <c:pt idx="855">
                  <c:v>4.1589999999999995E-2</c:v>
                </c:pt>
                <c:pt idx="856">
                  <c:v>4.1540000000000001E-2</c:v>
                </c:pt>
                <c:pt idx="857">
                  <c:v>4.0570000000000002E-2</c:v>
                </c:pt>
                <c:pt idx="858">
                  <c:v>6.3820000000000002E-2</c:v>
                </c:pt>
                <c:pt idx="859">
                  <c:v>6.3719999999999999E-2</c:v>
                </c:pt>
                <c:pt idx="860">
                  <c:v>4.3429999999999996E-2</c:v>
                </c:pt>
                <c:pt idx="861">
                  <c:v>4.6559999999999997E-2</c:v>
                </c:pt>
                <c:pt idx="862">
                  <c:v>4.1050000000000003E-2</c:v>
                </c:pt>
                <c:pt idx="863">
                  <c:v>4.0800000000000003E-2</c:v>
                </c:pt>
                <c:pt idx="864">
                  <c:v>4.0800000000000003E-2</c:v>
                </c:pt>
                <c:pt idx="865">
                  <c:v>4.8230000000000002E-2</c:v>
                </c:pt>
                <c:pt idx="866">
                  <c:v>4.7640000000000002E-2</c:v>
                </c:pt>
                <c:pt idx="867">
                  <c:v>4.3789999999999996E-2</c:v>
                </c:pt>
                <c:pt idx="868">
                  <c:v>4.6710000000000002E-2</c:v>
                </c:pt>
                <c:pt idx="869">
                  <c:v>5.0990000000000001E-2</c:v>
                </c:pt>
                <c:pt idx="870">
                  <c:v>3.8450000000000005E-2</c:v>
                </c:pt>
                <c:pt idx="871">
                  <c:v>6.4299999999999996E-2</c:v>
                </c:pt>
                <c:pt idx="872">
                  <c:v>5.5099999999999996E-2</c:v>
                </c:pt>
                <c:pt idx="873">
                  <c:v>4.292E-2</c:v>
                </c:pt>
                <c:pt idx="874">
                  <c:v>7.1830000000000005E-2</c:v>
                </c:pt>
                <c:pt idx="875">
                  <c:v>4.1520000000000001E-2</c:v>
                </c:pt>
                <c:pt idx="876">
                  <c:v>6.5709999999999991E-2</c:v>
                </c:pt>
                <c:pt idx="877">
                  <c:v>4.9520000000000002E-2</c:v>
                </c:pt>
                <c:pt idx="878">
                  <c:v>4.9029999999999997E-2</c:v>
                </c:pt>
                <c:pt idx="879">
                  <c:v>4.8840000000000001E-2</c:v>
                </c:pt>
                <c:pt idx="880">
                  <c:v>4.4290000000000003E-2</c:v>
                </c:pt>
                <c:pt idx="881">
                  <c:v>4.7390000000000002E-2</c:v>
                </c:pt>
                <c:pt idx="882">
                  <c:v>4.9230000000000003E-2</c:v>
                </c:pt>
                <c:pt idx="883">
                  <c:v>4.9279999999999997E-2</c:v>
                </c:pt>
                <c:pt idx="884">
                  <c:v>5.5190000000000003E-2</c:v>
                </c:pt>
                <c:pt idx="885">
                  <c:v>4.4000000000000004E-2</c:v>
                </c:pt>
                <c:pt idx="886">
                  <c:v>5.0689999999999999E-2</c:v>
                </c:pt>
                <c:pt idx="887">
                  <c:v>6.8830000000000002E-2</c:v>
                </c:pt>
                <c:pt idx="888">
                  <c:v>4.2510000000000006E-2</c:v>
                </c:pt>
                <c:pt idx="889">
                  <c:v>4.4950000000000004E-2</c:v>
                </c:pt>
                <c:pt idx="890">
                  <c:v>4.1289999999999993E-2</c:v>
                </c:pt>
                <c:pt idx="891">
                  <c:v>4.827E-2</c:v>
                </c:pt>
                <c:pt idx="892">
                  <c:v>4.249E-2</c:v>
                </c:pt>
                <c:pt idx="893">
                  <c:v>3.9320000000000001E-2</c:v>
                </c:pt>
                <c:pt idx="894">
                  <c:v>4.2630000000000001E-2</c:v>
                </c:pt>
                <c:pt idx="895">
                  <c:v>5.253E-2</c:v>
                </c:pt>
                <c:pt idx="896">
                  <c:v>4.3099999999999999E-2</c:v>
                </c:pt>
                <c:pt idx="897">
                  <c:v>4.6609999999999999E-2</c:v>
                </c:pt>
                <c:pt idx="898">
                  <c:v>4.657E-2</c:v>
                </c:pt>
                <c:pt idx="899">
                  <c:v>3.9599999999999996E-2</c:v>
                </c:pt>
                <c:pt idx="900">
                  <c:v>4.3129999999999995E-2</c:v>
                </c:pt>
                <c:pt idx="901">
                  <c:v>3.6309999999999995E-2</c:v>
                </c:pt>
                <c:pt idx="902">
                  <c:v>4.086E-2</c:v>
                </c:pt>
                <c:pt idx="903">
                  <c:v>4.5510000000000002E-2</c:v>
                </c:pt>
                <c:pt idx="904">
                  <c:v>5.5940000000000004E-2</c:v>
                </c:pt>
                <c:pt idx="905">
                  <c:v>4.7419999999999997E-2</c:v>
                </c:pt>
                <c:pt idx="906">
                  <c:v>6.9749999999999993E-2</c:v>
                </c:pt>
                <c:pt idx="907">
                  <c:v>4.8079999999999998E-2</c:v>
                </c:pt>
                <c:pt idx="908">
                  <c:v>4.5620000000000001E-2</c:v>
                </c:pt>
                <c:pt idx="909">
                  <c:v>3.8710000000000001E-2</c:v>
                </c:pt>
                <c:pt idx="910">
                  <c:v>4.6330000000000003E-2</c:v>
                </c:pt>
                <c:pt idx="911">
                  <c:v>4.521E-2</c:v>
                </c:pt>
                <c:pt idx="912">
                  <c:v>4.0439999999999997E-2</c:v>
                </c:pt>
                <c:pt idx="913">
                  <c:v>4.4580000000000002E-2</c:v>
                </c:pt>
                <c:pt idx="914">
                  <c:v>4.7030000000000002E-2</c:v>
                </c:pt>
                <c:pt idx="915">
                  <c:v>4.1660000000000003E-2</c:v>
                </c:pt>
                <c:pt idx="916">
                  <c:v>4.8029999999999996E-2</c:v>
                </c:pt>
                <c:pt idx="917">
                  <c:v>4.2020000000000002E-2</c:v>
                </c:pt>
                <c:pt idx="918">
                  <c:v>3.7919999999999995E-2</c:v>
                </c:pt>
                <c:pt idx="919">
                  <c:v>4.4950000000000004E-2</c:v>
                </c:pt>
                <c:pt idx="920">
                  <c:v>5.4530000000000002E-2</c:v>
                </c:pt>
                <c:pt idx="921">
                  <c:v>3.8120000000000001E-2</c:v>
                </c:pt>
                <c:pt idx="922">
                  <c:v>5.6609999999999994E-2</c:v>
                </c:pt>
                <c:pt idx="923">
                  <c:v>4.7359999999999999E-2</c:v>
                </c:pt>
                <c:pt idx="924">
                  <c:v>7.1059999999999998E-2</c:v>
                </c:pt>
                <c:pt idx="925">
                  <c:v>5.3869999999999994E-2</c:v>
                </c:pt>
                <c:pt idx="926">
                  <c:v>4.0500000000000001E-2</c:v>
                </c:pt>
                <c:pt idx="927">
                  <c:v>4.4119999999999999E-2</c:v>
                </c:pt>
                <c:pt idx="928">
                  <c:v>6.3350000000000004E-2</c:v>
                </c:pt>
                <c:pt idx="929">
                  <c:v>4.1860000000000001E-2</c:v>
                </c:pt>
                <c:pt idx="930">
                  <c:v>4.6020000000000005E-2</c:v>
                </c:pt>
                <c:pt idx="931">
                  <c:v>4.4199999999999996E-2</c:v>
                </c:pt>
                <c:pt idx="932">
                  <c:v>4.4409999999999998E-2</c:v>
                </c:pt>
                <c:pt idx="933">
                  <c:v>5.6469999999999999E-2</c:v>
                </c:pt>
                <c:pt idx="934">
                  <c:v>4.2590000000000003E-2</c:v>
                </c:pt>
                <c:pt idx="935">
                  <c:v>4.5090000000000005E-2</c:v>
                </c:pt>
                <c:pt idx="936">
                  <c:v>3.8589999999999999E-2</c:v>
                </c:pt>
                <c:pt idx="937">
                  <c:v>4.0460000000000003E-2</c:v>
                </c:pt>
                <c:pt idx="938">
                  <c:v>4.7649999999999998E-2</c:v>
                </c:pt>
                <c:pt idx="939">
                  <c:v>4.1900000000000007E-2</c:v>
                </c:pt>
                <c:pt idx="940">
                  <c:v>4.6730000000000001E-2</c:v>
                </c:pt>
                <c:pt idx="941">
                  <c:v>7.0389999999999994E-2</c:v>
                </c:pt>
                <c:pt idx="942">
                  <c:v>3.8490000000000003E-2</c:v>
                </c:pt>
                <c:pt idx="943">
                  <c:v>4.0979999999999996E-2</c:v>
                </c:pt>
                <c:pt idx="944">
                  <c:v>4.7880000000000006E-2</c:v>
                </c:pt>
                <c:pt idx="945">
                  <c:v>4.7690000000000003E-2</c:v>
                </c:pt>
                <c:pt idx="946">
                  <c:v>4.1440000000000005E-2</c:v>
                </c:pt>
                <c:pt idx="947">
                  <c:v>4.5339999999999998E-2</c:v>
                </c:pt>
                <c:pt idx="948">
                  <c:v>6.785999999999999E-2</c:v>
                </c:pt>
                <c:pt idx="949">
                  <c:v>5.688E-2</c:v>
                </c:pt>
                <c:pt idx="950">
                  <c:v>4.657E-2</c:v>
                </c:pt>
                <c:pt idx="951">
                  <c:v>5.9139999999999998E-2</c:v>
                </c:pt>
                <c:pt idx="952">
                  <c:v>4.5860000000000005E-2</c:v>
                </c:pt>
                <c:pt idx="953">
                  <c:v>3.7040000000000003E-2</c:v>
                </c:pt>
                <c:pt idx="954">
                  <c:v>3.9320000000000001E-2</c:v>
                </c:pt>
                <c:pt idx="955">
                  <c:v>4.6300000000000001E-2</c:v>
                </c:pt>
                <c:pt idx="956">
                  <c:v>7.5289999999999996E-2</c:v>
                </c:pt>
                <c:pt idx="957">
                  <c:v>4.7729999999999995E-2</c:v>
                </c:pt>
                <c:pt idx="958">
                  <c:v>5.1879999999999996E-2</c:v>
                </c:pt>
                <c:pt idx="959">
                  <c:v>4.4310000000000002E-2</c:v>
                </c:pt>
                <c:pt idx="960">
                  <c:v>4.0940000000000004E-2</c:v>
                </c:pt>
                <c:pt idx="961">
                  <c:v>3.8120000000000001E-2</c:v>
                </c:pt>
                <c:pt idx="962">
                  <c:v>4.0209999999999996E-2</c:v>
                </c:pt>
                <c:pt idx="963">
                  <c:v>4.981E-2</c:v>
                </c:pt>
                <c:pt idx="964">
                  <c:v>4.1029999999999997E-2</c:v>
                </c:pt>
                <c:pt idx="965">
                  <c:v>4.7140000000000001E-2</c:v>
                </c:pt>
                <c:pt idx="966">
                  <c:v>4.0129999999999999E-2</c:v>
                </c:pt>
                <c:pt idx="967">
                  <c:v>4.5940000000000002E-2</c:v>
                </c:pt>
                <c:pt idx="968">
                  <c:v>4.0469999999999999E-2</c:v>
                </c:pt>
                <c:pt idx="969">
                  <c:v>6.2530000000000002E-2</c:v>
                </c:pt>
                <c:pt idx="970">
                  <c:v>4.1180000000000001E-2</c:v>
                </c:pt>
                <c:pt idx="971">
                  <c:v>6.5479999999999997E-2</c:v>
                </c:pt>
                <c:pt idx="972">
                  <c:v>5.373E-2</c:v>
                </c:pt>
                <c:pt idx="973">
                  <c:v>5.5309999999999998E-2</c:v>
                </c:pt>
                <c:pt idx="974">
                  <c:v>4.0039999999999992E-2</c:v>
                </c:pt>
                <c:pt idx="975">
                  <c:v>3.7229999999999999E-2</c:v>
                </c:pt>
                <c:pt idx="976">
                  <c:v>4.3429999999999996E-2</c:v>
                </c:pt>
                <c:pt idx="977">
                  <c:v>6.164E-2</c:v>
                </c:pt>
                <c:pt idx="978">
                  <c:v>5.6340000000000001E-2</c:v>
                </c:pt>
                <c:pt idx="979">
                  <c:v>5.772E-2</c:v>
                </c:pt>
                <c:pt idx="980">
                  <c:v>3.635E-2</c:v>
                </c:pt>
                <c:pt idx="981">
                  <c:v>3.8269999999999998E-2</c:v>
                </c:pt>
                <c:pt idx="982">
                  <c:v>4.4699999999999997E-2</c:v>
                </c:pt>
                <c:pt idx="983">
                  <c:v>4.1769999999999995E-2</c:v>
                </c:pt>
                <c:pt idx="984">
                  <c:v>4.2480000000000004E-2</c:v>
                </c:pt>
                <c:pt idx="985">
                  <c:v>3.8429999999999999E-2</c:v>
                </c:pt>
                <c:pt idx="986">
                  <c:v>5.672E-2</c:v>
                </c:pt>
                <c:pt idx="987">
                  <c:v>6.2390000000000001E-2</c:v>
                </c:pt>
                <c:pt idx="988">
                  <c:v>4.9550000000000004E-2</c:v>
                </c:pt>
                <c:pt idx="989">
                  <c:v>4.1840000000000002E-2</c:v>
                </c:pt>
                <c:pt idx="990">
                  <c:v>3.7080000000000002E-2</c:v>
                </c:pt>
                <c:pt idx="991">
                  <c:v>5.704E-2</c:v>
                </c:pt>
                <c:pt idx="992">
                  <c:v>4.5570000000000006E-2</c:v>
                </c:pt>
                <c:pt idx="993">
                  <c:v>5.5229999999999994E-2</c:v>
                </c:pt>
                <c:pt idx="994">
                  <c:v>4.8259999999999997E-2</c:v>
                </c:pt>
                <c:pt idx="995">
                  <c:v>4.351E-2</c:v>
                </c:pt>
                <c:pt idx="996">
                  <c:v>5.0509999999999999E-2</c:v>
                </c:pt>
                <c:pt idx="997">
                  <c:v>4.4010000000000001E-2</c:v>
                </c:pt>
                <c:pt idx="998">
                  <c:v>4.027E-2</c:v>
                </c:pt>
                <c:pt idx="999">
                  <c:v>4.2409999999999996E-2</c:v>
                </c:pt>
                <c:pt idx="1000">
                  <c:v>4.3680000000000004E-2</c:v>
                </c:pt>
                <c:pt idx="1001">
                  <c:v>5.5380000000000006E-2</c:v>
                </c:pt>
              </c:numCache>
            </c:numRef>
          </c:yVal>
          <c:smooth val="0"/>
          <c:extLst>
            <c:ext xmlns:c16="http://schemas.microsoft.com/office/drawing/2014/chart" uri="{C3380CC4-5D6E-409C-BE32-E72D297353CC}">
              <c16:uniqueId val="{00000001-6FC8-4F70-8097-64D629C147CF}"/>
            </c:ext>
          </c:extLst>
        </c:ser>
        <c:dLbls>
          <c:showLegendKey val="0"/>
          <c:showVal val="0"/>
          <c:showCatName val="0"/>
          <c:showSerName val="0"/>
          <c:showPercent val="0"/>
          <c:showBubbleSize val="0"/>
        </c:dLbls>
        <c:axId val="471641208"/>
        <c:axId val="473477032"/>
      </c:scatterChart>
      <c:valAx>
        <c:axId val="471641208"/>
        <c:scaling>
          <c:orientation val="minMax"/>
        </c:scaling>
        <c:delete val="0"/>
        <c:axPos val="b"/>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473477032"/>
        <c:crosses val="autoZero"/>
        <c:crossBetween val="midCat"/>
      </c:valAx>
      <c:valAx>
        <c:axId val="473477032"/>
        <c:scaling>
          <c:orientation val="minMax"/>
          <c:min val="-2.0000000000000004E-2"/>
        </c:scaling>
        <c:delete val="0"/>
        <c:axPos val="l"/>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4716412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Whole Foods Dividends:</a:t>
            </a:r>
          </a:p>
          <a:p>
            <a:pPr>
              <a:defRPr/>
            </a:pPr>
            <a:r>
              <a:rPr lang="en-US"/>
              <a:t>Irregular and Declining</a:t>
            </a:r>
          </a:p>
        </c:rich>
      </c:tx>
      <c:overlay val="0"/>
    </c:title>
    <c:autoTitleDeleted val="0"/>
    <c:plotArea>
      <c:layout/>
      <c:scatterChart>
        <c:scatterStyle val="lineMarker"/>
        <c:varyColors val="0"/>
        <c:ser>
          <c:idx val="0"/>
          <c:order val="0"/>
          <c:tx>
            <c:v>Dividend per share</c:v>
          </c:tx>
          <c:xVal>
            <c:numRef>
              <c:f>'Cost of Equity via g via div &lt;-'!$F$14:$F$26</c:f>
              <c:numCache>
                <c:formatCode>[$-409]d/mmm/yy;@</c:formatCode>
                <c:ptCount val="13"/>
                <c:pt idx="0">
                  <c:v>39183</c:v>
                </c:pt>
                <c:pt idx="1">
                  <c:v>39274</c:v>
                </c:pt>
                <c:pt idx="2">
                  <c:v>39365</c:v>
                </c:pt>
                <c:pt idx="3">
                  <c:v>39456</c:v>
                </c:pt>
                <c:pt idx="4">
                  <c:v>39547</c:v>
                </c:pt>
                <c:pt idx="5">
                  <c:v>39638</c:v>
                </c:pt>
                <c:pt idx="6">
                  <c:v>40549</c:v>
                </c:pt>
                <c:pt idx="7">
                  <c:v>40641</c:v>
                </c:pt>
                <c:pt idx="8">
                  <c:v>40716</c:v>
                </c:pt>
                <c:pt idx="9">
                  <c:v>40801</c:v>
                </c:pt>
                <c:pt idx="10">
                  <c:v>40919</c:v>
                </c:pt>
                <c:pt idx="11">
                  <c:v>41002</c:v>
                </c:pt>
                <c:pt idx="12">
                  <c:v>41087</c:v>
                </c:pt>
              </c:numCache>
            </c:numRef>
          </c:xVal>
          <c:yVal>
            <c:numRef>
              <c:f>'Cost of Equity via g via div &lt;-'!$G$14:$G$26</c:f>
              <c:numCache>
                <c:formatCode>#,##0.00</c:formatCode>
                <c:ptCount val="13"/>
                <c:pt idx="0">
                  <c:v>0.18</c:v>
                </c:pt>
                <c:pt idx="1">
                  <c:v>0.18</c:v>
                </c:pt>
                <c:pt idx="2">
                  <c:v>0.18</c:v>
                </c:pt>
                <c:pt idx="3">
                  <c:v>0.2</c:v>
                </c:pt>
                <c:pt idx="4">
                  <c:v>0.2</c:v>
                </c:pt>
                <c:pt idx="5">
                  <c:v>0.2</c:v>
                </c:pt>
                <c:pt idx="6">
                  <c:v>0.1</c:v>
                </c:pt>
                <c:pt idx="7">
                  <c:v>0.1</c:v>
                </c:pt>
                <c:pt idx="8">
                  <c:v>0.1</c:v>
                </c:pt>
                <c:pt idx="9">
                  <c:v>0.1</c:v>
                </c:pt>
                <c:pt idx="10">
                  <c:v>0.14000000000000001</c:v>
                </c:pt>
                <c:pt idx="11">
                  <c:v>0.14000000000000001</c:v>
                </c:pt>
                <c:pt idx="12">
                  <c:v>0.14000000000000001</c:v>
                </c:pt>
              </c:numCache>
            </c:numRef>
          </c:yVal>
          <c:smooth val="0"/>
          <c:extLst>
            <c:ext xmlns:c16="http://schemas.microsoft.com/office/drawing/2014/chart" uri="{C3380CC4-5D6E-409C-BE32-E72D297353CC}">
              <c16:uniqueId val="{00000002-F20F-466A-A19E-63656EC2EB96}"/>
            </c:ext>
          </c:extLst>
        </c:ser>
        <c:dLbls>
          <c:showLegendKey val="0"/>
          <c:showVal val="0"/>
          <c:showCatName val="0"/>
          <c:showSerName val="0"/>
          <c:showPercent val="0"/>
          <c:showBubbleSize val="0"/>
        </c:dLbls>
        <c:axId val="476704168"/>
        <c:axId val="476704560"/>
      </c:scatterChart>
      <c:valAx>
        <c:axId val="476704168"/>
        <c:scaling>
          <c:orientation val="minMax"/>
        </c:scaling>
        <c:delete val="0"/>
        <c:axPos val="b"/>
        <c:numFmt formatCode="[$-409]d/mmm/yy;@" sourceLinked="1"/>
        <c:majorTickMark val="none"/>
        <c:minorTickMark val="none"/>
        <c:tickLblPos val="nextTo"/>
        <c:crossAx val="476704560"/>
        <c:crosses val="autoZero"/>
        <c:crossBetween val="midCat"/>
      </c:valAx>
      <c:valAx>
        <c:axId val="476704560"/>
        <c:scaling>
          <c:orientation val="minMax"/>
        </c:scaling>
        <c:delete val="0"/>
        <c:axPos val="l"/>
        <c:majorGridlines/>
        <c:numFmt formatCode="#,##0.00" sourceLinked="1"/>
        <c:majorTickMark val="none"/>
        <c:minorTickMark val="none"/>
        <c:tickLblPos val="nextTo"/>
        <c:crossAx val="476704168"/>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9.8157194322590166E-2"/>
          <c:y val="5.3635360797291642E-2"/>
          <c:w val="0.84618961294161599"/>
          <c:h val="0.7770329795732055"/>
        </c:manualLayout>
      </c:layout>
      <c:scatterChart>
        <c:scatterStyle val="lineMarker"/>
        <c:varyColors val="0"/>
        <c:ser>
          <c:idx val="0"/>
          <c:order val="0"/>
          <c:tx>
            <c:v>Dividends over time</c:v>
          </c:tx>
          <c:xVal>
            <c:numRef>
              <c:f>'Cost of Equity via g via div &lt;-'!$O$3:$O$43</c:f>
              <c:numCache>
                <c:formatCode>[$-409]d/mmm/yy;@</c:formatCode>
                <c:ptCount val="41"/>
                <c:pt idx="0">
                  <c:v>37182</c:v>
                </c:pt>
                <c:pt idx="1">
                  <c:v>37273</c:v>
                </c:pt>
                <c:pt idx="2">
                  <c:v>37364</c:v>
                </c:pt>
                <c:pt idx="3">
                  <c:v>37455</c:v>
                </c:pt>
                <c:pt idx="4">
                  <c:v>37546</c:v>
                </c:pt>
                <c:pt idx="5">
                  <c:v>37637</c:v>
                </c:pt>
                <c:pt idx="6">
                  <c:v>37727</c:v>
                </c:pt>
                <c:pt idx="7">
                  <c:v>37819</c:v>
                </c:pt>
                <c:pt idx="8">
                  <c:v>37910</c:v>
                </c:pt>
                <c:pt idx="9">
                  <c:v>38001</c:v>
                </c:pt>
                <c:pt idx="10">
                  <c:v>38099</c:v>
                </c:pt>
                <c:pt idx="11">
                  <c:v>38184</c:v>
                </c:pt>
                <c:pt idx="12">
                  <c:v>38281</c:v>
                </c:pt>
                <c:pt idx="13">
                  <c:v>38370</c:v>
                </c:pt>
                <c:pt idx="14">
                  <c:v>38463</c:v>
                </c:pt>
                <c:pt idx="15">
                  <c:v>38553</c:v>
                </c:pt>
                <c:pt idx="16">
                  <c:v>38645</c:v>
                </c:pt>
                <c:pt idx="17">
                  <c:v>38735</c:v>
                </c:pt>
                <c:pt idx="18">
                  <c:v>38827</c:v>
                </c:pt>
                <c:pt idx="19">
                  <c:v>38916</c:v>
                </c:pt>
                <c:pt idx="20">
                  <c:v>39009</c:v>
                </c:pt>
                <c:pt idx="21">
                  <c:v>39100</c:v>
                </c:pt>
                <c:pt idx="22">
                  <c:v>39191</c:v>
                </c:pt>
                <c:pt idx="23">
                  <c:v>39281</c:v>
                </c:pt>
                <c:pt idx="24">
                  <c:v>39373</c:v>
                </c:pt>
                <c:pt idx="25">
                  <c:v>39464</c:v>
                </c:pt>
                <c:pt idx="26">
                  <c:v>39555</c:v>
                </c:pt>
                <c:pt idx="27">
                  <c:v>39646</c:v>
                </c:pt>
                <c:pt idx="28">
                  <c:v>39737</c:v>
                </c:pt>
                <c:pt idx="29">
                  <c:v>39828</c:v>
                </c:pt>
                <c:pt idx="30">
                  <c:v>39919</c:v>
                </c:pt>
                <c:pt idx="31">
                  <c:v>40010</c:v>
                </c:pt>
                <c:pt idx="32">
                  <c:v>40108</c:v>
                </c:pt>
                <c:pt idx="33">
                  <c:v>40193</c:v>
                </c:pt>
                <c:pt idx="34">
                  <c:v>40290</c:v>
                </c:pt>
                <c:pt idx="35">
                  <c:v>40375</c:v>
                </c:pt>
                <c:pt idx="36">
                  <c:v>40472</c:v>
                </c:pt>
                <c:pt idx="37">
                  <c:v>40561</c:v>
                </c:pt>
                <c:pt idx="38">
                  <c:v>40653</c:v>
                </c:pt>
                <c:pt idx="39">
                  <c:v>40742</c:v>
                </c:pt>
                <c:pt idx="40">
                  <c:v>40836</c:v>
                </c:pt>
              </c:numCache>
            </c:numRef>
          </c:xVal>
          <c:yVal>
            <c:numRef>
              <c:f>'Cost of Equity via g via div &lt;-'!$P$3:$P$43</c:f>
              <c:numCache>
                <c:formatCode>#,##0.00</c:formatCode>
                <c:ptCount val="41"/>
                <c:pt idx="0">
                  <c:v>0.17499999999999999</c:v>
                </c:pt>
                <c:pt idx="1">
                  <c:v>0.17499999999999999</c:v>
                </c:pt>
                <c:pt idx="2">
                  <c:v>0.17499999999999999</c:v>
                </c:pt>
                <c:pt idx="3">
                  <c:v>0.17499999999999999</c:v>
                </c:pt>
                <c:pt idx="4">
                  <c:v>0.17499999999999999</c:v>
                </c:pt>
                <c:pt idx="5">
                  <c:v>0.17499999999999999</c:v>
                </c:pt>
                <c:pt idx="6">
                  <c:v>0.17499999999999999</c:v>
                </c:pt>
                <c:pt idx="7">
                  <c:v>0.17499999999999999</c:v>
                </c:pt>
                <c:pt idx="8">
                  <c:v>0.185</c:v>
                </c:pt>
                <c:pt idx="9">
                  <c:v>0.185</c:v>
                </c:pt>
                <c:pt idx="10">
                  <c:v>0.185</c:v>
                </c:pt>
                <c:pt idx="11">
                  <c:v>0.20499999999999999</c:v>
                </c:pt>
                <c:pt idx="12">
                  <c:v>0.20499999999999999</c:v>
                </c:pt>
                <c:pt idx="13">
                  <c:v>0.20499999999999999</c:v>
                </c:pt>
                <c:pt idx="14">
                  <c:v>0.20499999999999999</c:v>
                </c:pt>
                <c:pt idx="15">
                  <c:v>0.25</c:v>
                </c:pt>
                <c:pt idx="16">
                  <c:v>0.25</c:v>
                </c:pt>
                <c:pt idx="17">
                  <c:v>0.25</c:v>
                </c:pt>
                <c:pt idx="18">
                  <c:v>0.25</c:v>
                </c:pt>
                <c:pt idx="19">
                  <c:v>0.3</c:v>
                </c:pt>
                <c:pt idx="20">
                  <c:v>0.3</c:v>
                </c:pt>
                <c:pt idx="21">
                  <c:v>0.3</c:v>
                </c:pt>
                <c:pt idx="22">
                  <c:v>0.3</c:v>
                </c:pt>
                <c:pt idx="23">
                  <c:v>0.36</c:v>
                </c:pt>
                <c:pt idx="24">
                  <c:v>0.36</c:v>
                </c:pt>
                <c:pt idx="25">
                  <c:v>0.36</c:v>
                </c:pt>
                <c:pt idx="26">
                  <c:v>0.36</c:v>
                </c:pt>
                <c:pt idx="27">
                  <c:v>0.42</c:v>
                </c:pt>
                <c:pt idx="28">
                  <c:v>0.42</c:v>
                </c:pt>
                <c:pt idx="29">
                  <c:v>0.42</c:v>
                </c:pt>
                <c:pt idx="30">
                  <c:v>0.42</c:v>
                </c:pt>
                <c:pt idx="31">
                  <c:v>0.42</c:v>
                </c:pt>
                <c:pt idx="32">
                  <c:v>0.42</c:v>
                </c:pt>
                <c:pt idx="33">
                  <c:v>0.42</c:v>
                </c:pt>
                <c:pt idx="34">
                  <c:v>0.42</c:v>
                </c:pt>
                <c:pt idx="35">
                  <c:v>0.44</c:v>
                </c:pt>
                <c:pt idx="36">
                  <c:v>0.44</c:v>
                </c:pt>
                <c:pt idx="37">
                  <c:v>0.44</c:v>
                </c:pt>
                <c:pt idx="38">
                  <c:v>0.44</c:v>
                </c:pt>
                <c:pt idx="39">
                  <c:v>0.46</c:v>
                </c:pt>
                <c:pt idx="40">
                  <c:v>0.46</c:v>
                </c:pt>
              </c:numCache>
            </c:numRef>
          </c:yVal>
          <c:smooth val="0"/>
          <c:extLst>
            <c:ext xmlns:c16="http://schemas.microsoft.com/office/drawing/2014/chart" uri="{C3380CC4-5D6E-409C-BE32-E72D297353CC}">
              <c16:uniqueId val="{00000001-685A-4A78-98B2-A741AD25C90B}"/>
            </c:ext>
          </c:extLst>
        </c:ser>
        <c:dLbls>
          <c:showLegendKey val="0"/>
          <c:showVal val="0"/>
          <c:showCatName val="0"/>
          <c:showSerName val="0"/>
          <c:showPercent val="0"/>
          <c:showBubbleSize val="0"/>
        </c:dLbls>
        <c:axId val="314156992"/>
        <c:axId val="314157384"/>
      </c:scatterChart>
      <c:valAx>
        <c:axId val="314156992"/>
        <c:scaling>
          <c:orientation val="minMax"/>
          <c:max val="40836"/>
          <c:min val="37182"/>
        </c:scaling>
        <c:delete val="0"/>
        <c:axPos val="b"/>
        <c:numFmt formatCode="[$-409]mmm/yy;@" sourceLinked="0"/>
        <c:majorTickMark val="out"/>
        <c:minorTickMark val="none"/>
        <c:tickLblPos val="nextTo"/>
        <c:txPr>
          <a:bodyPr rot="5400000" vert="horz"/>
          <a:lstStyle/>
          <a:p>
            <a:pPr>
              <a:defRPr/>
            </a:pPr>
            <a:endParaRPr lang="en-US"/>
          </a:p>
        </c:txPr>
        <c:crossAx val="314157384"/>
        <c:crosses val="autoZero"/>
        <c:crossBetween val="midCat"/>
        <c:majorUnit val="365"/>
      </c:valAx>
      <c:valAx>
        <c:axId val="314157384"/>
        <c:scaling>
          <c:orientation val="minMax"/>
        </c:scaling>
        <c:delete val="0"/>
        <c:axPos val="l"/>
        <c:numFmt formatCode="#,##0.00" sourceLinked="1"/>
        <c:majorTickMark val="out"/>
        <c:minorTickMark val="none"/>
        <c:tickLblPos val="nextTo"/>
        <c:crossAx val="314156992"/>
        <c:crosses val="autoZero"/>
        <c:crossBetween val="midCat"/>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'Cost of Equity via Payouts'!$B$2</c:f>
              <c:strCache>
                <c:ptCount val="1"/>
                <c:pt idx="0">
                  <c:v>Dividends</c:v>
                </c:pt>
              </c:strCache>
            </c:strRef>
          </c:tx>
          <c:xVal>
            <c:numRef>
              <c:f>'Cost of Equity via Payouts'!$A$3:$A$7</c:f>
              <c:numCache>
                <c:formatCode>[$-409]d/mmm/yy;@</c:formatCode>
                <c:ptCount val="5"/>
                <c:pt idx="0">
                  <c:v>2007</c:v>
                </c:pt>
                <c:pt idx="1">
                  <c:v>2008</c:v>
                </c:pt>
                <c:pt idx="2">
                  <c:v>2009</c:v>
                </c:pt>
                <c:pt idx="3">
                  <c:v>2010</c:v>
                </c:pt>
                <c:pt idx="4">
                  <c:v>2011</c:v>
                </c:pt>
              </c:numCache>
            </c:numRef>
          </c:xVal>
          <c:yVal>
            <c:numRef>
              <c:f>'Cost of Equity via Payouts'!$B$3:$B$7</c:f>
              <c:numCache>
                <c:formatCode>#,##0</c:formatCode>
                <c:ptCount val="5"/>
                <c:pt idx="0">
                  <c:v>3307.3</c:v>
                </c:pt>
                <c:pt idx="1">
                  <c:v>3278.5</c:v>
                </c:pt>
                <c:pt idx="2">
                  <c:v>3215</c:v>
                </c:pt>
                <c:pt idx="3">
                  <c:v>4734</c:v>
                </c:pt>
                <c:pt idx="4">
                  <c:v>4818</c:v>
                </c:pt>
              </c:numCache>
            </c:numRef>
          </c:yVal>
          <c:smooth val="0"/>
          <c:extLst>
            <c:ext xmlns:c16="http://schemas.microsoft.com/office/drawing/2014/chart" uri="{C3380CC4-5D6E-409C-BE32-E72D297353CC}">
              <c16:uniqueId val="{00000000-52E9-4F40-9551-FB73A623BC9E}"/>
            </c:ext>
          </c:extLst>
        </c:ser>
        <c:ser>
          <c:idx val="1"/>
          <c:order val="1"/>
          <c:tx>
            <c:strRef>
              <c:f>'Cost of Equity via Payouts'!$C$2</c:f>
              <c:strCache>
                <c:ptCount val="1"/>
                <c:pt idx="0">
                  <c:v>Share repurchases</c:v>
                </c:pt>
              </c:strCache>
            </c:strRef>
          </c:tx>
          <c:xVal>
            <c:numRef>
              <c:f>'Cost of Equity via Payouts'!$A$3:$A$7</c:f>
              <c:numCache>
                <c:formatCode>[$-409]d/mmm/yy;@</c:formatCode>
                <c:ptCount val="5"/>
                <c:pt idx="0">
                  <c:v>2007</c:v>
                </c:pt>
                <c:pt idx="1">
                  <c:v>2008</c:v>
                </c:pt>
                <c:pt idx="2">
                  <c:v>2009</c:v>
                </c:pt>
                <c:pt idx="3">
                  <c:v>2010</c:v>
                </c:pt>
                <c:pt idx="4">
                  <c:v>2011</c:v>
                </c:pt>
              </c:numCache>
            </c:numRef>
          </c:xVal>
          <c:yVal>
            <c:numRef>
              <c:f>'Cost of Equity via Payouts'!$C$3:$C$7</c:f>
              <c:numCache>
                <c:formatCode>#,##0</c:formatCode>
                <c:ptCount val="5"/>
                <c:pt idx="0">
                  <c:v>1429.7</c:v>
                </c:pt>
                <c:pt idx="1">
                  <c:v>2725</c:v>
                </c:pt>
                <c:pt idx="2">
                  <c:v>0</c:v>
                </c:pt>
                <c:pt idx="3">
                  <c:v>1593</c:v>
                </c:pt>
                <c:pt idx="4">
                  <c:v>1921</c:v>
                </c:pt>
              </c:numCache>
            </c:numRef>
          </c:yVal>
          <c:smooth val="0"/>
          <c:extLst>
            <c:ext xmlns:c16="http://schemas.microsoft.com/office/drawing/2014/chart" uri="{C3380CC4-5D6E-409C-BE32-E72D297353CC}">
              <c16:uniqueId val="{00000001-52E9-4F40-9551-FB73A623BC9E}"/>
            </c:ext>
          </c:extLst>
        </c:ser>
        <c:ser>
          <c:idx val="2"/>
          <c:order val="2"/>
          <c:tx>
            <c:strRef>
              <c:f>'Cost of Equity via Payouts'!$D$2</c:f>
              <c:strCache>
                <c:ptCount val="1"/>
                <c:pt idx="0">
                  <c:v>Proceeds from stock option exercise</c:v>
                </c:pt>
              </c:strCache>
            </c:strRef>
          </c:tx>
          <c:xVal>
            <c:numRef>
              <c:f>'Cost of Equity via Payouts'!$A$3:$A$7</c:f>
              <c:numCache>
                <c:formatCode>[$-409]d/mmm/yy;@</c:formatCode>
                <c:ptCount val="5"/>
                <c:pt idx="0">
                  <c:v>2007</c:v>
                </c:pt>
                <c:pt idx="1">
                  <c:v>2008</c:v>
                </c:pt>
                <c:pt idx="2">
                  <c:v>2009</c:v>
                </c:pt>
                <c:pt idx="3">
                  <c:v>2010</c:v>
                </c:pt>
                <c:pt idx="4">
                  <c:v>2011</c:v>
                </c:pt>
              </c:numCache>
            </c:numRef>
          </c:xVal>
          <c:yVal>
            <c:numRef>
              <c:f>'Cost of Equity via Payouts'!$D$3:$D$7</c:f>
              <c:numCache>
                <c:formatCode>#,##0</c:formatCode>
                <c:ptCount val="5"/>
                <c:pt idx="0">
                  <c:v>898.6</c:v>
                </c:pt>
                <c:pt idx="1">
                  <c:v>102.3</c:v>
                </c:pt>
                <c:pt idx="2">
                  <c:v>186</c:v>
                </c:pt>
                <c:pt idx="3">
                  <c:v>363</c:v>
                </c:pt>
                <c:pt idx="4">
                  <c:v>321</c:v>
                </c:pt>
              </c:numCache>
            </c:numRef>
          </c:yVal>
          <c:smooth val="0"/>
          <c:extLst>
            <c:ext xmlns:c16="http://schemas.microsoft.com/office/drawing/2014/chart" uri="{C3380CC4-5D6E-409C-BE32-E72D297353CC}">
              <c16:uniqueId val="{00000002-52E9-4F40-9551-FB73A623BC9E}"/>
            </c:ext>
          </c:extLst>
        </c:ser>
        <c:dLbls>
          <c:showLegendKey val="0"/>
          <c:showVal val="0"/>
          <c:showCatName val="0"/>
          <c:showSerName val="0"/>
          <c:showPercent val="0"/>
          <c:showBubbleSize val="0"/>
        </c:dLbls>
        <c:axId val="473476640"/>
        <c:axId val="473478208"/>
      </c:scatterChart>
      <c:valAx>
        <c:axId val="473476640"/>
        <c:scaling>
          <c:orientation val="minMax"/>
          <c:max val="2011"/>
          <c:min val="2007"/>
        </c:scaling>
        <c:delete val="0"/>
        <c:axPos val="b"/>
        <c:numFmt formatCode="[$-409]d/mmm/yy;@" sourceLinked="1"/>
        <c:majorTickMark val="out"/>
        <c:minorTickMark val="none"/>
        <c:tickLblPos val="nextTo"/>
        <c:crossAx val="473478208"/>
        <c:crosses val="autoZero"/>
        <c:crossBetween val="midCat"/>
      </c:valAx>
      <c:valAx>
        <c:axId val="473478208"/>
        <c:scaling>
          <c:orientation val="minMax"/>
        </c:scaling>
        <c:delete val="0"/>
        <c:axPos val="l"/>
        <c:majorGridlines/>
        <c:numFmt formatCode="#,##0" sourceLinked="1"/>
        <c:majorTickMark val="out"/>
        <c:minorTickMark val="none"/>
        <c:tickLblPos val="nextTo"/>
        <c:crossAx val="473476640"/>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Merck return</a:t>
            </a:r>
            <a:r>
              <a:rPr lang="en-US" baseline="0"/>
              <a:t> vs SP500, 2007-2012</a:t>
            </a:r>
            <a:endParaRPr lang="en-US"/>
          </a:p>
        </c:rich>
      </c:tx>
      <c:overlay val="0"/>
    </c:title>
    <c:autoTitleDeleted val="0"/>
    <c:plotArea>
      <c:layout/>
      <c:scatterChart>
        <c:scatterStyle val="lineMarker"/>
        <c:varyColors val="0"/>
        <c:ser>
          <c:idx val="0"/>
          <c:order val="0"/>
          <c:spPr>
            <a:ln w="28575">
              <a:noFill/>
            </a:ln>
          </c:spPr>
          <c:trendline>
            <c:trendlineType val="linear"/>
            <c:dispRSqr val="1"/>
            <c:dispEq val="1"/>
            <c:trendlineLbl>
              <c:numFmt formatCode="General" sourceLinked="0"/>
            </c:trendlineLbl>
          </c:trendline>
          <c:xVal>
            <c:numRef>
              <c:f>'Beta via S&amp;P 500'!$F$11:$F$70</c:f>
              <c:numCache>
                <c:formatCode>0.00%</c:formatCode>
                <c:ptCount val="60"/>
                <c:pt idx="0">
                  <c:v>-3.2504500841186675E-2</c:v>
                </c:pt>
                <c:pt idx="1">
                  <c:v>1.2781559065278813E-2</c:v>
                </c:pt>
                <c:pt idx="2">
                  <c:v>3.5168283637491062E-2</c:v>
                </c:pt>
                <c:pt idx="3">
                  <c:v>1.4713557788708606E-2</c:v>
                </c:pt>
                <c:pt idx="4">
                  <c:v>-4.5042789369416157E-2</c:v>
                </c:pt>
                <c:pt idx="5">
                  <c:v>-8.6659298048018304E-3</c:v>
                </c:pt>
                <c:pt idx="6">
                  <c:v>-6.3113909602276946E-2</c:v>
                </c:pt>
                <c:pt idx="7">
                  <c:v>-3.5379707842082095E-2</c:v>
                </c:pt>
                <c:pt idx="8">
                  <c:v>-5.9774122413739049E-3</c:v>
                </c:pt>
                <c:pt idx="9">
                  <c:v>4.6450939660056381E-2</c:v>
                </c:pt>
                <c:pt idx="10">
                  <c:v>1.0617586652650165E-2</c:v>
                </c:pt>
                <c:pt idx="11">
                  <c:v>-8.98835504310454E-2</c:v>
                </c:pt>
                <c:pt idx="12">
                  <c:v>-9.9083004864562122E-3</c:v>
                </c:pt>
                <c:pt idx="13">
                  <c:v>1.2116797460712942E-2</c:v>
                </c:pt>
                <c:pt idx="14">
                  <c:v>-9.5180786774375359E-2</c:v>
                </c:pt>
                <c:pt idx="15">
                  <c:v>-0.18563648644598751</c:v>
                </c:pt>
                <c:pt idx="16">
                  <c:v>-7.7798346417088868E-2</c:v>
                </c:pt>
                <c:pt idx="17">
                  <c:v>7.7911357772817548E-3</c:v>
                </c:pt>
                <c:pt idx="18">
                  <c:v>-8.9549885511070959E-2</c:v>
                </c:pt>
                <c:pt idx="19">
                  <c:v>-0.11645654382051443</c:v>
                </c:pt>
                <c:pt idx="20">
                  <c:v>8.1952736214643773E-2</c:v>
                </c:pt>
                <c:pt idx="21">
                  <c:v>8.9772214920969498E-2</c:v>
                </c:pt>
                <c:pt idx="22">
                  <c:v>5.1720558420882315E-2</c:v>
                </c:pt>
                <c:pt idx="23">
                  <c:v>1.9581606407012827E-4</c:v>
                </c:pt>
                <c:pt idx="24">
                  <c:v>7.1521977088891908E-2</c:v>
                </c:pt>
                <c:pt idx="25">
                  <c:v>3.3009321348136535E-2</c:v>
                </c:pt>
                <c:pt idx="26">
                  <c:v>3.5100104155946166E-2</c:v>
                </c:pt>
                <c:pt idx="27">
                  <c:v>-1.9959865222177731E-2</c:v>
                </c:pt>
                <c:pt idx="28">
                  <c:v>5.5779015582807137E-2</c:v>
                </c:pt>
                <c:pt idx="29">
                  <c:v>1.7614546700982087E-2</c:v>
                </c:pt>
                <c:pt idx="30">
                  <c:v>-3.7675141059320766E-2</c:v>
                </c:pt>
                <c:pt idx="31">
                  <c:v>2.8114744036660498E-2</c:v>
                </c:pt>
                <c:pt idx="32">
                  <c:v>5.7132760645483123E-2</c:v>
                </c:pt>
                <c:pt idx="33">
                  <c:v>1.4651468311863144E-2</c:v>
                </c:pt>
                <c:pt idx="34">
                  <c:v>-8.5531653633770133E-2</c:v>
                </c:pt>
                <c:pt idx="35">
                  <c:v>-5.5388380132376618E-2</c:v>
                </c:pt>
                <c:pt idx="36">
                  <c:v>6.6515783274589638E-2</c:v>
                </c:pt>
                <c:pt idx="37">
                  <c:v>-4.8611803170382606E-2</c:v>
                </c:pt>
                <c:pt idx="38">
                  <c:v>8.3928475095282604E-2</c:v>
                </c:pt>
                <c:pt idx="39">
                  <c:v>3.6193000710687595E-2</c:v>
                </c:pt>
                <c:pt idx="40">
                  <c:v>-2.2929094870601432E-3</c:v>
                </c:pt>
                <c:pt idx="41">
                  <c:v>6.3256517221926059E-2</c:v>
                </c:pt>
                <c:pt idx="42">
                  <c:v>2.239298525651701E-2</c:v>
                </c:pt>
                <c:pt idx="43">
                  <c:v>3.1456595040144836E-2</c:v>
                </c:pt>
                <c:pt idx="44">
                  <c:v>-1.0478506829378123E-3</c:v>
                </c:pt>
                <c:pt idx="45">
                  <c:v>2.809691636712916E-2</c:v>
                </c:pt>
                <c:pt idx="46">
                  <c:v>-1.3592893899637262E-2</c:v>
                </c:pt>
                <c:pt idx="47">
                  <c:v>-1.8426233301897538E-2</c:v>
                </c:pt>
                <c:pt idx="48">
                  <c:v>-2.1708367435427242E-2</c:v>
                </c:pt>
                <c:pt idx="49">
                  <c:v>-5.8467491619120418E-2</c:v>
                </c:pt>
                <c:pt idx="50">
                  <c:v>-7.4467127542783104E-2</c:v>
                </c:pt>
                <c:pt idx="51">
                  <c:v>0.10230659165059017</c:v>
                </c:pt>
                <c:pt idx="52">
                  <c:v>-5.0714834366809821E-3</c:v>
                </c:pt>
                <c:pt idx="53">
                  <c:v>8.4965534941463527E-3</c:v>
                </c:pt>
                <c:pt idx="54">
                  <c:v>4.2659999011137491E-2</c:v>
                </c:pt>
                <c:pt idx="55">
                  <c:v>3.9787331386417914E-2</c:v>
                </c:pt>
                <c:pt idx="56">
                  <c:v>3.0851535762571346E-2</c:v>
                </c:pt>
                <c:pt idx="57">
                  <c:v>-7.5257447960486246E-3</c:v>
                </c:pt>
                <c:pt idx="58">
                  <c:v>-6.4699250170469236E-2</c:v>
                </c:pt>
                <c:pt idx="59">
                  <c:v>3.8792661243837456E-2</c:v>
                </c:pt>
              </c:numCache>
            </c:numRef>
          </c:xVal>
          <c:yVal>
            <c:numRef>
              <c:f>'Beta via S&amp;P 500'!$E$11:$E$70</c:f>
              <c:numCache>
                <c:formatCode>0.00%</c:formatCode>
                <c:ptCount val="60"/>
                <c:pt idx="0">
                  <c:v>-3.0120504699916095E-3</c:v>
                </c:pt>
                <c:pt idx="1">
                  <c:v>1.05027221991492E-2</c:v>
                </c:pt>
                <c:pt idx="2">
                  <c:v>3.7353298978485779E-2</c:v>
                </c:pt>
                <c:pt idx="3">
                  <c:v>0.11977800898691028</c:v>
                </c:pt>
                <c:pt idx="4">
                  <c:v>1.8743309581168353E-2</c:v>
                </c:pt>
                <c:pt idx="5">
                  <c:v>-1.47123292635142E-2</c:v>
                </c:pt>
                <c:pt idx="6">
                  <c:v>-0.23148867110242963</c:v>
                </c:pt>
                <c:pt idx="7">
                  <c:v>-4.0021674349485961E-2</c:v>
                </c:pt>
                <c:pt idx="8">
                  <c:v>-0.14598962754656439</c:v>
                </c:pt>
                <c:pt idx="9">
                  <c:v>2.5682197101663468E-3</c:v>
                </c:pt>
                <c:pt idx="10">
                  <c:v>2.3761612167154448E-2</c:v>
                </c:pt>
                <c:pt idx="11">
                  <c:v>-2.3120586504178278E-2</c:v>
                </c:pt>
                <c:pt idx="12">
                  <c:v>-0.13605207500137656</c:v>
                </c:pt>
                <c:pt idx="13">
                  <c:v>8.1058795821922214E-2</c:v>
                </c:pt>
                <c:pt idx="14">
                  <c:v>-0.11162397800905437</c:v>
                </c:pt>
                <c:pt idx="15">
                  <c:v>-1.9492304520160767E-2</c:v>
                </c:pt>
                <c:pt idx="16">
                  <c:v>-0.14690821907198037</c:v>
                </c:pt>
                <c:pt idx="17">
                  <c:v>0.1434286099164582</c:v>
                </c:pt>
                <c:pt idx="18">
                  <c:v>-6.2732768035004202E-2</c:v>
                </c:pt>
                <c:pt idx="19">
                  <c:v>-0.16555567644124861</c:v>
                </c:pt>
                <c:pt idx="20">
                  <c:v>0.11697167658550421</c:v>
                </c:pt>
                <c:pt idx="21">
                  <c:v>-9.864908106983955E-2</c:v>
                </c:pt>
                <c:pt idx="22">
                  <c:v>0.12892212404086306</c:v>
                </c:pt>
                <c:pt idx="23">
                  <c:v>2.7750797145353924E-2</c:v>
                </c:pt>
                <c:pt idx="24">
                  <c:v>7.0951735972284394E-2</c:v>
                </c:pt>
                <c:pt idx="25">
                  <c:v>7.7228776868470086E-2</c:v>
                </c:pt>
                <c:pt idx="26">
                  <c:v>-1.2761605308182863E-2</c:v>
                </c:pt>
                <c:pt idx="27">
                  <c:v>-2.2367454862002555E-2</c:v>
                </c:pt>
                <c:pt idx="28">
                  <c:v>0.15763654480707118</c:v>
                </c:pt>
                <c:pt idx="29">
                  <c:v>1.9136386428526997E-2</c:v>
                </c:pt>
                <c:pt idx="30">
                  <c:v>4.3959836137152229E-2</c:v>
                </c:pt>
                <c:pt idx="31">
                  <c:v>-3.4830131822343235E-2</c:v>
                </c:pt>
                <c:pt idx="32">
                  <c:v>2.3354354861096886E-2</c:v>
                </c:pt>
                <c:pt idx="33">
                  <c:v>-6.3848219842963641E-2</c:v>
                </c:pt>
                <c:pt idx="34">
                  <c:v>-3.9245950064789321E-2</c:v>
                </c:pt>
                <c:pt idx="35">
                  <c:v>4.8039976587362566E-2</c:v>
                </c:pt>
                <c:pt idx="36">
                  <c:v>-1.4488442416129833E-2</c:v>
                </c:pt>
                <c:pt idx="37">
                  <c:v>2.0101179321087088E-2</c:v>
                </c:pt>
                <c:pt idx="38">
                  <c:v>5.6225142656950215E-2</c:v>
                </c:pt>
                <c:pt idx="39">
                  <c:v>-1.3613705368710293E-2</c:v>
                </c:pt>
                <c:pt idx="40">
                  <c:v>-5.1983577117103094E-2</c:v>
                </c:pt>
                <c:pt idx="41">
                  <c:v>5.495888428075741E-2</c:v>
                </c:pt>
                <c:pt idx="42">
                  <c:v>-8.296835377393727E-2</c:v>
                </c:pt>
                <c:pt idx="43">
                  <c:v>-1.8241548157575754E-2</c:v>
                </c:pt>
                <c:pt idx="44">
                  <c:v>2.4997243788565042E-2</c:v>
                </c:pt>
                <c:pt idx="45">
                  <c:v>8.5380251552780631E-2</c:v>
                </c:pt>
                <c:pt idx="46">
                  <c:v>2.2126084583490073E-2</c:v>
                </c:pt>
                <c:pt idx="47">
                  <c:v>-2.9809337510013134E-2</c:v>
                </c:pt>
                <c:pt idx="48">
                  <c:v>-3.348224087330743E-2</c:v>
                </c:pt>
                <c:pt idx="49">
                  <c:v>-3.0522456591336049E-2</c:v>
                </c:pt>
                <c:pt idx="50">
                  <c:v>-3.1630555379964488E-4</c:v>
                </c:pt>
                <c:pt idx="51">
                  <c:v>5.3584246134106471E-2</c:v>
                </c:pt>
                <c:pt idx="52">
                  <c:v>3.5639171574222153E-2</c:v>
                </c:pt>
                <c:pt idx="53">
                  <c:v>6.4972454752538128E-2</c:v>
                </c:pt>
                <c:pt idx="54">
                  <c:v>1.5070252920998173E-2</c:v>
                </c:pt>
                <c:pt idx="55">
                  <c:v>-2.6745134958146215E-3</c:v>
                </c:pt>
                <c:pt idx="56">
                  <c:v>1.6994567270562991E-2</c:v>
                </c:pt>
                <c:pt idx="57">
                  <c:v>2.1875872356724457E-2</c:v>
                </c:pt>
                <c:pt idx="58">
                  <c:v>-4.3433593431703353E-2</c:v>
                </c:pt>
                <c:pt idx="59">
                  <c:v>0.11619746698770368</c:v>
                </c:pt>
              </c:numCache>
            </c:numRef>
          </c:yVal>
          <c:smooth val="0"/>
          <c:extLst>
            <c:ext xmlns:c16="http://schemas.microsoft.com/office/drawing/2014/chart" uri="{C3380CC4-5D6E-409C-BE32-E72D297353CC}">
              <c16:uniqueId val="{00000001-30F1-4B6A-A53C-1F27F77BBD80}"/>
            </c:ext>
          </c:extLst>
        </c:ser>
        <c:dLbls>
          <c:showLegendKey val="0"/>
          <c:showVal val="0"/>
          <c:showCatName val="0"/>
          <c:showSerName val="0"/>
          <c:showPercent val="0"/>
          <c:showBubbleSize val="0"/>
        </c:dLbls>
        <c:axId val="152514248"/>
        <c:axId val="476703384"/>
      </c:scatterChart>
      <c:valAx>
        <c:axId val="152514248"/>
        <c:scaling>
          <c:orientation val="minMax"/>
          <c:max val="0.12000000000000001"/>
          <c:min val="-0.2"/>
        </c:scaling>
        <c:delete val="0"/>
        <c:axPos val="b"/>
        <c:title>
          <c:tx>
            <c:rich>
              <a:bodyPr/>
              <a:lstStyle/>
              <a:p>
                <a:pPr>
                  <a:defRPr/>
                </a:pPr>
                <a:r>
                  <a:rPr lang="en-US"/>
                  <a:t>SP500</a:t>
                </a:r>
              </a:p>
            </c:rich>
          </c:tx>
          <c:overlay val="0"/>
        </c:title>
        <c:numFmt formatCode="0%" sourceLinked="0"/>
        <c:majorTickMark val="none"/>
        <c:minorTickMark val="none"/>
        <c:tickLblPos val="nextTo"/>
        <c:crossAx val="476703384"/>
        <c:crosses val="autoZero"/>
        <c:crossBetween val="midCat"/>
        <c:majorUnit val="3.0000000000000006E-2"/>
      </c:valAx>
      <c:valAx>
        <c:axId val="476703384"/>
        <c:scaling>
          <c:orientation val="minMax"/>
          <c:max val="0.18000000000000002"/>
          <c:min val="-0.25"/>
        </c:scaling>
        <c:delete val="0"/>
        <c:axPos val="l"/>
        <c:title>
          <c:tx>
            <c:rich>
              <a:bodyPr/>
              <a:lstStyle/>
              <a:p>
                <a:pPr>
                  <a:defRPr/>
                </a:pPr>
                <a:r>
                  <a:rPr lang="en-US"/>
                  <a:t>Merck</a:t>
                </a:r>
              </a:p>
            </c:rich>
          </c:tx>
          <c:layout>
            <c:manualLayout>
              <c:xMode val="edge"/>
              <c:yMode val="edge"/>
              <c:x val="5.2777777777777778E-2"/>
              <c:y val="0.27813065033537476"/>
            </c:manualLayout>
          </c:layout>
          <c:overlay val="0"/>
        </c:title>
        <c:numFmt formatCode="0%" sourceLinked="0"/>
        <c:majorTickMark val="none"/>
        <c:minorTickMark val="none"/>
        <c:tickLblPos val="nextTo"/>
        <c:crossAx val="152514248"/>
        <c:crosses val="autoZero"/>
        <c:crossBetween val="midCat"/>
        <c:majorUnit val="3.0000000000000006E-2"/>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Regressing Big City Bagel on the S&amp;P500</a:t>
            </a:r>
          </a:p>
          <a:p>
            <a:pPr>
              <a:defRPr b="1">
                <a:solidFill>
                  <a:sysClr val="windowText" lastClr="000000"/>
                </a:solidFill>
              </a:defRPr>
            </a:pPr>
            <a:r>
              <a:rPr lang="en-US" b="1">
                <a:solidFill>
                  <a:sysClr val="windowText" lastClr="000000"/>
                </a:solidFill>
              </a:rPr>
              <a:t>Monthly</a:t>
            </a:r>
            <a:r>
              <a:rPr lang="en-US" b="1" baseline="0">
                <a:solidFill>
                  <a:sysClr val="windowText" lastClr="000000"/>
                </a:solidFill>
              </a:rPr>
              <a:t> data, May 1996 - March 1999</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tx1"/>
                </a:solidFill>
                <a:prstDash val="solid"/>
              </a:ln>
              <a:effectLst/>
            </c:spPr>
            <c:trendlineType val="linear"/>
            <c:dispRSqr val="1"/>
            <c:dispEq val="1"/>
            <c:trendlineLbl>
              <c:layout>
                <c:manualLayout>
                  <c:x val="-0.46705161854768151"/>
                  <c:y val="-0.16154673374161563"/>
                </c:manualLayout>
              </c:layout>
              <c:numFmt formatCode="General" sourceLinked="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trendlineLbl>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01-89CA-4CFF-8F25-12BB0A8EF006}"/>
            </c:ext>
          </c:extLst>
        </c:ser>
        <c:dLbls>
          <c:showLegendKey val="0"/>
          <c:showVal val="0"/>
          <c:showCatName val="0"/>
          <c:showSerName val="0"/>
          <c:showPercent val="0"/>
          <c:showBubbleSize val="0"/>
        </c:dLbls>
        <c:axId val="473548936"/>
        <c:axId val="473549328"/>
      </c:scatterChart>
      <c:valAx>
        <c:axId val="473548936"/>
        <c:scaling>
          <c:orientation val="minMax"/>
          <c:max val="9.0000000000000024E-2"/>
          <c:min val="-0.15000000000000002"/>
        </c:scaling>
        <c:delete val="0"/>
        <c:axPos val="b"/>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473549328"/>
        <c:crosses val="autoZero"/>
        <c:crossBetween val="midCat"/>
        <c:majorUnit val="2.5000000000000005E-2"/>
      </c:valAx>
      <c:valAx>
        <c:axId val="473549328"/>
        <c:scaling>
          <c:orientation val="minMax"/>
        </c:scaling>
        <c:delete val="0"/>
        <c:axPos val="l"/>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735489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Yield curve</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0"/>
            <c:dispEq val="1"/>
            <c:trendlineLbl>
              <c:layout>
                <c:manualLayout>
                  <c:x val="-0.28996399397169742"/>
                  <c:y val="0.2534295154802689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Homework!$O$30:$O$34</c:f>
              <c:numCache>
                <c:formatCode>#,##0.0000</c:formatCode>
                <c:ptCount val="5"/>
              </c:numCache>
            </c:numRef>
          </c:xVal>
          <c:yVal>
            <c:numRef>
              <c:f>Homework!$P$30:$P$34</c:f>
              <c:numCache>
                <c:formatCode>0.00%</c:formatCode>
                <c:ptCount val="5"/>
              </c:numCache>
            </c:numRef>
          </c:yVal>
          <c:smooth val="0"/>
          <c:extLst>
            <c:ext xmlns:c16="http://schemas.microsoft.com/office/drawing/2014/chart" uri="{C3380CC4-5D6E-409C-BE32-E72D297353CC}">
              <c16:uniqueId val="{00000000-72F4-4AF8-94FB-211B241E5509}"/>
            </c:ext>
          </c:extLst>
        </c:ser>
        <c:dLbls>
          <c:showLegendKey val="0"/>
          <c:showVal val="0"/>
          <c:showCatName val="0"/>
          <c:showSerName val="0"/>
          <c:showPercent val="0"/>
          <c:showBubbleSize val="0"/>
        </c:dLbls>
        <c:axId val="483010840"/>
        <c:axId val="483011824"/>
      </c:scatterChart>
      <c:valAx>
        <c:axId val="483010840"/>
        <c:scaling>
          <c:orientation val="minMax"/>
        </c:scaling>
        <c:delete val="0"/>
        <c:axPos val="b"/>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11824"/>
        <c:crosses val="autoZero"/>
        <c:crossBetween val="midCat"/>
      </c:valAx>
      <c:valAx>
        <c:axId val="483011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10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9.8157194322590166E-2"/>
          <c:y val="5.3635360797291642E-2"/>
          <c:w val="0.84618961294161599"/>
          <c:h val="0.7770329795732055"/>
        </c:manualLayout>
      </c:layout>
      <c:scatterChart>
        <c:scatterStyle val="lineMarker"/>
        <c:varyColors val="0"/>
        <c:ser>
          <c:idx val="0"/>
          <c:order val="0"/>
          <c:tx>
            <c:v>Dividends over time</c:v>
          </c:tx>
          <c:xVal>
            <c:numRef>
              <c:f>'Cost of Equity via g via div &lt;-'!$O$3:$O$43</c:f>
              <c:numCache>
                <c:formatCode>[$-409]d/mmm/yy;@</c:formatCode>
                <c:ptCount val="41"/>
                <c:pt idx="0">
                  <c:v>37182</c:v>
                </c:pt>
                <c:pt idx="1">
                  <c:v>37273</c:v>
                </c:pt>
                <c:pt idx="2">
                  <c:v>37364</c:v>
                </c:pt>
                <c:pt idx="3">
                  <c:v>37455</c:v>
                </c:pt>
                <c:pt idx="4">
                  <c:v>37546</c:v>
                </c:pt>
                <c:pt idx="5">
                  <c:v>37637</c:v>
                </c:pt>
                <c:pt idx="6">
                  <c:v>37727</c:v>
                </c:pt>
                <c:pt idx="7">
                  <c:v>37819</c:v>
                </c:pt>
                <c:pt idx="8">
                  <c:v>37910</c:v>
                </c:pt>
                <c:pt idx="9">
                  <c:v>38001</c:v>
                </c:pt>
                <c:pt idx="10">
                  <c:v>38099</c:v>
                </c:pt>
                <c:pt idx="11">
                  <c:v>38184</c:v>
                </c:pt>
                <c:pt idx="12">
                  <c:v>38281</c:v>
                </c:pt>
                <c:pt idx="13">
                  <c:v>38370</c:v>
                </c:pt>
                <c:pt idx="14">
                  <c:v>38463</c:v>
                </c:pt>
                <c:pt idx="15">
                  <c:v>38553</c:v>
                </c:pt>
                <c:pt idx="16">
                  <c:v>38645</c:v>
                </c:pt>
                <c:pt idx="17">
                  <c:v>38735</c:v>
                </c:pt>
                <c:pt idx="18">
                  <c:v>38827</c:v>
                </c:pt>
                <c:pt idx="19">
                  <c:v>38916</c:v>
                </c:pt>
                <c:pt idx="20">
                  <c:v>39009</c:v>
                </c:pt>
                <c:pt idx="21">
                  <c:v>39100</c:v>
                </c:pt>
                <c:pt idx="22">
                  <c:v>39191</c:v>
                </c:pt>
                <c:pt idx="23">
                  <c:v>39281</c:v>
                </c:pt>
                <c:pt idx="24">
                  <c:v>39373</c:v>
                </c:pt>
                <c:pt idx="25">
                  <c:v>39464</c:v>
                </c:pt>
                <c:pt idx="26">
                  <c:v>39555</c:v>
                </c:pt>
                <c:pt idx="27">
                  <c:v>39646</c:v>
                </c:pt>
                <c:pt idx="28">
                  <c:v>39737</c:v>
                </c:pt>
                <c:pt idx="29">
                  <c:v>39828</c:v>
                </c:pt>
                <c:pt idx="30">
                  <c:v>39919</c:v>
                </c:pt>
                <c:pt idx="31">
                  <c:v>40010</c:v>
                </c:pt>
                <c:pt idx="32">
                  <c:v>40108</c:v>
                </c:pt>
                <c:pt idx="33">
                  <c:v>40193</c:v>
                </c:pt>
                <c:pt idx="34">
                  <c:v>40290</c:v>
                </c:pt>
                <c:pt idx="35">
                  <c:v>40375</c:v>
                </c:pt>
                <c:pt idx="36">
                  <c:v>40472</c:v>
                </c:pt>
                <c:pt idx="37">
                  <c:v>40561</c:v>
                </c:pt>
                <c:pt idx="38">
                  <c:v>40653</c:v>
                </c:pt>
                <c:pt idx="39">
                  <c:v>40742</c:v>
                </c:pt>
                <c:pt idx="40">
                  <c:v>40836</c:v>
                </c:pt>
              </c:numCache>
            </c:numRef>
          </c:xVal>
          <c:yVal>
            <c:numRef>
              <c:f>'Cost of Equity via g via div &lt;-'!$P$3:$P$43</c:f>
              <c:numCache>
                <c:formatCode>#,##0.00</c:formatCode>
                <c:ptCount val="41"/>
                <c:pt idx="0">
                  <c:v>0.17499999999999999</c:v>
                </c:pt>
                <c:pt idx="1">
                  <c:v>0.17499999999999999</c:v>
                </c:pt>
                <c:pt idx="2">
                  <c:v>0.17499999999999999</c:v>
                </c:pt>
                <c:pt idx="3">
                  <c:v>0.17499999999999999</c:v>
                </c:pt>
                <c:pt idx="4">
                  <c:v>0.17499999999999999</c:v>
                </c:pt>
                <c:pt idx="5">
                  <c:v>0.17499999999999999</c:v>
                </c:pt>
                <c:pt idx="6">
                  <c:v>0.17499999999999999</c:v>
                </c:pt>
                <c:pt idx="7">
                  <c:v>0.17499999999999999</c:v>
                </c:pt>
                <c:pt idx="8">
                  <c:v>0.185</c:v>
                </c:pt>
                <c:pt idx="9">
                  <c:v>0.185</c:v>
                </c:pt>
                <c:pt idx="10">
                  <c:v>0.185</c:v>
                </c:pt>
                <c:pt idx="11">
                  <c:v>0.20499999999999999</c:v>
                </c:pt>
                <c:pt idx="12">
                  <c:v>0.20499999999999999</c:v>
                </c:pt>
                <c:pt idx="13">
                  <c:v>0.20499999999999999</c:v>
                </c:pt>
                <c:pt idx="14">
                  <c:v>0.20499999999999999</c:v>
                </c:pt>
                <c:pt idx="15">
                  <c:v>0.25</c:v>
                </c:pt>
                <c:pt idx="16">
                  <c:v>0.25</c:v>
                </c:pt>
                <c:pt idx="17">
                  <c:v>0.25</c:v>
                </c:pt>
                <c:pt idx="18">
                  <c:v>0.25</c:v>
                </c:pt>
                <c:pt idx="19">
                  <c:v>0.3</c:v>
                </c:pt>
                <c:pt idx="20">
                  <c:v>0.3</c:v>
                </c:pt>
                <c:pt idx="21">
                  <c:v>0.3</c:v>
                </c:pt>
                <c:pt idx="22">
                  <c:v>0.3</c:v>
                </c:pt>
                <c:pt idx="23">
                  <c:v>0.36</c:v>
                </c:pt>
                <c:pt idx="24">
                  <c:v>0.36</c:v>
                </c:pt>
                <c:pt idx="25">
                  <c:v>0.36</c:v>
                </c:pt>
                <c:pt idx="26">
                  <c:v>0.36</c:v>
                </c:pt>
                <c:pt idx="27">
                  <c:v>0.42</c:v>
                </c:pt>
                <c:pt idx="28">
                  <c:v>0.42</c:v>
                </c:pt>
                <c:pt idx="29">
                  <c:v>0.42</c:v>
                </c:pt>
                <c:pt idx="30">
                  <c:v>0.42</c:v>
                </c:pt>
                <c:pt idx="31">
                  <c:v>0.42</c:v>
                </c:pt>
                <c:pt idx="32">
                  <c:v>0.42</c:v>
                </c:pt>
                <c:pt idx="33">
                  <c:v>0.42</c:v>
                </c:pt>
                <c:pt idx="34">
                  <c:v>0.42</c:v>
                </c:pt>
                <c:pt idx="35">
                  <c:v>0.44</c:v>
                </c:pt>
                <c:pt idx="36">
                  <c:v>0.44</c:v>
                </c:pt>
                <c:pt idx="37">
                  <c:v>0.44</c:v>
                </c:pt>
                <c:pt idx="38">
                  <c:v>0.44</c:v>
                </c:pt>
                <c:pt idx="39">
                  <c:v>0.46</c:v>
                </c:pt>
                <c:pt idx="40">
                  <c:v>0.46</c:v>
                </c:pt>
              </c:numCache>
            </c:numRef>
          </c:yVal>
          <c:smooth val="0"/>
          <c:extLst>
            <c:ext xmlns:c16="http://schemas.microsoft.com/office/drawing/2014/chart" uri="{C3380CC4-5D6E-409C-BE32-E72D297353CC}">
              <c16:uniqueId val="{00000000-CDF7-4522-B56D-30FBE37338B9}"/>
            </c:ext>
          </c:extLst>
        </c:ser>
        <c:dLbls>
          <c:showLegendKey val="0"/>
          <c:showVal val="0"/>
          <c:showCatName val="0"/>
          <c:showSerName val="0"/>
          <c:showPercent val="0"/>
          <c:showBubbleSize val="0"/>
        </c:dLbls>
        <c:axId val="314156992"/>
        <c:axId val="314157384"/>
      </c:scatterChart>
      <c:valAx>
        <c:axId val="314156992"/>
        <c:scaling>
          <c:orientation val="minMax"/>
          <c:max val="40836"/>
          <c:min val="37182"/>
        </c:scaling>
        <c:delete val="0"/>
        <c:axPos val="b"/>
        <c:numFmt formatCode="[$-409]mmm/yy;@" sourceLinked="0"/>
        <c:majorTickMark val="out"/>
        <c:minorTickMark val="none"/>
        <c:tickLblPos val="nextTo"/>
        <c:txPr>
          <a:bodyPr rot="5400000" vert="horz"/>
          <a:lstStyle/>
          <a:p>
            <a:pPr>
              <a:defRPr/>
            </a:pPr>
            <a:endParaRPr lang="en-US"/>
          </a:p>
        </c:txPr>
        <c:crossAx val="314157384"/>
        <c:crosses val="autoZero"/>
        <c:crossBetween val="midCat"/>
        <c:majorUnit val="365"/>
      </c:valAx>
      <c:valAx>
        <c:axId val="314157384"/>
        <c:scaling>
          <c:orientation val="minMax"/>
        </c:scaling>
        <c:delete val="0"/>
        <c:axPos val="l"/>
        <c:numFmt formatCode="#,##0.00" sourceLinked="1"/>
        <c:majorTickMark val="out"/>
        <c:minorTickMark val="none"/>
        <c:tickLblPos val="nextTo"/>
        <c:crossAx val="314156992"/>
        <c:crosses val="autoZero"/>
        <c:crossBetween val="midCat"/>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'Cost of Equity via Payouts'!$B$2</c:f>
              <c:strCache>
                <c:ptCount val="1"/>
                <c:pt idx="0">
                  <c:v>Dividends</c:v>
                </c:pt>
              </c:strCache>
            </c:strRef>
          </c:tx>
          <c:xVal>
            <c:numRef>
              <c:f>'Cost of Equity via Payouts'!$A$3:$A$7</c:f>
              <c:numCache>
                <c:formatCode>[$-409]d/mmm/yy;@</c:formatCode>
                <c:ptCount val="5"/>
                <c:pt idx="0">
                  <c:v>2007</c:v>
                </c:pt>
                <c:pt idx="1">
                  <c:v>2008</c:v>
                </c:pt>
                <c:pt idx="2">
                  <c:v>2009</c:v>
                </c:pt>
                <c:pt idx="3">
                  <c:v>2010</c:v>
                </c:pt>
                <c:pt idx="4">
                  <c:v>2011</c:v>
                </c:pt>
              </c:numCache>
            </c:numRef>
          </c:xVal>
          <c:yVal>
            <c:numRef>
              <c:f>'Cost of Equity via Payouts'!$B$3:$B$7</c:f>
              <c:numCache>
                <c:formatCode>#,##0</c:formatCode>
                <c:ptCount val="5"/>
                <c:pt idx="0">
                  <c:v>3307.3</c:v>
                </c:pt>
                <c:pt idx="1">
                  <c:v>3278.5</c:v>
                </c:pt>
                <c:pt idx="2">
                  <c:v>3215</c:v>
                </c:pt>
                <c:pt idx="3">
                  <c:v>4734</c:v>
                </c:pt>
                <c:pt idx="4">
                  <c:v>4818</c:v>
                </c:pt>
              </c:numCache>
            </c:numRef>
          </c:yVal>
          <c:smooth val="0"/>
          <c:extLst>
            <c:ext xmlns:c16="http://schemas.microsoft.com/office/drawing/2014/chart" uri="{C3380CC4-5D6E-409C-BE32-E72D297353CC}">
              <c16:uniqueId val="{00000000-3BB0-4ADE-A2DD-EED580CD5170}"/>
            </c:ext>
          </c:extLst>
        </c:ser>
        <c:ser>
          <c:idx val="1"/>
          <c:order val="1"/>
          <c:tx>
            <c:strRef>
              <c:f>'Cost of Equity via Payouts'!$C$2</c:f>
              <c:strCache>
                <c:ptCount val="1"/>
                <c:pt idx="0">
                  <c:v>Share repurchases</c:v>
                </c:pt>
              </c:strCache>
            </c:strRef>
          </c:tx>
          <c:xVal>
            <c:numRef>
              <c:f>'Cost of Equity via Payouts'!$A$3:$A$7</c:f>
              <c:numCache>
                <c:formatCode>[$-409]d/mmm/yy;@</c:formatCode>
                <c:ptCount val="5"/>
                <c:pt idx="0">
                  <c:v>2007</c:v>
                </c:pt>
                <c:pt idx="1">
                  <c:v>2008</c:v>
                </c:pt>
                <c:pt idx="2">
                  <c:v>2009</c:v>
                </c:pt>
                <c:pt idx="3">
                  <c:v>2010</c:v>
                </c:pt>
                <c:pt idx="4">
                  <c:v>2011</c:v>
                </c:pt>
              </c:numCache>
            </c:numRef>
          </c:xVal>
          <c:yVal>
            <c:numRef>
              <c:f>'Cost of Equity via Payouts'!$C$3:$C$7</c:f>
              <c:numCache>
                <c:formatCode>#,##0</c:formatCode>
                <c:ptCount val="5"/>
                <c:pt idx="0">
                  <c:v>1429.7</c:v>
                </c:pt>
                <c:pt idx="1">
                  <c:v>2725</c:v>
                </c:pt>
                <c:pt idx="2">
                  <c:v>0</c:v>
                </c:pt>
                <c:pt idx="3">
                  <c:v>1593</c:v>
                </c:pt>
                <c:pt idx="4">
                  <c:v>1921</c:v>
                </c:pt>
              </c:numCache>
            </c:numRef>
          </c:yVal>
          <c:smooth val="0"/>
          <c:extLst>
            <c:ext xmlns:c16="http://schemas.microsoft.com/office/drawing/2014/chart" uri="{C3380CC4-5D6E-409C-BE32-E72D297353CC}">
              <c16:uniqueId val="{00000001-3BB0-4ADE-A2DD-EED580CD5170}"/>
            </c:ext>
          </c:extLst>
        </c:ser>
        <c:ser>
          <c:idx val="2"/>
          <c:order val="2"/>
          <c:tx>
            <c:strRef>
              <c:f>'Cost of Equity via Payouts'!$D$2</c:f>
              <c:strCache>
                <c:ptCount val="1"/>
                <c:pt idx="0">
                  <c:v>Proceeds from stock option exercise</c:v>
                </c:pt>
              </c:strCache>
            </c:strRef>
          </c:tx>
          <c:xVal>
            <c:numRef>
              <c:f>'Cost of Equity via Payouts'!$A$3:$A$7</c:f>
              <c:numCache>
                <c:formatCode>[$-409]d/mmm/yy;@</c:formatCode>
                <c:ptCount val="5"/>
                <c:pt idx="0">
                  <c:v>2007</c:v>
                </c:pt>
                <c:pt idx="1">
                  <c:v>2008</c:v>
                </c:pt>
                <c:pt idx="2">
                  <c:v>2009</c:v>
                </c:pt>
                <c:pt idx="3">
                  <c:v>2010</c:v>
                </c:pt>
                <c:pt idx="4">
                  <c:v>2011</c:v>
                </c:pt>
              </c:numCache>
            </c:numRef>
          </c:xVal>
          <c:yVal>
            <c:numRef>
              <c:f>'Cost of Equity via Payouts'!$D$3:$D$7</c:f>
              <c:numCache>
                <c:formatCode>#,##0</c:formatCode>
                <c:ptCount val="5"/>
                <c:pt idx="0">
                  <c:v>898.6</c:v>
                </c:pt>
                <c:pt idx="1">
                  <c:v>102.3</c:v>
                </c:pt>
                <c:pt idx="2">
                  <c:v>186</c:v>
                </c:pt>
                <c:pt idx="3">
                  <c:v>363</c:v>
                </c:pt>
                <c:pt idx="4">
                  <c:v>321</c:v>
                </c:pt>
              </c:numCache>
            </c:numRef>
          </c:yVal>
          <c:smooth val="0"/>
          <c:extLst>
            <c:ext xmlns:c16="http://schemas.microsoft.com/office/drawing/2014/chart" uri="{C3380CC4-5D6E-409C-BE32-E72D297353CC}">
              <c16:uniqueId val="{00000002-3BB0-4ADE-A2DD-EED580CD5170}"/>
            </c:ext>
          </c:extLst>
        </c:ser>
        <c:dLbls>
          <c:showLegendKey val="0"/>
          <c:showVal val="0"/>
          <c:showCatName val="0"/>
          <c:showSerName val="0"/>
          <c:showPercent val="0"/>
          <c:showBubbleSize val="0"/>
        </c:dLbls>
        <c:axId val="473476640"/>
        <c:axId val="473478208"/>
      </c:scatterChart>
      <c:valAx>
        <c:axId val="473476640"/>
        <c:scaling>
          <c:orientation val="minMax"/>
          <c:max val="2011"/>
          <c:min val="2007"/>
        </c:scaling>
        <c:delete val="0"/>
        <c:axPos val="b"/>
        <c:numFmt formatCode="[$-409]d/mmm/yy;@" sourceLinked="1"/>
        <c:majorTickMark val="out"/>
        <c:minorTickMark val="none"/>
        <c:tickLblPos val="nextTo"/>
        <c:crossAx val="473478208"/>
        <c:crosses val="autoZero"/>
        <c:crossBetween val="midCat"/>
      </c:valAx>
      <c:valAx>
        <c:axId val="473478208"/>
        <c:scaling>
          <c:orientation val="minMax"/>
        </c:scaling>
        <c:delete val="0"/>
        <c:axPos val="l"/>
        <c:majorGridlines/>
        <c:numFmt formatCode="#,##0" sourceLinked="1"/>
        <c:majorTickMark val="out"/>
        <c:minorTickMark val="none"/>
        <c:tickLblPos val="nextTo"/>
        <c:crossAx val="473476640"/>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Merck return</a:t>
            </a:r>
            <a:r>
              <a:rPr lang="en-US" baseline="0"/>
              <a:t> vs SP500, 2007-2012</a:t>
            </a:r>
            <a:endParaRPr lang="en-US"/>
          </a:p>
        </c:rich>
      </c:tx>
      <c:overlay val="0"/>
    </c:title>
    <c:autoTitleDeleted val="0"/>
    <c:plotArea>
      <c:layout/>
      <c:scatterChart>
        <c:scatterStyle val="lineMarker"/>
        <c:varyColors val="0"/>
        <c:ser>
          <c:idx val="0"/>
          <c:order val="0"/>
          <c:spPr>
            <a:ln w="28575">
              <a:noFill/>
            </a:ln>
          </c:spPr>
          <c:trendline>
            <c:trendlineType val="linear"/>
            <c:dispRSqr val="1"/>
            <c:dispEq val="1"/>
            <c:trendlineLbl>
              <c:numFmt formatCode="General" sourceLinked="0"/>
            </c:trendlineLbl>
          </c:trendline>
          <c:xVal>
            <c:numRef>
              <c:f>'Beta via S&amp;P 500'!$F$11:$F$70</c:f>
              <c:numCache>
                <c:formatCode>0.00%</c:formatCode>
                <c:ptCount val="60"/>
                <c:pt idx="0">
                  <c:v>-3.2504500841186675E-2</c:v>
                </c:pt>
                <c:pt idx="1">
                  <c:v>1.2781559065278813E-2</c:v>
                </c:pt>
                <c:pt idx="2">
                  <c:v>3.5168283637491062E-2</c:v>
                </c:pt>
                <c:pt idx="3">
                  <c:v>1.4713557788708606E-2</c:v>
                </c:pt>
                <c:pt idx="4">
                  <c:v>-4.5042789369416157E-2</c:v>
                </c:pt>
                <c:pt idx="5">
                  <c:v>-8.6659298048018304E-3</c:v>
                </c:pt>
                <c:pt idx="6">
                  <c:v>-6.3113909602276946E-2</c:v>
                </c:pt>
                <c:pt idx="7">
                  <c:v>-3.5379707842082095E-2</c:v>
                </c:pt>
                <c:pt idx="8">
                  <c:v>-5.9774122413739049E-3</c:v>
                </c:pt>
                <c:pt idx="9">
                  <c:v>4.6450939660056381E-2</c:v>
                </c:pt>
                <c:pt idx="10">
                  <c:v>1.0617586652650165E-2</c:v>
                </c:pt>
                <c:pt idx="11">
                  <c:v>-8.98835504310454E-2</c:v>
                </c:pt>
                <c:pt idx="12">
                  <c:v>-9.9083004864562122E-3</c:v>
                </c:pt>
                <c:pt idx="13">
                  <c:v>1.2116797460712942E-2</c:v>
                </c:pt>
                <c:pt idx="14">
                  <c:v>-9.5180786774375359E-2</c:v>
                </c:pt>
                <c:pt idx="15">
                  <c:v>-0.18563648644598751</c:v>
                </c:pt>
                <c:pt idx="16">
                  <c:v>-7.7798346417088868E-2</c:v>
                </c:pt>
                <c:pt idx="17">
                  <c:v>7.7911357772817548E-3</c:v>
                </c:pt>
                <c:pt idx="18">
                  <c:v>-8.9549885511070959E-2</c:v>
                </c:pt>
                <c:pt idx="19">
                  <c:v>-0.11645654382051443</c:v>
                </c:pt>
                <c:pt idx="20">
                  <c:v>8.1952736214643773E-2</c:v>
                </c:pt>
                <c:pt idx="21">
                  <c:v>8.9772214920969498E-2</c:v>
                </c:pt>
                <c:pt idx="22">
                  <c:v>5.1720558420882315E-2</c:v>
                </c:pt>
                <c:pt idx="23">
                  <c:v>1.9581606407012827E-4</c:v>
                </c:pt>
                <c:pt idx="24">
                  <c:v>7.1521977088891908E-2</c:v>
                </c:pt>
                <c:pt idx="25">
                  <c:v>3.3009321348136535E-2</c:v>
                </c:pt>
                <c:pt idx="26">
                  <c:v>3.5100104155946166E-2</c:v>
                </c:pt>
                <c:pt idx="27">
                  <c:v>-1.9959865222177731E-2</c:v>
                </c:pt>
                <c:pt idx="28">
                  <c:v>5.5779015582807137E-2</c:v>
                </c:pt>
                <c:pt idx="29">
                  <c:v>1.7614546700982087E-2</c:v>
                </c:pt>
                <c:pt idx="30">
                  <c:v>-3.7675141059320766E-2</c:v>
                </c:pt>
                <c:pt idx="31">
                  <c:v>2.8114744036660498E-2</c:v>
                </c:pt>
                <c:pt idx="32">
                  <c:v>5.7132760645483123E-2</c:v>
                </c:pt>
                <c:pt idx="33">
                  <c:v>1.4651468311863144E-2</c:v>
                </c:pt>
                <c:pt idx="34">
                  <c:v>-8.5531653633770133E-2</c:v>
                </c:pt>
                <c:pt idx="35">
                  <c:v>-5.5388380132376618E-2</c:v>
                </c:pt>
                <c:pt idx="36">
                  <c:v>6.6515783274589638E-2</c:v>
                </c:pt>
                <c:pt idx="37">
                  <c:v>-4.8611803170382606E-2</c:v>
                </c:pt>
                <c:pt idx="38">
                  <c:v>8.3928475095282604E-2</c:v>
                </c:pt>
                <c:pt idx="39">
                  <c:v>3.6193000710687595E-2</c:v>
                </c:pt>
                <c:pt idx="40">
                  <c:v>-2.2929094870601432E-3</c:v>
                </c:pt>
                <c:pt idx="41">
                  <c:v>6.3256517221926059E-2</c:v>
                </c:pt>
                <c:pt idx="42">
                  <c:v>2.239298525651701E-2</c:v>
                </c:pt>
                <c:pt idx="43">
                  <c:v>3.1456595040144836E-2</c:v>
                </c:pt>
                <c:pt idx="44">
                  <c:v>-1.0478506829378123E-3</c:v>
                </c:pt>
                <c:pt idx="45">
                  <c:v>2.809691636712916E-2</c:v>
                </c:pt>
                <c:pt idx="46">
                  <c:v>-1.3592893899637262E-2</c:v>
                </c:pt>
                <c:pt idx="47">
                  <c:v>-1.8426233301897538E-2</c:v>
                </c:pt>
                <c:pt idx="48">
                  <c:v>-2.1708367435427242E-2</c:v>
                </c:pt>
                <c:pt idx="49">
                  <c:v>-5.8467491619120418E-2</c:v>
                </c:pt>
                <c:pt idx="50">
                  <c:v>-7.4467127542783104E-2</c:v>
                </c:pt>
                <c:pt idx="51">
                  <c:v>0.10230659165059017</c:v>
                </c:pt>
                <c:pt idx="52">
                  <c:v>-5.0714834366809821E-3</c:v>
                </c:pt>
                <c:pt idx="53">
                  <c:v>8.4965534941463527E-3</c:v>
                </c:pt>
                <c:pt idx="54">
                  <c:v>4.2659999011137491E-2</c:v>
                </c:pt>
                <c:pt idx="55">
                  <c:v>3.9787331386417914E-2</c:v>
                </c:pt>
                <c:pt idx="56">
                  <c:v>3.0851535762571346E-2</c:v>
                </c:pt>
                <c:pt idx="57">
                  <c:v>-7.5257447960486246E-3</c:v>
                </c:pt>
                <c:pt idx="58">
                  <c:v>-6.4699250170469236E-2</c:v>
                </c:pt>
                <c:pt idx="59">
                  <c:v>3.8792661243837456E-2</c:v>
                </c:pt>
              </c:numCache>
            </c:numRef>
          </c:xVal>
          <c:yVal>
            <c:numRef>
              <c:f>'Beta via S&amp;P 500'!$E$11:$E$70</c:f>
              <c:numCache>
                <c:formatCode>0.00%</c:formatCode>
                <c:ptCount val="60"/>
                <c:pt idx="0">
                  <c:v>-3.0120504699916095E-3</c:v>
                </c:pt>
                <c:pt idx="1">
                  <c:v>1.05027221991492E-2</c:v>
                </c:pt>
                <c:pt idx="2">
                  <c:v>3.7353298978485779E-2</c:v>
                </c:pt>
                <c:pt idx="3">
                  <c:v>0.11977800898691028</c:v>
                </c:pt>
                <c:pt idx="4">
                  <c:v>1.8743309581168353E-2</c:v>
                </c:pt>
                <c:pt idx="5">
                  <c:v>-1.47123292635142E-2</c:v>
                </c:pt>
                <c:pt idx="6">
                  <c:v>-0.23148867110242963</c:v>
                </c:pt>
                <c:pt idx="7">
                  <c:v>-4.0021674349485961E-2</c:v>
                </c:pt>
                <c:pt idx="8">
                  <c:v>-0.14598962754656439</c:v>
                </c:pt>
                <c:pt idx="9">
                  <c:v>2.5682197101663468E-3</c:v>
                </c:pt>
                <c:pt idx="10">
                  <c:v>2.3761612167154448E-2</c:v>
                </c:pt>
                <c:pt idx="11">
                  <c:v>-2.3120586504178278E-2</c:v>
                </c:pt>
                <c:pt idx="12">
                  <c:v>-0.13605207500137656</c:v>
                </c:pt>
                <c:pt idx="13">
                  <c:v>8.1058795821922214E-2</c:v>
                </c:pt>
                <c:pt idx="14">
                  <c:v>-0.11162397800905437</c:v>
                </c:pt>
                <c:pt idx="15">
                  <c:v>-1.9492304520160767E-2</c:v>
                </c:pt>
                <c:pt idx="16">
                  <c:v>-0.14690821907198037</c:v>
                </c:pt>
                <c:pt idx="17">
                  <c:v>0.1434286099164582</c:v>
                </c:pt>
                <c:pt idx="18">
                  <c:v>-6.2732768035004202E-2</c:v>
                </c:pt>
                <c:pt idx="19">
                  <c:v>-0.16555567644124861</c:v>
                </c:pt>
                <c:pt idx="20">
                  <c:v>0.11697167658550421</c:v>
                </c:pt>
                <c:pt idx="21">
                  <c:v>-9.864908106983955E-2</c:v>
                </c:pt>
                <c:pt idx="22">
                  <c:v>0.12892212404086306</c:v>
                </c:pt>
                <c:pt idx="23">
                  <c:v>2.7750797145353924E-2</c:v>
                </c:pt>
                <c:pt idx="24">
                  <c:v>7.0951735972284394E-2</c:v>
                </c:pt>
                <c:pt idx="25">
                  <c:v>7.7228776868470086E-2</c:v>
                </c:pt>
                <c:pt idx="26">
                  <c:v>-1.2761605308182863E-2</c:v>
                </c:pt>
                <c:pt idx="27">
                  <c:v>-2.2367454862002555E-2</c:v>
                </c:pt>
                <c:pt idx="28">
                  <c:v>0.15763654480707118</c:v>
                </c:pt>
                <c:pt idx="29">
                  <c:v>1.9136386428526997E-2</c:v>
                </c:pt>
                <c:pt idx="30">
                  <c:v>4.3959836137152229E-2</c:v>
                </c:pt>
                <c:pt idx="31">
                  <c:v>-3.4830131822343235E-2</c:v>
                </c:pt>
                <c:pt idx="32">
                  <c:v>2.3354354861096886E-2</c:v>
                </c:pt>
                <c:pt idx="33">
                  <c:v>-6.3848219842963641E-2</c:v>
                </c:pt>
                <c:pt idx="34">
                  <c:v>-3.9245950064789321E-2</c:v>
                </c:pt>
                <c:pt idx="35">
                  <c:v>4.8039976587362566E-2</c:v>
                </c:pt>
                <c:pt idx="36">
                  <c:v>-1.4488442416129833E-2</c:v>
                </c:pt>
                <c:pt idx="37">
                  <c:v>2.0101179321087088E-2</c:v>
                </c:pt>
                <c:pt idx="38">
                  <c:v>5.6225142656950215E-2</c:v>
                </c:pt>
                <c:pt idx="39">
                  <c:v>-1.3613705368710293E-2</c:v>
                </c:pt>
                <c:pt idx="40">
                  <c:v>-5.1983577117103094E-2</c:v>
                </c:pt>
                <c:pt idx="41">
                  <c:v>5.495888428075741E-2</c:v>
                </c:pt>
                <c:pt idx="42">
                  <c:v>-8.296835377393727E-2</c:v>
                </c:pt>
                <c:pt idx="43">
                  <c:v>-1.8241548157575754E-2</c:v>
                </c:pt>
                <c:pt idx="44">
                  <c:v>2.4997243788565042E-2</c:v>
                </c:pt>
                <c:pt idx="45">
                  <c:v>8.5380251552780631E-2</c:v>
                </c:pt>
                <c:pt idx="46">
                  <c:v>2.2126084583490073E-2</c:v>
                </c:pt>
                <c:pt idx="47">
                  <c:v>-2.9809337510013134E-2</c:v>
                </c:pt>
                <c:pt idx="48">
                  <c:v>-3.348224087330743E-2</c:v>
                </c:pt>
                <c:pt idx="49">
                  <c:v>-3.0522456591336049E-2</c:v>
                </c:pt>
                <c:pt idx="50">
                  <c:v>-3.1630555379964488E-4</c:v>
                </c:pt>
                <c:pt idx="51">
                  <c:v>5.3584246134106471E-2</c:v>
                </c:pt>
                <c:pt idx="52">
                  <c:v>3.5639171574222153E-2</c:v>
                </c:pt>
                <c:pt idx="53">
                  <c:v>6.4972454752538128E-2</c:v>
                </c:pt>
                <c:pt idx="54">
                  <c:v>1.5070252920998173E-2</c:v>
                </c:pt>
                <c:pt idx="55">
                  <c:v>-2.6745134958146215E-3</c:v>
                </c:pt>
                <c:pt idx="56">
                  <c:v>1.6994567270562991E-2</c:v>
                </c:pt>
                <c:pt idx="57">
                  <c:v>2.1875872356724457E-2</c:v>
                </c:pt>
                <c:pt idx="58">
                  <c:v>-4.3433593431703353E-2</c:v>
                </c:pt>
                <c:pt idx="59">
                  <c:v>0.11619746698770368</c:v>
                </c:pt>
              </c:numCache>
            </c:numRef>
          </c:yVal>
          <c:smooth val="0"/>
          <c:extLst>
            <c:ext xmlns:c16="http://schemas.microsoft.com/office/drawing/2014/chart" uri="{C3380CC4-5D6E-409C-BE32-E72D297353CC}">
              <c16:uniqueId val="{00000001-9299-4A5A-A284-791763266B9F}"/>
            </c:ext>
          </c:extLst>
        </c:ser>
        <c:dLbls>
          <c:showLegendKey val="0"/>
          <c:showVal val="0"/>
          <c:showCatName val="0"/>
          <c:showSerName val="0"/>
          <c:showPercent val="0"/>
          <c:showBubbleSize val="0"/>
        </c:dLbls>
        <c:axId val="152514248"/>
        <c:axId val="476703384"/>
      </c:scatterChart>
      <c:valAx>
        <c:axId val="152514248"/>
        <c:scaling>
          <c:orientation val="minMax"/>
          <c:max val="0.12000000000000001"/>
          <c:min val="-0.2"/>
        </c:scaling>
        <c:delete val="0"/>
        <c:axPos val="b"/>
        <c:title>
          <c:tx>
            <c:rich>
              <a:bodyPr/>
              <a:lstStyle/>
              <a:p>
                <a:pPr>
                  <a:defRPr/>
                </a:pPr>
                <a:r>
                  <a:rPr lang="en-US"/>
                  <a:t>SP500</a:t>
                </a:r>
              </a:p>
            </c:rich>
          </c:tx>
          <c:overlay val="0"/>
        </c:title>
        <c:numFmt formatCode="0%" sourceLinked="0"/>
        <c:majorTickMark val="none"/>
        <c:minorTickMark val="none"/>
        <c:tickLblPos val="nextTo"/>
        <c:crossAx val="476703384"/>
        <c:crosses val="autoZero"/>
        <c:crossBetween val="midCat"/>
        <c:majorUnit val="3.0000000000000006E-2"/>
      </c:valAx>
      <c:valAx>
        <c:axId val="476703384"/>
        <c:scaling>
          <c:orientation val="minMax"/>
          <c:max val="0.18000000000000002"/>
          <c:min val="-0.25"/>
        </c:scaling>
        <c:delete val="0"/>
        <c:axPos val="l"/>
        <c:title>
          <c:tx>
            <c:rich>
              <a:bodyPr/>
              <a:lstStyle/>
              <a:p>
                <a:pPr>
                  <a:defRPr/>
                </a:pPr>
                <a:r>
                  <a:rPr lang="en-US"/>
                  <a:t>Merck</a:t>
                </a:r>
              </a:p>
            </c:rich>
          </c:tx>
          <c:layout>
            <c:manualLayout>
              <c:xMode val="edge"/>
              <c:yMode val="edge"/>
              <c:x val="5.2777777777777778E-2"/>
              <c:y val="0.27813065033537476"/>
            </c:manualLayout>
          </c:layout>
          <c:overlay val="0"/>
        </c:title>
        <c:numFmt formatCode="0%" sourceLinked="0"/>
        <c:majorTickMark val="none"/>
        <c:minorTickMark val="none"/>
        <c:tickLblPos val="nextTo"/>
        <c:crossAx val="152514248"/>
        <c:crosses val="autoZero"/>
        <c:crossBetween val="midCat"/>
        <c:majorUnit val="3.0000000000000006E-2"/>
      </c:valAx>
    </c:plotArea>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chart" Target="../charts/chart4.xml"/><Relationship Id="rId1" Type="http://schemas.openxmlformats.org/officeDocument/2006/relationships/image" Target="../media/image6.png"/><Relationship Id="rId5" Type="http://schemas.openxmlformats.org/officeDocument/2006/relationships/image" Target="../media/image9.png"/><Relationship Id="rId4" Type="http://schemas.openxmlformats.org/officeDocument/2006/relationships/image" Target="../media/image8.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1381125</xdr:colOff>
      <xdr:row>1</xdr:row>
      <xdr:rowOff>104775</xdr:rowOff>
    </xdr:to>
    <xdr:pic>
      <xdr:nvPicPr>
        <xdr:cNvPr id="2" name="Picture 2">
          <a:extLst>
            <a:ext uri="{FF2B5EF4-FFF2-40B4-BE49-F238E27FC236}">
              <a16:creationId xmlns:a16="http://schemas.microsoft.com/office/drawing/2014/main" id="{93024D51-B8F9-4E47-825A-39774D8BB5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1381125</xdr:colOff>
      <xdr:row>1</xdr:row>
      <xdr:rowOff>104775</xdr:rowOff>
    </xdr:to>
    <xdr:pic>
      <xdr:nvPicPr>
        <xdr:cNvPr id="2" name="Picture 2">
          <a:extLst>
            <a:ext uri="{FF2B5EF4-FFF2-40B4-BE49-F238E27FC236}">
              <a16:creationId xmlns:a16="http://schemas.microsoft.com/office/drawing/2014/main" id="{17DBEDD1-2592-40D8-BD27-DCFAD67272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1381125</xdr:colOff>
      <xdr:row>1</xdr:row>
      <xdr:rowOff>104775</xdr:rowOff>
    </xdr:to>
    <xdr:pic>
      <xdr:nvPicPr>
        <xdr:cNvPr id="2" name="Picture 2">
          <a:extLst>
            <a:ext uri="{FF2B5EF4-FFF2-40B4-BE49-F238E27FC236}">
              <a16:creationId xmlns:a16="http://schemas.microsoft.com/office/drawing/2014/main" id="{4BFD8839-6F77-4431-95D5-51F6BA9D2A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1381125</xdr:colOff>
      <xdr:row>1</xdr:row>
      <xdr:rowOff>104775</xdr:rowOff>
    </xdr:to>
    <xdr:pic>
      <xdr:nvPicPr>
        <xdr:cNvPr id="2" name="Picture 2">
          <a:extLst>
            <a:ext uri="{FF2B5EF4-FFF2-40B4-BE49-F238E27FC236}">
              <a16:creationId xmlns:a16="http://schemas.microsoft.com/office/drawing/2014/main" id="{CAC40BEE-F0C6-4E59-B0FE-7573A287502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19050</xdr:colOff>
      <xdr:row>66</xdr:row>
      <xdr:rowOff>0</xdr:rowOff>
    </xdr:from>
    <xdr:to>
      <xdr:col>3</xdr:col>
      <xdr:colOff>581025</xdr:colOff>
      <xdr:row>66</xdr:row>
      <xdr:rowOff>1905000</xdr:rowOff>
    </xdr:to>
    <xdr:pic>
      <xdr:nvPicPr>
        <xdr:cNvPr id="3" name="Picture 3">
          <a:extLst>
            <a:ext uri="{FF2B5EF4-FFF2-40B4-BE49-F238E27FC236}">
              <a16:creationId xmlns:a16="http://schemas.microsoft.com/office/drawing/2014/main" id="{ADBFD6B6-0B34-458B-A2BD-8C3B6FEE59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11944350"/>
          <a:ext cx="26193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1381125</xdr:colOff>
      <xdr:row>1</xdr:row>
      <xdr:rowOff>104775</xdr:rowOff>
    </xdr:to>
    <xdr:pic>
      <xdr:nvPicPr>
        <xdr:cNvPr id="2" name="Picture 2">
          <a:extLst>
            <a:ext uri="{FF2B5EF4-FFF2-40B4-BE49-F238E27FC236}">
              <a16:creationId xmlns:a16="http://schemas.microsoft.com/office/drawing/2014/main" id="{7F93EB22-4773-45ED-9B0F-C1ECC99A11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14</xdr:row>
      <xdr:rowOff>38100</xdr:rowOff>
    </xdr:from>
    <xdr:to>
      <xdr:col>7</xdr:col>
      <xdr:colOff>341647</xdr:colOff>
      <xdr:row>44</xdr:row>
      <xdr:rowOff>76664</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0" y="2876550"/>
          <a:ext cx="7704472" cy="5524964"/>
        </a:xfrm>
        <a:prstGeom prst="rect">
          <a:avLst/>
        </a:prstGeom>
      </xdr:spPr>
    </xdr:pic>
    <xdr:clientData/>
  </xdr:twoCellAnchor>
  <xdr:oneCellAnchor>
    <xdr:from>
      <xdr:col>10</xdr:col>
      <xdr:colOff>22860</xdr:colOff>
      <xdr:row>21</xdr:row>
      <xdr:rowOff>160020</xdr:rowOff>
    </xdr:from>
    <xdr:ext cx="5294455" cy="1537464"/>
    <xdr:pic>
      <xdr:nvPicPr>
        <xdr:cNvPr id="5" name="Picture 4">
          <a:extLst>
            <a:ext uri="{FF2B5EF4-FFF2-40B4-BE49-F238E27FC236}">
              <a16:creationId xmlns:a16="http://schemas.microsoft.com/office/drawing/2014/main" id="{49790C56-A0EF-4112-BB08-D8A13501C286}"/>
            </a:ext>
          </a:extLst>
        </xdr:cNvPr>
        <xdr:cNvPicPr>
          <a:picLocks noChangeAspect="1"/>
        </xdr:cNvPicPr>
      </xdr:nvPicPr>
      <xdr:blipFill>
        <a:blip xmlns:r="http://schemas.openxmlformats.org/officeDocument/2006/relationships" r:embed="rId2"/>
        <a:stretch>
          <a:fillRect/>
        </a:stretch>
      </xdr:blipFill>
      <xdr:spPr>
        <a:xfrm>
          <a:off x="21787485" y="4322445"/>
          <a:ext cx="5294455" cy="1537464"/>
        </a:xfrm>
        <a:prstGeom prst="rect">
          <a:avLst/>
        </a:prstGeom>
      </xdr:spPr>
    </xdr:pic>
    <xdr:clientData/>
  </xdr:oneCellAnchor>
  <xdr:oneCellAnchor>
    <xdr:from>
      <xdr:col>10</xdr:col>
      <xdr:colOff>0</xdr:colOff>
      <xdr:row>32</xdr:row>
      <xdr:rowOff>0</xdr:rowOff>
    </xdr:from>
    <xdr:ext cx="6810966" cy="5944100"/>
    <xdr:pic>
      <xdr:nvPicPr>
        <xdr:cNvPr id="6" name="Picture 5">
          <a:extLst>
            <a:ext uri="{FF2B5EF4-FFF2-40B4-BE49-F238E27FC236}">
              <a16:creationId xmlns:a16="http://schemas.microsoft.com/office/drawing/2014/main" id="{3F610526-F797-48D9-AB52-5E4905D2A90E}"/>
            </a:ext>
          </a:extLst>
        </xdr:cNvPr>
        <xdr:cNvPicPr>
          <a:picLocks noChangeAspect="1"/>
        </xdr:cNvPicPr>
      </xdr:nvPicPr>
      <xdr:blipFill>
        <a:blip xmlns:r="http://schemas.openxmlformats.org/officeDocument/2006/relationships" r:embed="rId3"/>
        <a:stretch>
          <a:fillRect/>
        </a:stretch>
      </xdr:blipFill>
      <xdr:spPr>
        <a:xfrm>
          <a:off x="21764625" y="6153150"/>
          <a:ext cx="6810966" cy="5944100"/>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absoluteAnchor>
    <xdr:pos x="8172450" y="0"/>
    <xdr:ext cx="8674554" cy="6293304"/>
    <xdr:graphicFrame macro="">
      <xdr:nvGraphicFramePr>
        <xdr:cNvPr id="8" name="Chart 7">
          <a:extLst>
            <a:ext uri="{FF2B5EF4-FFF2-40B4-BE49-F238E27FC236}">
              <a16:creationId xmlns:a16="http://schemas.microsoft.com/office/drawing/2014/main" id="{BD3FA29C-A95D-441C-96F9-2A07AFF94CF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0.40886</cdr:x>
      <cdr:y>0.8935</cdr:y>
    </cdr:from>
    <cdr:to>
      <cdr:x>0.76251</cdr:x>
      <cdr:y>0.94243</cdr:y>
    </cdr:to>
    <cdr:sp macro="" textlink="">
      <cdr:nvSpPr>
        <cdr:cNvPr id="2" name="TextBox 1"/>
        <cdr:cNvSpPr txBox="1"/>
      </cdr:nvSpPr>
      <cdr:spPr>
        <a:xfrm xmlns:a="http://schemas.openxmlformats.org/drawingml/2006/main">
          <a:off x="3537045" y="5606955"/>
          <a:ext cx="3059373" cy="3070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a:t>Bond maturity</a:t>
          </a:r>
        </a:p>
      </cdr:txBody>
    </cdr:sp>
  </cdr:relSizeAnchor>
</c:userShapes>
</file>

<file path=xl/drawings/drawing9.xml><?xml version="1.0" encoding="utf-8"?>
<xdr:wsDr xmlns:xdr="http://schemas.openxmlformats.org/drawingml/2006/spreadsheetDrawing" xmlns:a="http://schemas.openxmlformats.org/drawingml/2006/main">
  <xdr:twoCellAnchor>
    <xdr:from>
      <xdr:col>8</xdr:col>
      <xdr:colOff>340996</xdr:colOff>
      <xdr:row>11</xdr:row>
      <xdr:rowOff>21405</xdr:rowOff>
    </xdr:from>
    <xdr:to>
      <xdr:col>11</xdr:col>
      <xdr:colOff>845478</xdr:colOff>
      <xdr:row>26</xdr:row>
      <xdr:rowOff>9525</xdr:rowOff>
    </xdr:to>
    <xdr:graphicFrame macro="">
      <xdr:nvGraphicFramePr>
        <xdr:cNvPr id="2" name="Chart 1">
          <a:extLst>
            <a:ext uri="{FF2B5EF4-FFF2-40B4-BE49-F238E27FC236}">
              <a16:creationId xmlns:a16="http://schemas.microsoft.com/office/drawing/2014/main" id="{49203649-2E85-4D2A-AA83-3823F4A983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434340</xdr:colOff>
      <xdr:row>16</xdr:row>
      <xdr:rowOff>139130</xdr:rowOff>
    </xdr:from>
    <xdr:to>
      <xdr:col>21</xdr:col>
      <xdr:colOff>288961</xdr:colOff>
      <xdr:row>32</xdr:row>
      <xdr:rowOff>1</xdr:rowOff>
    </xdr:to>
    <xdr:graphicFrame macro="">
      <xdr:nvGraphicFramePr>
        <xdr:cNvPr id="3" name="Chart 2">
          <a:extLst>
            <a:ext uri="{FF2B5EF4-FFF2-40B4-BE49-F238E27FC236}">
              <a16:creationId xmlns:a16="http://schemas.microsoft.com/office/drawing/2014/main" id="{95B81CA7-DE79-443C-B4E4-716CAA4898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7</xdr:col>
      <xdr:colOff>573405</xdr:colOff>
      <xdr:row>16</xdr:row>
      <xdr:rowOff>74295</xdr:rowOff>
    </xdr:from>
    <xdr:to>
      <xdr:col>16</xdr:col>
      <xdr:colOff>261569</xdr:colOff>
      <xdr:row>38</xdr:row>
      <xdr:rowOff>80342</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7002780" y="4017645"/>
          <a:ext cx="6889064" cy="3987497"/>
        </a:xfrm>
        <a:prstGeom prst="rect">
          <a:avLst/>
        </a:prstGeom>
      </xdr:spPr>
    </xdr:pic>
    <xdr:clientData/>
  </xdr:twoCellAnchor>
  <xdr:twoCellAnchor>
    <xdr:from>
      <xdr:col>0</xdr:col>
      <xdr:colOff>114300</xdr:colOff>
      <xdr:row>16</xdr:row>
      <xdr:rowOff>83820</xdr:rowOff>
    </xdr:from>
    <xdr:to>
      <xdr:col>5</xdr:col>
      <xdr:colOff>731520</xdr:colOff>
      <xdr:row>32</xdr:row>
      <xdr:rowOff>22860</xdr:rowOff>
    </xdr:to>
    <xdr:graphicFrame macro="">
      <xdr:nvGraphicFramePr>
        <xdr:cNvPr id="5" name="Chart 4">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43</xdr:col>
      <xdr:colOff>106680</xdr:colOff>
      <xdr:row>0</xdr:row>
      <xdr:rowOff>160020</xdr:rowOff>
    </xdr:from>
    <xdr:to>
      <xdr:col>53</xdr:col>
      <xdr:colOff>137744</xdr:colOff>
      <xdr:row>16</xdr:row>
      <xdr:rowOff>154637</xdr:rowOff>
    </xdr:to>
    <xdr:pic>
      <xdr:nvPicPr>
        <xdr:cNvPr id="4" name="Picture 3">
          <a:extLst>
            <a:ext uri="{FF2B5EF4-FFF2-40B4-BE49-F238E27FC236}">
              <a16:creationId xmlns:a16="http://schemas.microsoft.com/office/drawing/2014/main" id="{F2051690-443C-49C3-A302-8E5B9EDAEB29}"/>
            </a:ext>
          </a:extLst>
        </xdr:cNvPr>
        <xdr:cNvPicPr>
          <a:picLocks noChangeAspect="1"/>
        </xdr:cNvPicPr>
      </xdr:nvPicPr>
      <xdr:blipFill>
        <a:blip xmlns:r="http://schemas.openxmlformats.org/officeDocument/2006/relationships" r:embed="rId1"/>
        <a:stretch>
          <a:fillRect/>
        </a:stretch>
      </xdr:blipFill>
      <xdr:spPr>
        <a:xfrm>
          <a:off x="16823055" y="160020"/>
          <a:ext cx="6889064" cy="3937967"/>
        </a:xfrm>
        <a:prstGeom prst="rect">
          <a:avLst/>
        </a:prstGeom>
      </xdr:spPr>
    </xdr:pic>
    <xdr:clientData/>
  </xdr:twoCellAnchor>
  <xdr:twoCellAnchor editAs="oneCell">
    <xdr:from>
      <xdr:col>27</xdr:col>
      <xdr:colOff>487680</xdr:colOff>
      <xdr:row>33</xdr:row>
      <xdr:rowOff>45720</xdr:rowOff>
    </xdr:from>
    <xdr:to>
      <xdr:col>39</xdr:col>
      <xdr:colOff>541723</xdr:colOff>
      <xdr:row>43</xdr:row>
      <xdr:rowOff>76355</xdr:rowOff>
    </xdr:to>
    <xdr:pic>
      <xdr:nvPicPr>
        <xdr:cNvPr id="6" name="Picture 5">
          <a:extLst>
            <a:ext uri="{FF2B5EF4-FFF2-40B4-BE49-F238E27FC236}">
              <a16:creationId xmlns:a16="http://schemas.microsoft.com/office/drawing/2014/main" id="{A2E84CA1-525F-4525-8402-1830CA39385F}"/>
            </a:ext>
          </a:extLst>
        </xdr:cNvPr>
        <xdr:cNvPicPr>
          <a:picLocks noChangeAspect="1"/>
        </xdr:cNvPicPr>
      </xdr:nvPicPr>
      <xdr:blipFill>
        <a:blip xmlns:r="http://schemas.openxmlformats.org/officeDocument/2006/relationships" r:embed="rId3"/>
        <a:stretch>
          <a:fillRect/>
        </a:stretch>
      </xdr:blipFill>
      <xdr:spPr>
        <a:xfrm>
          <a:off x="6231255" y="6427470"/>
          <a:ext cx="8283643" cy="1840385"/>
        </a:xfrm>
        <a:prstGeom prst="rect">
          <a:avLst/>
        </a:prstGeom>
      </xdr:spPr>
    </xdr:pic>
    <xdr:clientData/>
  </xdr:twoCellAnchor>
  <xdr:twoCellAnchor editAs="oneCell">
    <xdr:from>
      <xdr:col>27</xdr:col>
      <xdr:colOff>472440</xdr:colOff>
      <xdr:row>28</xdr:row>
      <xdr:rowOff>83820</xdr:rowOff>
    </xdr:from>
    <xdr:to>
      <xdr:col>43</xdr:col>
      <xdr:colOff>473371</xdr:colOff>
      <xdr:row>46</xdr:row>
      <xdr:rowOff>53611</xdr:rowOff>
    </xdr:to>
    <xdr:pic>
      <xdr:nvPicPr>
        <xdr:cNvPr id="7" name="Picture 6">
          <a:extLst>
            <a:ext uri="{FF2B5EF4-FFF2-40B4-BE49-F238E27FC236}">
              <a16:creationId xmlns:a16="http://schemas.microsoft.com/office/drawing/2014/main" id="{22E7D836-EB59-4594-8241-FC265495AF14}"/>
            </a:ext>
          </a:extLst>
        </xdr:cNvPr>
        <xdr:cNvPicPr>
          <a:picLocks noChangeAspect="1"/>
        </xdr:cNvPicPr>
      </xdr:nvPicPr>
      <xdr:blipFill>
        <a:blip xmlns:r="http://schemas.openxmlformats.org/officeDocument/2006/relationships" r:embed="rId4"/>
        <a:stretch>
          <a:fillRect/>
        </a:stretch>
      </xdr:blipFill>
      <xdr:spPr>
        <a:xfrm>
          <a:off x="6216015" y="5560695"/>
          <a:ext cx="10973731" cy="3227341"/>
        </a:xfrm>
        <a:prstGeom prst="rect">
          <a:avLst/>
        </a:prstGeom>
      </xdr:spPr>
    </xdr:pic>
    <xdr:clientData/>
  </xdr:twoCellAnchor>
  <xdr:twoCellAnchor editAs="oneCell">
    <xdr:from>
      <xdr:col>28</xdr:col>
      <xdr:colOff>563880</xdr:colOff>
      <xdr:row>1</xdr:row>
      <xdr:rowOff>571500</xdr:rowOff>
    </xdr:from>
    <xdr:to>
      <xdr:col>43</xdr:col>
      <xdr:colOff>633338</xdr:colOff>
      <xdr:row>18</xdr:row>
      <xdr:rowOff>47924</xdr:rowOff>
    </xdr:to>
    <xdr:pic>
      <xdr:nvPicPr>
        <xdr:cNvPr id="8" name="Picture 7">
          <a:extLst>
            <a:ext uri="{FF2B5EF4-FFF2-40B4-BE49-F238E27FC236}">
              <a16:creationId xmlns:a16="http://schemas.microsoft.com/office/drawing/2014/main" id="{FEB74184-A3C7-4C43-B312-3A75C7C2D9D9}"/>
            </a:ext>
          </a:extLst>
        </xdr:cNvPr>
        <xdr:cNvPicPr>
          <a:picLocks noChangeAspect="1"/>
        </xdr:cNvPicPr>
      </xdr:nvPicPr>
      <xdr:blipFill>
        <a:blip xmlns:r="http://schemas.openxmlformats.org/officeDocument/2006/relationships" r:embed="rId5"/>
        <a:stretch>
          <a:fillRect/>
        </a:stretch>
      </xdr:blipFill>
      <xdr:spPr>
        <a:xfrm>
          <a:off x="6993255" y="771525"/>
          <a:ext cx="10356458" cy="355312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28575</xdr:colOff>
      <xdr:row>21</xdr:row>
      <xdr:rowOff>47625</xdr:rowOff>
    </xdr:from>
    <xdr:to>
      <xdr:col>10</xdr:col>
      <xdr:colOff>205200</xdr:colOff>
      <xdr:row>42</xdr:row>
      <xdr:rowOff>61292</xdr:rowOff>
    </xdr:to>
    <xdr:pic>
      <xdr:nvPicPr>
        <xdr:cNvPr id="2" name="Picture 1">
          <a:extLst>
            <a:ext uri="{FF2B5EF4-FFF2-40B4-BE49-F238E27FC236}">
              <a16:creationId xmlns:a16="http://schemas.microsoft.com/office/drawing/2014/main" id="{17D63216-E44D-4754-8D71-316132DDE625}"/>
            </a:ext>
          </a:extLst>
        </xdr:cNvPr>
        <xdr:cNvPicPr>
          <a:picLocks noChangeAspect="1"/>
        </xdr:cNvPicPr>
      </xdr:nvPicPr>
      <xdr:blipFill>
        <a:blip xmlns:r="http://schemas.openxmlformats.org/officeDocument/2006/relationships" r:embed="rId1"/>
        <a:stretch>
          <a:fillRect/>
        </a:stretch>
      </xdr:blipFill>
      <xdr:spPr>
        <a:xfrm>
          <a:off x="6115050" y="6057900"/>
          <a:ext cx="6005925" cy="343314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6</xdr:col>
      <xdr:colOff>733425</xdr:colOff>
      <xdr:row>18</xdr:row>
      <xdr:rowOff>64770</xdr:rowOff>
    </xdr:from>
    <xdr:to>
      <xdr:col>11</xdr:col>
      <xdr:colOff>175260</xdr:colOff>
      <xdr:row>33</xdr:row>
      <xdr:rowOff>175260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335280</xdr:colOff>
      <xdr:row>40</xdr:row>
      <xdr:rowOff>76200</xdr:rowOff>
    </xdr:from>
    <xdr:to>
      <xdr:col>18</xdr:col>
      <xdr:colOff>38100</xdr:colOff>
      <xdr:row>41</xdr:row>
      <xdr:rowOff>106680</xdr:rowOff>
    </xdr:to>
    <xdr:sp macro="" textlink="">
      <xdr:nvSpPr>
        <xdr:cNvPr id="4" name="Text Box 3">
          <a:extLst>
            <a:ext uri="{FF2B5EF4-FFF2-40B4-BE49-F238E27FC236}">
              <a16:creationId xmlns:a16="http://schemas.microsoft.com/office/drawing/2014/main" id="{EE5DA22B-2E61-4708-BADF-9F23AA265BEB}"/>
            </a:ext>
          </a:extLst>
        </xdr:cNvPr>
        <xdr:cNvSpPr txBox="1">
          <a:spLocks noChangeArrowheads="1"/>
        </xdr:cNvSpPr>
      </xdr:nvSpPr>
      <xdr:spPr bwMode="auto">
        <a:xfrm>
          <a:off x="335280" y="7581900"/>
          <a:ext cx="1198245" cy="19240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000" b="0" i="0" u="none" strike="noStrike" baseline="0">
              <a:solidFill>
                <a:srgbClr val="000000"/>
              </a:solidFill>
              <a:latin typeface="Arial"/>
              <a:cs typeface="Arial"/>
            </a:rPr>
            <a:t>=STDEV(C6:C39)</a:t>
          </a:r>
        </a:p>
      </xdr:txBody>
    </xdr:sp>
    <xdr:clientData/>
  </xdr:twoCellAnchor>
  <xdr:twoCellAnchor>
    <xdr:from>
      <xdr:col>20</xdr:col>
      <xdr:colOff>0</xdr:colOff>
      <xdr:row>40</xdr:row>
      <xdr:rowOff>137160</xdr:rowOff>
    </xdr:from>
    <xdr:to>
      <xdr:col>21</xdr:col>
      <xdr:colOff>419100</xdr:colOff>
      <xdr:row>41</xdr:row>
      <xdr:rowOff>144780</xdr:rowOff>
    </xdr:to>
    <xdr:sp macro="" textlink="">
      <xdr:nvSpPr>
        <xdr:cNvPr id="5" name="Text Box 4">
          <a:extLst>
            <a:ext uri="{FF2B5EF4-FFF2-40B4-BE49-F238E27FC236}">
              <a16:creationId xmlns:a16="http://schemas.microsoft.com/office/drawing/2014/main" id="{CBFF3738-98B9-41D9-90BA-4E781E521A50}"/>
            </a:ext>
          </a:extLst>
        </xdr:cNvPr>
        <xdr:cNvSpPr txBox="1">
          <a:spLocks noChangeArrowheads="1"/>
        </xdr:cNvSpPr>
      </xdr:nvSpPr>
      <xdr:spPr bwMode="auto">
        <a:xfrm>
          <a:off x="2828925" y="7642860"/>
          <a:ext cx="1085850" cy="16954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000" b="0" i="0" u="none" strike="noStrike" baseline="0">
              <a:solidFill>
                <a:srgbClr val="000000"/>
              </a:solidFill>
              <a:latin typeface="Arial"/>
              <a:cs typeface="Arial"/>
            </a:rPr>
            <a:t>=SQRT(12)*C40</a:t>
          </a:r>
        </a:p>
      </xdr:txBody>
    </xdr:sp>
    <xdr:clientData/>
  </xdr:twoCellAnchor>
  <xdr:twoCellAnchor>
    <xdr:from>
      <xdr:col>18</xdr:col>
      <xdr:colOff>525780</xdr:colOff>
      <xdr:row>40</xdr:row>
      <xdr:rowOff>0</xdr:rowOff>
    </xdr:from>
    <xdr:to>
      <xdr:col>20</xdr:col>
      <xdr:colOff>0</xdr:colOff>
      <xdr:row>41</xdr:row>
      <xdr:rowOff>129540</xdr:rowOff>
    </xdr:to>
    <xdr:sp macro="" textlink="">
      <xdr:nvSpPr>
        <xdr:cNvPr id="6" name="Line 9">
          <a:extLst>
            <a:ext uri="{FF2B5EF4-FFF2-40B4-BE49-F238E27FC236}">
              <a16:creationId xmlns:a16="http://schemas.microsoft.com/office/drawing/2014/main" id="{CB604FB7-4CD5-4D32-83B9-8EC70D6F3364}"/>
            </a:ext>
          </a:extLst>
        </xdr:cNvPr>
        <xdr:cNvSpPr>
          <a:spLocks noChangeShapeType="1"/>
        </xdr:cNvSpPr>
      </xdr:nvSpPr>
      <xdr:spPr bwMode="auto">
        <a:xfrm flipH="1" flipV="1">
          <a:off x="2021205" y="7505700"/>
          <a:ext cx="807720" cy="29146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22860</xdr:colOff>
      <xdr:row>38</xdr:row>
      <xdr:rowOff>99060</xdr:rowOff>
    </xdr:from>
    <xdr:to>
      <xdr:col>18</xdr:col>
      <xdr:colOff>190500</xdr:colOff>
      <xdr:row>40</xdr:row>
      <xdr:rowOff>68580</xdr:rowOff>
    </xdr:to>
    <xdr:sp macro="" textlink="">
      <xdr:nvSpPr>
        <xdr:cNvPr id="7" name="Line 10">
          <a:extLst>
            <a:ext uri="{FF2B5EF4-FFF2-40B4-BE49-F238E27FC236}">
              <a16:creationId xmlns:a16="http://schemas.microsoft.com/office/drawing/2014/main" id="{17CBAD24-5318-4695-9D65-79210963310E}"/>
            </a:ext>
          </a:extLst>
        </xdr:cNvPr>
        <xdr:cNvSpPr>
          <a:spLocks noChangeShapeType="1"/>
        </xdr:cNvSpPr>
      </xdr:nvSpPr>
      <xdr:spPr bwMode="auto">
        <a:xfrm flipV="1">
          <a:off x="689610" y="7242810"/>
          <a:ext cx="996315" cy="33147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24</xdr:col>
      <xdr:colOff>1905</xdr:colOff>
      <xdr:row>18</xdr:row>
      <xdr:rowOff>13335</xdr:rowOff>
    </xdr:from>
    <xdr:to>
      <xdr:col>28</xdr:col>
      <xdr:colOff>441960</xdr:colOff>
      <xdr:row>33</xdr:row>
      <xdr:rowOff>108585</xdr:rowOff>
    </xdr:to>
    <xdr:graphicFrame macro="">
      <xdr:nvGraphicFramePr>
        <xdr:cNvPr id="8" name="Chart 7">
          <a:extLst>
            <a:ext uri="{FF2B5EF4-FFF2-40B4-BE49-F238E27FC236}">
              <a16:creationId xmlns:a16="http://schemas.microsoft.com/office/drawing/2014/main" id="{C7E04737-375B-4C1D-9EC5-B267EC95D3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196214</xdr:colOff>
      <xdr:row>1</xdr:row>
      <xdr:rowOff>60961</xdr:rowOff>
    </xdr:from>
    <xdr:to>
      <xdr:col>5</xdr:col>
      <xdr:colOff>3268979</xdr:colOff>
      <xdr:row>7</xdr:row>
      <xdr:rowOff>381001</xdr:rowOff>
    </xdr:to>
    <xdr:sp macro="" textlink="">
      <xdr:nvSpPr>
        <xdr:cNvPr id="2" name="Text Box 1">
          <a:extLst>
            <a:ext uri="{FF2B5EF4-FFF2-40B4-BE49-F238E27FC236}">
              <a16:creationId xmlns:a16="http://schemas.microsoft.com/office/drawing/2014/main" id="{00000000-0008-0000-1600-000002000000}"/>
            </a:ext>
          </a:extLst>
        </xdr:cNvPr>
        <xdr:cNvSpPr txBox="1">
          <a:spLocks noChangeArrowheads="1"/>
        </xdr:cNvSpPr>
      </xdr:nvSpPr>
      <xdr:spPr bwMode="auto">
        <a:xfrm>
          <a:off x="4928234" y="998221"/>
          <a:ext cx="3072765" cy="1363980"/>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000" b="0" i="0" strike="noStrike">
              <a:solidFill>
                <a:srgbClr val="000000"/>
              </a:solidFill>
              <a:latin typeface="Arial"/>
              <a:cs typeface="Arial"/>
            </a:rPr>
            <a:t>Methodological note:  I have used the St. Louis FRED data for 3-month Treasury Bills; this data is annualized, and I have divided it by 12 to get the monthly returns.  Since the data can be taken as an ex-ante return, the April 1987 rate is attributed to May 1987.</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I've used 3-month instead of 1-month, because there are lots of data problems with the latter.</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196214</xdr:colOff>
      <xdr:row>1</xdr:row>
      <xdr:rowOff>60961</xdr:rowOff>
    </xdr:from>
    <xdr:to>
      <xdr:col>11</xdr:col>
      <xdr:colOff>3268979</xdr:colOff>
      <xdr:row>7</xdr:row>
      <xdr:rowOff>381001</xdr:rowOff>
    </xdr:to>
    <xdr:sp macro="" textlink="">
      <xdr:nvSpPr>
        <xdr:cNvPr id="2" name="Text Box 1">
          <a:extLst>
            <a:ext uri="{FF2B5EF4-FFF2-40B4-BE49-F238E27FC236}">
              <a16:creationId xmlns:a16="http://schemas.microsoft.com/office/drawing/2014/main" id="{6ACD13CC-D988-4B68-8963-4E96057FC07B}"/>
            </a:ext>
          </a:extLst>
        </xdr:cNvPr>
        <xdr:cNvSpPr txBox="1">
          <a:spLocks noChangeArrowheads="1"/>
        </xdr:cNvSpPr>
      </xdr:nvSpPr>
      <xdr:spPr bwMode="auto">
        <a:xfrm>
          <a:off x="5092064" y="1003936"/>
          <a:ext cx="3072765" cy="1386840"/>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000" b="0" i="0" strike="noStrike">
              <a:solidFill>
                <a:srgbClr val="000000"/>
              </a:solidFill>
              <a:latin typeface="Arial"/>
              <a:cs typeface="Arial"/>
            </a:rPr>
            <a:t>Methodological note:  I have used the St. Louis FRED data for 3-month Treasury Bills; this data is annualized, and I have divided it by 12 to get the monthly returns.  Since the data can be taken as an ex-ante return, the April 1987 rate is attributed to May 1987.</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I've used 3-month instead of 1-month, because there are lots of data problems with the latter.</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10</xdr:col>
      <xdr:colOff>638175</xdr:colOff>
      <xdr:row>34</xdr:row>
      <xdr:rowOff>38099</xdr:rowOff>
    </xdr:from>
    <xdr:to>
      <xdr:col>14</xdr:col>
      <xdr:colOff>247650</xdr:colOff>
      <xdr:row>40</xdr:row>
      <xdr:rowOff>114300</xdr:rowOff>
    </xdr:to>
    <xdr:graphicFrame macro="">
      <xdr:nvGraphicFramePr>
        <xdr:cNvPr id="2" name="Chart 1">
          <a:extLst>
            <a:ext uri="{FF2B5EF4-FFF2-40B4-BE49-F238E27FC236}">
              <a16:creationId xmlns:a16="http://schemas.microsoft.com/office/drawing/2014/main" id="{3C84A3C4-5D19-4276-9722-3E6EF9B873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434340</xdr:colOff>
      <xdr:row>61</xdr:row>
      <xdr:rowOff>139130</xdr:rowOff>
    </xdr:from>
    <xdr:to>
      <xdr:col>24</xdr:col>
      <xdr:colOff>288961</xdr:colOff>
      <xdr:row>77</xdr:row>
      <xdr:rowOff>1</xdr:rowOff>
    </xdr:to>
    <xdr:graphicFrame macro="">
      <xdr:nvGraphicFramePr>
        <xdr:cNvPr id="3" name="Chart 2">
          <a:extLst>
            <a:ext uri="{FF2B5EF4-FFF2-40B4-BE49-F238E27FC236}">
              <a16:creationId xmlns:a16="http://schemas.microsoft.com/office/drawing/2014/main" id="{B65F495E-5A86-4AEA-91D0-22B956E214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42862</xdr:colOff>
      <xdr:row>61</xdr:row>
      <xdr:rowOff>35718</xdr:rowOff>
    </xdr:from>
    <xdr:to>
      <xdr:col>29</xdr:col>
      <xdr:colOff>440531</xdr:colOff>
      <xdr:row>70</xdr:row>
      <xdr:rowOff>165734</xdr:rowOff>
    </xdr:to>
    <xdr:graphicFrame macro="">
      <xdr:nvGraphicFramePr>
        <xdr:cNvPr id="4" name="Chart 3">
          <a:extLst>
            <a:ext uri="{FF2B5EF4-FFF2-40B4-BE49-F238E27FC236}">
              <a16:creationId xmlns:a16="http://schemas.microsoft.com/office/drawing/2014/main" id="{887208C1-7765-4D50-AE91-12DF232C2B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60</xdr:col>
      <xdr:colOff>66675</xdr:colOff>
      <xdr:row>73</xdr:row>
      <xdr:rowOff>76676</xdr:rowOff>
    </xdr:from>
    <xdr:to>
      <xdr:col>63</xdr:col>
      <xdr:colOff>653143</xdr:colOff>
      <xdr:row>86</xdr:row>
      <xdr:rowOff>27215</xdr:rowOff>
    </xdr:to>
    <xdr:graphicFrame macro="">
      <xdr:nvGraphicFramePr>
        <xdr:cNvPr id="5" name="Chart 4">
          <a:extLst>
            <a:ext uri="{FF2B5EF4-FFF2-40B4-BE49-F238E27FC236}">
              <a16:creationId xmlns:a16="http://schemas.microsoft.com/office/drawing/2014/main" id="{055A9B7E-631B-4142-8EEF-3B4BCD0D66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67FD1-EE6C-420B-B95E-7BD0A1DC9D33}">
  <sheetPr codeName="Sheet2">
    <outlinePr summaryBelow="0" summaryRight="0"/>
    <pageSetUpPr autoPageBreaks="0"/>
  </sheetPr>
  <dimension ref="A5:IU116"/>
  <sheetViews>
    <sheetView topLeftCell="A71" workbookViewId="0">
      <selection activeCell="B100" sqref="B100"/>
    </sheetView>
  </sheetViews>
  <sheetFormatPr defaultRowHeight="11.25" x14ac:dyDescent="0.2"/>
  <cols>
    <col min="1" max="1" width="40.125" style="342" customWidth="1"/>
    <col min="2" max="7" width="13" style="342" customWidth="1"/>
    <col min="8" max="16384" width="9" style="342"/>
  </cols>
  <sheetData>
    <row r="5" spans="1:255" ht="15.75" x14ac:dyDescent="0.2">
      <c r="A5" s="368" t="s">
        <v>731</v>
      </c>
    </row>
    <row r="7" spans="1:255" x14ac:dyDescent="0.2">
      <c r="A7" s="367" t="s">
        <v>730</v>
      </c>
      <c r="B7" s="365" t="s">
        <v>729</v>
      </c>
      <c r="C7" s="342" t="s">
        <v>728</v>
      </c>
      <c r="D7" s="366" t="s">
        <v>716</v>
      </c>
      <c r="E7" s="365" t="s">
        <v>727</v>
      </c>
      <c r="F7" s="342" t="s">
        <v>726</v>
      </c>
    </row>
    <row r="8" spans="1:255" x14ac:dyDescent="0.2">
      <c r="A8" s="366"/>
      <c r="B8" s="365" t="s">
        <v>725</v>
      </c>
      <c r="C8" s="342" t="s">
        <v>724</v>
      </c>
      <c r="D8" s="366" t="s">
        <v>716</v>
      </c>
      <c r="E8" s="365" t="s">
        <v>723</v>
      </c>
      <c r="F8" s="342" t="s">
        <v>722</v>
      </c>
    </row>
    <row r="9" spans="1:255" x14ac:dyDescent="0.2">
      <c r="A9" s="366"/>
      <c r="B9" s="365" t="s">
        <v>721</v>
      </c>
      <c r="C9" s="342" t="s">
        <v>720</v>
      </c>
      <c r="D9" s="366" t="s">
        <v>716</v>
      </c>
      <c r="E9" s="365" t="s">
        <v>719</v>
      </c>
      <c r="F9" s="342" t="s">
        <v>718</v>
      </c>
    </row>
    <row r="10" spans="1:255" x14ac:dyDescent="0.2">
      <c r="A10" s="366"/>
      <c r="B10" s="365" t="s">
        <v>62</v>
      </c>
      <c r="C10" s="342" t="s">
        <v>717</v>
      </c>
      <c r="D10" s="366" t="s">
        <v>716</v>
      </c>
      <c r="E10" s="365" t="s">
        <v>715</v>
      </c>
      <c r="F10" s="364" t="s">
        <v>714</v>
      </c>
    </row>
    <row r="13" spans="1:255" x14ac:dyDescent="0.2">
      <c r="A13" s="363" t="s">
        <v>713</v>
      </c>
      <c r="B13" s="363"/>
      <c r="C13" s="363"/>
      <c r="D13" s="363"/>
      <c r="E13" s="363"/>
      <c r="F13" s="363"/>
      <c r="G13" s="363"/>
      <c r="H13" s="362"/>
      <c r="I13" s="362"/>
      <c r="J13" s="362"/>
      <c r="K13" s="362"/>
      <c r="L13" s="362"/>
      <c r="M13" s="362"/>
      <c r="N13" s="362"/>
      <c r="O13" s="362"/>
      <c r="P13" s="362"/>
      <c r="Q13" s="362"/>
      <c r="R13" s="362"/>
      <c r="S13" s="362"/>
      <c r="T13" s="362"/>
      <c r="U13" s="362"/>
      <c r="V13" s="362"/>
      <c r="W13" s="362"/>
      <c r="X13" s="362"/>
      <c r="Y13" s="362"/>
      <c r="Z13" s="362"/>
      <c r="AA13" s="362"/>
      <c r="AB13" s="362"/>
      <c r="AC13" s="362"/>
      <c r="AD13" s="362"/>
      <c r="AE13" s="362"/>
      <c r="AF13" s="362"/>
      <c r="AG13" s="362"/>
      <c r="AH13" s="362"/>
      <c r="AI13" s="362"/>
      <c r="AJ13" s="362"/>
      <c r="AK13" s="362"/>
      <c r="AL13" s="362"/>
      <c r="AM13" s="362"/>
      <c r="AN13" s="362"/>
      <c r="AO13" s="362"/>
      <c r="AP13" s="362"/>
      <c r="AQ13" s="362"/>
      <c r="AR13" s="362"/>
      <c r="AS13" s="362"/>
      <c r="AT13" s="362"/>
      <c r="AU13" s="362"/>
      <c r="AV13" s="362"/>
      <c r="AW13" s="362"/>
      <c r="AX13" s="362"/>
      <c r="AY13" s="362"/>
      <c r="AZ13" s="362"/>
      <c r="BA13" s="362"/>
      <c r="BB13" s="362"/>
      <c r="BC13" s="362"/>
      <c r="BD13" s="362"/>
      <c r="BE13" s="362"/>
      <c r="BF13" s="362"/>
      <c r="BG13" s="362"/>
      <c r="BH13" s="362"/>
      <c r="BI13" s="362"/>
      <c r="BJ13" s="362"/>
      <c r="BK13" s="362"/>
      <c r="BL13" s="362"/>
      <c r="BM13" s="362"/>
      <c r="BN13" s="362"/>
      <c r="BO13" s="362"/>
      <c r="BP13" s="362"/>
      <c r="BQ13" s="362"/>
      <c r="BR13" s="362"/>
      <c r="BS13" s="362"/>
      <c r="BT13" s="362"/>
      <c r="BU13" s="362"/>
      <c r="BV13" s="362"/>
      <c r="BW13" s="362"/>
      <c r="BX13" s="362"/>
      <c r="BY13" s="362"/>
      <c r="BZ13" s="362"/>
      <c r="CA13" s="362"/>
      <c r="CB13" s="362"/>
      <c r="CC13" s="362"/>
      <c r="CD13" s="362"/>
      <c r="CE13" s="362"/>
      <c r="CF13" s="362"/>
      <c r="CG13" s="362"/>
      <c r="CH13" s="362"/>
      <c r="CI13" s="362"/>
      <c r="CJ13" s="362"/>
      <c r="CK13" s="362"/>
      <c r="CL13" s="362"/>
      <c r="CM13" s="362"/>
      <c r="CN13" s="362"/>
      <c r="CO13" s="362"/>
      <c r="CP13" s="362"/>
      <c r="CQ13" s="362"/>
      <c r="CR13" s="362"/>
      <c r="CS13" s="362"/>
      <c r="CT13" s="362"/>
      <c r="CU13" s="362"/>
      <c r="CV13" s="362"/>
      <c r="CW13" s="362"/>
      <c r="CX13" s="362"/>
      <c r="CY13" s="362"/>
      <c r="CZ13" s="362"/>
      <c r="DA13" s="362"/>
      <c r="DB13" s="362"/>
      <c r="DC13" s="362"/>
      <c r="DD13" s="362"/>
      <c r="DE13" s="362"/>
      <c r="DF13" s="362"/>
      <c r="DG13" s="362"/>
      <c r="DH13" s="362"/>
      <c r="DI13" s="362"/>
      <c r="DJ13" s="362"/>
      <c r="DK13" s="362"/>
      <c r="DL13" s="362"/>
      <c r="DM13" s="362"/>
      <c r="DN13" s="362"/>
      <c r="DO13" s="362"/>
      <c r="DP13" s="362"/>
      <c r="DQ13" s="362"/>
      <c r="DR13" s="362"/>
      <c r="DS13" s="362"/>
      <c r="DT13" s="362"/>
      <c r="DU13" s="362"/>
      <c r="DV13" s="362"/>
      <c r="DW13" s="362"/>
      <c r="DX13" s="362"/>
      <c r="DY13" s="362"/>
      <c r="DZ13" s="362"/>
      <c r="EA13" s="362"/>
      <c r="EB13" s="362"/>
      <c r="EC13" s="362"/>
      <c r="ED13" s="362"/>
      <c r="EE13" s="362"/>
      <c r="EF13" s="362"/>
      <c r="EG13" s="362"/>
      <c r="EH13" s="362"/>
      <c r="EI13" s="362"/>
      <c r="EJ13" s="362"/>
      <c r="EK13" s="362"/>
      <c r="EL13" s="362"/>
      <c r="EM13" s="362"/>
      <c r="EN13" s="362"/>
      <c r="EO13" s="362"/>
      <c r="EP13" s="362"/>
      <c r="EQ13" s="362"/>
      <c r="ER13" s="362"/>
      <c r="ES13" s="362"/>
      <c r="ET13" s="362"/>
      <c r="EU13" s="362"/>
      <c r="EV13" s="362"/>
      <c r="EW13" s="362"/>
      <c r="EX13" s="362"/>
      <c r="EY13" s="362"/>
      <c r="EZ13" s="362"/>
      <c r="FA13" s="362"/>
      <c r="FB13" s="362"/>
      <c r="FC13" s="362"/>
      <c r="FD13" s="362"/>
      <c r="FE13" s="362"/>
      <c r="FF13" s="362"/>
      <c r="FG13" s="362"/>
      <c r="FH13" s="362"/>
      <c r="FI13" s="362"/>
      <c r="FJ13" s="362"/>
      <c r="FK13" s="362"/>
      <c r="FL13" s="362"/>
      <c r="FM13" s="362"/>
      <c r="FN13" s="362"/>
      <c r="FO13" s="362"/>
      <c r="FP13" s="362"/>
      <c r="FQ13" s="362"/>
      <c r="FR13" s="362"/>
      <c r="FS13" s="362"/>
      <c r="FT13" s="362"/>
      <c r="FU13" s="362"/>
      <c r="FV13" s="362"/>
      <c r="FW13" s="362"/>
      <c r="FX13" s="362"/>
      <c r="FY13" s="362"/>
      <c r="FZ13" s="362"/>
      <c r="GA13" s="362"/>
      <c r="GB13" s="362"/>
      <c r="GC13" s="362"/>
      <c r="GD13" s="362"/>
      <c r="GE13" s="362"/>
      <c r="GF13" s="362"/>
      <c r="GG13" s="362"/>
      <c r="GH13" s="362"/>
      <c r="GI13" s="362"/>
      <c r="GJ13" s="362"/>
      <c r="GK13" s="362"/>
      <c r="GL13" s="362"/>
      <c r="GM13" s="362"/>
      <c r="GN13" s="362"/>
      <c r="GO13" s="362"/>
      <c r="GP13" s="362"/>
      <c r="GQ13" s="362"/>
      <c r="GR13" s="362"/>
      <c r="GS13" s="362"/>
      <c r="GT13" s="362"/>
      <c r="GU13" s="362"/>
      <c r="GV13" s="362"/>
      <c r="GW13" s="362"/>
      <c r="GX13" s="362"/>
      <c r="GY13" s="362"/>
      <c r="GZ13" s="362"/>
      <c r="HA13" s="362"/>
      <c r="HB13" s="362"/>
      <c r="HC13" s="362"/>
      <c r="HD13" s="362"/>
      <c r="HE13" s="362"/>
      <c r="HF13" s="362"/>
      <c r="HG13" s="362"/>
      <c r="HH13" s="362"/>
      <c r="HI13" s="362"/>
      <c r="HJ13" s="362"/>
      <c r="HK13" s="362"/>
      <c r="HL13" s="362"/>
      <c r="HM13" s="362"/>
      <c r="HN13" s="362"/>
      <c r="HO13" s="362"/>
      <c r="HP13" s="362"/>
      <c r="HQ13" s="362"/>
      <c r="HR13" s="362"/>
      <c r="HS13" s="362"/>
      <c r="HT13" s="362"/>
      <c r="HU13" s="362"/>
      <c r="HV13" s="362"/>
      <c r="HW13" s="362"/>
      <c r="HX13" s="362"/>
      <c r="HY13" s="362"/>
      <c r="HZ13" s="362"/>
      <c r="IA13" s="362"/>
      <c r="IB13" s="362"/>
      <c r="IC13" s="362"/>
      <c r="ID13" s="362"/>
      <c r="IE13" s="362"/>
      <c r="IF13" s="362"/>
      <c r="IG13" s="362"/>
      <c r="IH13" s="362"/>
      <c r="II13" s="362"/>
      <c r="IJ13" s="362"/>
      <c r="IK13" s="362"/>
      <c r="IL13" s="362"/>
      <c r="IM13" s="362"/>
      <c r="IN13" s="362"/>
      <c r="IO13" s="362"/>
      <c r="IP13" s="362"/>
      <c r="IQ13" s="362"/>
      <c r="IR13" s="362"/>
      <c r="IS13" s="362"/>
      <c r="IT13" s="362"/>
      <c r="IU13" s="362"/>
    </row>
    <row r="14" spans="1:255" ht="45" x14ac:dyDescent="0.2">
      <c r="A14" s="361" t="s">
        <v>712</v>
      </c>
      <c r="B14" s="360" t="s">
        <v>711</v>
      </c>
      <c r="C14" s="360" t="s">
        <v>710</v>
      </c>
      <c r="D14" s="360" t="s">
        <v>709</v>
      </c>
      <c r="E14" s="360" t="s">
        <v>708</v>
      </c>
      <c r="F14" s="360" t="s">
        <v>707</v>
      </c>
      <c r="G14" s="360" t="s">
        <v>706</v>
      </c>
    </row>
    <row r="15" spans="1:255" x14ac:dyDescent="0.2">
      <c r="A15" s="359" t="s">
        <v>705</v>
      </c>
      <c r="B15" s="358" t="s">
        <v>704</v>
      </c>
      <c r="C15" s="358" t="s">
        <v>704</v>
      </c>
      <c r="D15" s="358" t="s">
        <v>704</v>
      </c>
      <c r="E15" s="358" t="s">
        <v>704</v>
      </c>
      <c r="F15" s="358" t="s">
        <v>704</v>
      </c>
      <c r="G15" s="358" t="s">
        <v>704</v>
      </c>
    </row>
    <row r="16" spans="1:255" x14ac:dyDescent="0.2">
      <c r="A16" s="349" t="s">
        <v>571</v>
      </c>
      <c r="B16" s="347"/>
      <c r="C16" s="347"/>
      <c r="D16" s="347"/>
      <c r="E16" s="347"/>
      <c r="F16" s="347"/>
      <c r="G16" s="347"/>
    </row>
    <row r="17" spans="1:7" x14ac:dyDescent="0.2">
      <c r="A17" s="347" t="s">
        <v>703</v>
      </c>
      <c r="B17" s="350">
        <v>16447.8</v>
      </c>
      <c r="C17" s="350">
        <v>19162.7</v>
      </c>
      <c r="D17" s="350">
        <v>18998.3</v>
      </c>
      <c r="E17" s="350">
        <v>20005.7</v>
      </c>
      <c r="F17" s="350">
        <v>22342.5</v>
      </c>
      <c r="G17" s="350">
        <v>23025.7</v>
      </c>
    </row>
    <row r="18" spans="1:7" x14ac:dyDescent="0.2">
      <c r="A18" s="347" t="s">
        <v>702</v>
      </c>
      <c r="B18" s="350" t="s">
        <v>622</v>
      </c>
      <c r="C18" s="350" t="s">
        <v>622</v>
      </c>
      <c r="D18" s="350">
        <v>2317.6</v>
      </c>
      <c r="E18" s="350">
        <v>2381.1</v>
      </c>
      <c r="F18" s="350">
        <v>2377</v>
      </c>
      <c r="G18" s="350">
        <v>2252.8000000000002</v>
      </c>
    </row>
    <row r="19" spans="1:7" x14ac:dyDescent="0.2">
      <c r="A19" s="349" t="s">
        <v>701</v>
      </c>
      <c r="B19" s="357">
        <v>16447.8</v>
      </c>
      <c r="C19" s="357">
        <v>19162.7</v>
      </c>
      <c r="D19" s="357">
        <v>21315.9</v>
      </c>
      <c r="E19" s="357">
        <v>22386.799999999999</v>
      </c>
      <c r="F19" s="357">
        <v>24719.5</v>
      </c>
      <c r="G19" s="357">
        <v>25278.5</v>
      </c>
    </row>
    <row r="20" spans="1:7" x14ac:dyDescent="0.2">
      <c r="A20" s="347"/>
      <c r="B20" s="347"/>
      <c r="C20" s="347"/>
      <c r="D20" s="347"/>
      <c r="E20" s="347"/>
      <c r="F20" s="347"/>
      <c r="G20" s="347"/>
    </row>
    <row r="21" spans="1:7" x14ac:dyDescent="0.2">
      <c r="A21" s="347" t="s">
        <v>700</v>
      </c>
      <c r="B21" s="350">
        <v>11497</v>
      </c>
      <c r="C21" s="350">
        <v>13198.6</v>
      </c>
      <c r="D21" s="350">
        <v>14573.3</v>
      </c>
      <c r="E21" s="350">
        <v>15527.6</v>
      </c>
      <c r="F21" s="350">
        <v>17367.7</v>
      </c>
      <c r="G21" s="350">
        <v>17879.5</v>
      </c>
    </row>
    <row r="22" spans="1:7" x14ac:dyDescent="0.2">
      <c r="A22" s="349" t="s">
        <v>699</v>
      </c>
      <c r="B22" s="357">
        <v>4950.8</v>
      </c>
      <c r="C22" s="357">
        <v>5964.1</v>
      </c>
      <c r="D22" s="357">
        <v>6742.6</v>
      </c>
      <c r="E22" s="357">
        <v>6859.2</v>
      </c>
      <c r="F22" s="357">
        <v>7351.8</v>
      </c>
      <c r="G22" s="357">
        <v>7399</v>
      </c>
    </row>
    <row r="23" spans="1:7" x14ac:dyDescent="0.2">
      <c r="A23" s="347"/>
      <c r="B23" s="347"/>
      <c r="C23" s="347"/>
      <c r="D23" s="347"/>
      <c r="E23" s="347"/>
      <c r="F23" s="347"/>
      <c r="G23" s="347"/>
    </row>
    <row r="24" spans="1:7" x14ac:dyDescent="0.2">
      <c r="A24" s="347" t="s">
        <v>698</v>
      </c>
      <c r="B24" s="350">
        <v>1107.9000000000001</v>
      </c>
      <c r="C24" s="350">
        <v>1196.7</v>
      </c>
      <c r="D24" s="350">
        <v>1408.9</v>
      </c>
      <c r="E24" s="350">
        <v>1450.7</v>
      </c>
      <c r="F24" s="350">
        <v>1755.4</v>
      </c>
      <c r="G24" s="350">
        <v>1826.3</v>
      </c>
    </row>
    <row r="25" spans="1:7" x14ac:dyDescent="0.2">
      <c r="A25" s="347" t="s">
        <v>697</v>
      </c>
      <c r="B25" s="350" t="s">
        <v>622</v>
      </c>
      <c r="C25" s="350" t="s">
        <v>622</v>
      </c>
      <c r="D25" s="350" t="s">
        <v>622</v>
      </c>
      <c r="E25" s="350" t="s">
        <v>622</v>
      </c>
      <c r="F25" s="350" t="s">
        <v>622</v>
      </c>
      <c r="G25" s="350" t="s">
        <v>622</v>
      </c>
    </row>
    <row r="26" spans="1:7" x14ac:dyDescent="0.2">
      <c r="A26" s="347" t="s">
        <v>696</v>
      </c>
      <c r="B26" s="350">
        <v>709.6</v>
      </c>
      <c r="C26" s="350">
        <v>893.9</v>
      </c>
      <c r="D26" s="350">
        <v>980.8</v>
      </c>
      <c r="E26" s="350">
        <v>1011.4</v>
      </c>
      <c r="F26" s="350">
        <v>1247</v>
      </c>
      <c r="G26" s="350">
        <v>1321.6</v>
      </c>
    </row>
    <row r="27" spans="1:7" x14ac:dyDescent="0.2">
      <c r="A27" s="347" t="s">
        <v>695</v>
      </c>
      <c r="B27" s="350">
        <v>340.7</v>
      </c>
      <c r="C27" s="350">
        <v>522.4</v>
      </c>
      <c r="D27" s="350">
        <v>499.2</v>
      </c>
      <c r="E27" s="350">
        <v>500.3</v>
      </c>
      <c r="F27" s="350">
        <v>539.29999999999995</v>
      </c>
      <c r="G27" s="350">
        <v>503</v>
      </c>
    </row>
    <row r="28" spans="1:7" x14ac:dyDescent="0.2">
      <c r="A28" s="347"/>
      <c r="B28" s="347"/>
      <c r="C28" s="347"/>
      <c r="D28" s="347"/>
      <c r="E28" s="347"/>
      <c r="F28" s="347"/>
      <c r="G28" s="347"/>
    </row>
    <row r="29" spans="1:7" x14ac:dyDescent="0.2">
      <c r="A29" s="349" t="s">
        <v>694</v>
      </c>
      <c r="B29" s="357">
        <v>2158.1999999999998</v>
      </c>
      <c r="C29" s="357">
        <v>2613</v>
      </c>
      <c r="D29" s="357">
        <v>2888.9</v>
      </c>
      <c r="E29" s="357">
        <v>2962.4</v>
      </c>
      <c r="F29" s="357">
        <v>3541.7</v>
      </c>
      <c r="G29" s="357">
        <v>3650.9</v>
      </c>
    </row>
    <row r="30" spans="1:7" x14ac:dyDescent="0.2">
      <c r="A30" s="347"/>
      <c r="B30" s="347"/>
      <c r="C30" s="347"/>
      <c r="D30" s="347"/>
      <c r="E30" s="347"/>
      <c r="F30" s="347"/>
      <c r="G30" s="347"/>
    </row>
    <row r="31" spans="1:7" x14ac:dyDescent="0.2">
      <c r="A31" s="349" t="s">
        <v>693</v>
      </c>
      <c r="B31" s="348">
        <v>2792.6</v>
      </c>
      <c r="C31" s="348">
        <v>3351.1</v>
      </c>
      <c r="D31" s="348">
        <v>3853.7</v>
      </c>
      <c r="E31" s="348">
        <v>3896.8</v>
      </c>
      <c r="F31" s="348">
        <v>3810.1</v>
      </c>
      <c r="G31" s="348">
        <v>3748.1</v>
      </c>
    </row>
    <row r="32" spans="1:7" x14ac:dyDescent="0.2">
      <c r="A32" s="347"/>
      <c r="B32" s="347"/>
      <c r="C32" s="347"/>
      <c r="D32" s="347"/>
      <c r="E32" s="347"/>
      <c r="F32" s="347"/>
      <c r="G32" s="347"/>
    </row>
    <row r="33" spans="1:7" x14ac:dyDescent="0.2">
      <c r="A33" s="347" t="s">
        <v>692</v>
      </c>
      <c r="B33" s="350">
        <v>-64.099999999999994</v>
      </c>
      <c r="C33" s="350">
        <v>-70.5</v>
      </c>
      <c r="D33" s="350">
        <v>-81.3</v>
      </c>
      <c r="E33" s="350">
        <v>-92.5</v>
      </c>
      <c r="F33" s="350">
        <v>-170.3</v>
      </c>
      <c r="G33" s="350">
        <v>-250.1</v>
      </c>
    </row>
    <row r="34" spans="1:7" x14ac:dyDescent="0.2">
      <c r="A34" s="347" t="s">
        <v>691</v>
      </c>
      <c r="B34" s="350">
        <v>35.4</v>
      </c>
      <c r="C34" s="350" t="s">
        <v>622</v>
      </c>
      <c r="D34" s="350">
        <v>153</v>
      </c>
      <c r="E34" s="350" t="s">
        <v>622</v>
      </c>
      <c r="F34" s="350">
        <v>32.700000000000003</v>
      </c>
      <c r="G34" s="350" t="s">
        <v>622</v>
      </c>
    </row>
    <row r="35" spans="1:7" x14ac:dyDescent="0.2">
      <c r="A35" s="349" t="s">
        <v>690</v>
      </c>
      <c r="B35" s="357">
        <v>-28.7</v>
      </c>
      <c r="C35" s="357">
        <v>-70.5</v>
      </c>
      <c r="D35" s="357">
        <v>71.7</v>
      </c>
      <c r="E35" s="357">
        <v>-92.5</v>
      </c>
      <c r="F35" s="357">
        <v>-137.6</v>
      </c>
      <c r="G35" s="357">
        <v>-250.1</v>
      </c>
    </row>
    <row r="36" spans="1:7" x14ac:dyDescent="0.2">
      <c r="A36" s="347"/>
      <c r="B36" s="347"/>
      <c r="C36" s="347"/>
      <c r="D36" s="347"/>
      <c r="E36" s="347"/>
      <c r="F36" s="347"/>
      <c r="G36" s="347"/>
    </row>
    <row r="37" spans="1:7" x14ac:dyDescent="0.2">
      <c r="A37" s="347" t="s">
        <v>689</v>
      </c>
      <c r="B37" s="350">
        <v>268.3</v>
      </c>
      <c r="C37" s="350">
        <v>249.9</v>
      </c>
      <c r="D37" s="350">
        <v>318.2</v>
      </c>
      <c r="E37" s="350">
        <v>391.4</v>
      </c>
      <c r="F37" s="350">
        <v>301.2</v>
      </c>
      <c r="G37" s="350">
        <v>279.60000000000002</v>
      </c>
    </row>
    <row r="38" spans="1:7" x14ac:dyDescent="0.2">
      <c r="A38" s="347" t="s">
        <v>688</v>
      </c>
      <c r="B38" s="350" t="s">
        <v>622</v>
      </c>
      <c r="C38" s="350">
        <v>73.3</v>
      </c>
      <c r="D38" s="350">
        <v>-106.8</v>
      </c>
      <c r="E38" s="350">
        <v>61.8</v>
      </c>
      <c r="F38" s="350">
        <v>6.8</v>
      </c>
      <c r="G38" s="350">
        <v>6.8</v>
      </c>
    </row>
    <row r="39" spans="1:7" x14ac:dyDescent="0.2">
      <c r="A39" s="347" t="s">
        <v>687</v>
      </c>
      <c r="B39" s="350">
        <v>39.5</v>
      </c>
      <c r="C39" s="350">
        <v>-24.2</v>
      </c>
      <c r="D39" s="350">
        <v>54.8</v>
      </c>
      <c r="E39" s="350">
        <v>82.5</v>
      </c>
      <c r="F39" s="350">
        <v>157.19999999999999</v>
      </c>
      <c r="G39" s="350">
        <v>157.19999999999999</v>
      </c>
    </row>
    <row r="40" spans="1:7" x14ac:dyDescent="0.2">
      <c r="A40" s="349" t="s">
        <v>686</v>
      </c>
      <c r="B40" s="357">
        <v>3071.7</v>
      </c>
      <c r="C40" s="357">
        <v>3579.6</v>
      </c>
      <c r="D40" s="357">
        <v>4191.6000000000004</v>
      </c>
      <c r="E40" s="357">
        <v>4340</v>
      </c>
      <c r="F40" s="357">
        <v>4137.7</v>
      </c>
      <c r="G40" s="357">
        <v>3941.6</v>
      </c>
    </row>
    <row r="41" spans="1:7" x14ac:dyDescent="0.2">
      <c r="A41" s="347"/>
      <c r="B41" s="347"/>
      <c r="C41" s="347"/>
      <c r="D41" s="347"/>
      <c r="E41" s="347"/>
      <c r="F41" s="347"/>
      <c r="G41" s="347"/>
    </row>
    <row r="42" spans="1:7" x14ac:dyDescent="0.2">
      <c r="A42" s="347" t="s">
        <v>685</v>
      </c>
      <c r="B42" s="350" t="s">
        <v>622</v>
      </c>
      <c r="C42" s="350" t="s">
        <v>622</v>
      </c>
      <c r="D42" s="350" t="s">
        <v>622</v>
      </c>
      <c r="E42" s="350">
        <v>-153.5</v>
      </c>
      <c r="F42" s="350">
        <v>-224.4</v>
      </c>
      <c r="G42" s="350">
        <v>-241.2</v>
      </c>
    </row>
    <row r="43" spans="1:7" x14ac:dyDescent="0.2">
      <c r="A43" s="347" t="s">
        <v>684</v>
      </c>
      <c r="B43" s="350" t="s">
        <v>622</v>
      </c>
      <c r="C43" s="350" t="s">
        <v>622</v>
      </c>
      <c r="D43" s="350" t="s">
        <v>622</v>
      </c>
      <c r="E43" s="350" t="s">
        <v>622</v>
      </c>
      <c r="F43" s="350">
        <v>-3.6</v>
      </c>
      <c r="G43" s="350">
        <v>-3.6</v>
      </c>
    </row>
    <row r="44" spans="1:7" x14ac:dyDescent="0.2">
      <c r="A44" s="347" t="s">
        <v>683</v>
      </c>
      <c r="B44" s="350" t="s">
        <v>622</v>
      </c>
      <c r="C44" s="350" t="s">
        <v>622</v>
      </c>
      <c r="D44" s="350" t="s">
        <v>622</v>
      </c>
      <c r="E44" s="350" t="s">
        <v>622</v>
      </c>
      <c r="F44" s="350" t="s">
        <v>622</v>
      </c>
      <c r="G44" s="350" t="s">
        <v>622</v>
      </c>
    </row>
    <row r="45" spans="1:7" x14ac:dyDescent="0.2">
      <c r="A45" s="347" t="s">
        <v>682</v>
      </c>
      <c r="B45" s="350">
        <v>67.8</v>
      </c>
      <c r="C45" s="350">
        <v>391.6</v>
      </c>
      <c r="D45" s="350">
        <v>1.6</v>
      </c>
      <c r="E45" s="350">
        <v>36.9</v>
      </c>
      <c r="F45" s="350">
        <v>1372.8</v>
      </c>
      <c r="G45" s="350">
        <v>46.5</v>
      </c>
    </row>
    <row r="46" spans="1:7" x14ac:dyDescent="0.2">
      <c r="A46" s="347" t="s">
        <v>681</v>
      </c>
      <c r="B46" s="350" t="s">
        <v>622</v>
      </c>
      <c r="C46" s="350">
        <v>-7.1</v>
      </c>
      <c r="D46" s="350">
        <v>5.4</v>
      </c>
      <c r="E46" s="350">
        <v>94.1</v>
      </c>
      <c r="F46" s="350">
        <v>497.5</v>
      </c>
      <c r="G46" s="350">
        <v>-3.7</v>
      </c>
    </row>
    <row r="47" spans="1:7" x14ac:dyDescent="0.2">
      <c r="A47" s="347" t="s">
        <v>680</v>
      </c>
      <c r="B47" s="350">
        <v>20.2</v>
      </c>
      <c r="C47" s="350" t="s">
        <v>622</v>
      </c>
      <c r="D47" s="350" t="s">
        <v>622</v>
      </c>
      <c r="E47" s="350" t="s">
        <v>622</v>
      </c>
      <c r="F47" s="350" t="s">
        <v>622</v>
      </c>
      <c r="G47" s="350" t="s">
        <v>622</v>
      </c>
    </row>
    <row r="48" spans="1:7" x14ac:dyDescent="0.2">
      <c r="A48" s="347" t="s">
        <v>679</v>
      </c>
      <c r="B48" s="350" t="s">
        <v>622</v>
      </c>
      <c r="C48" s="350">
        <v>-61.1</v>
      </c>
      <c r="D48" s="350" t="s">
        <v>622</v>
      </c>
      <c r="E48" s="350" t="s">
        <v>622</v>
      </c>
      <c r="F48" s="350" t="s">
        <v>622</v>
      </c>
      <c r="G48" s="350" t="s">
        <v>622</v>
      </c>
    </row>
    <row r="49" spans="1:7" x14ac:dyDescent="0.2">
      <c r="A49" s="349" t="s">
        <v>678</v>
      </c>
      <c r="B49" s="357">
        <v>3159.7</v>
      </c>
      <c r="C49" s="357">
        <v>3903</v>
      </c>
      <c r="D49" s="357">
        <v>4198.6000000000004</v>
      </c>
      <c r="E49" s="357">
        <v>4317.5</v>
      </c>
      <c r="F49" s="357">
        <v>5780</v>
      </c>
      <c r="G49" s="357">
        <v>3739.6</v>
      </c>
    </row>
    <row r="50" spans="1:7" x14ac:dyDescent="0.2">
      <c r="A50" s="347"/>
      <c r="B50" s="347"/>
      <c r="C50" s="347"/>
      <c r="D50" s="347"/>
      <c r="E50" s="347"/>
      <c r="F50" s="347"/>
      <c r="G50" s="347"/>
    </row>
    <row r="51" spans="1:7" x14ac:dyDescent="0.2">
      <c r="A51" s="347" t="s">
        <v>677</v>
      </c>
      <c r="B51" s="350">
        <v>1092</v>
      </c>
      <c r="C51" s="350">
        <v>1143.7</v>
      </c>
      <c r="D51" s="350">
        <v>1379.7</v>
      </c>
      <c r="E51" s="350">
        <v>1432.6</v>
      </c>
      <c r="F51" s="350">
        <v>1262</v>
      </c>
      <c r="G51" s="350">
        <v>711.3</v>
      </c>
    </row>
    <row r="52" spans="1:7" x14ac:dyDescent="0.2">
      <c r="A52" s="349" t="s">
        <v>676</v>
      </c>
      <c r="B52" s="357">
        <v>2067.6999999999998</v>
      </c>
      <c r="C52" s="357">
        <v>2759.3</v>
      </c>
      <c r="D52" s="357">
        <v>2818.9</v>
      </c>
      <c r="E52" s="357">
        <v>2884.9</v>
      </c>
      <c r="F52" s="357">
        <v>4518</v>
      </c>
      <c r="G52" s="357">
        <v>3028.3</v>
      </c>
    </row>
    <row r="53" spans="1:7" x14ac:dyDescent="0.2">
      <c r="A53" s="347"/>
      <c r="B53" s="347"/>
      <c r="C53" s="347"/>
      <c r="D53" s="347"/>
      <c r="E53" s="347"/>
      <c r="F53" s="347"/>
      <c r="G53" s="347"/>
    </row>
    <row r="54" spans="1:7" x14ac:dyDescent="0.2">
      <c r="A54" s="347" t="s">
        <v>675</v>
      </c>
      <c r="B54" s="350" t="s">
        <v>622</v>
      </c>
      <c r="C54" s="350" t="s">
        <v>622</v>
      </c>
      <c r="D54" s="350" t="s">
        <v>622</v>
      </c>
      <c r="E54" s="350" t="s">
        <v>622</v>
      </c>
      <c r="F54" s="350" t="s">
        <v>622</v>
      </c>
      <c r="G54" s="350" t="s">
        <v>622</v>
      </c>
    </row>
    <row r="55" spans="1:7" x14ac:dyDescent="0.2">
      <c r="A55" s="347" t="s">
        <v>674</v>
      </c>
      <c r="B55" s="350" t="s">
        <v>622</v>
      </c>
      <c r="C55" s="350" t="s">
        <v>622</v>
      </c>
      <c r="D55" s="350" t="s">
        <v>622</v>
      </c>
      <c r="E55" s="350" t="s">
        <v>622</v>
      </c>
      <c r="F55" s="350" t="s">
        <v>622</v>
      </c>
      <c r="G55" s="350" t="s">
        <v>622</v>
      </c>
    </row>
    <row r="56" spans="1:7" x14ac:dyDescent="0.2">
      <c r="A56" s="349" t="s">
        <v>673</v>
      </c>
      <c r="B56" s="357">
        <v>2067.6999999999998</v>
      </c>
      <c r="C56" s="357">
        <v>2759.3</v>
      </c>
      <c r="D56" s="357">
        <v>2818.9</v>
      </c>
      <c r="E56" s="357">
        <v>2884.9</v>
      </c>
      <c r="F56" s="357">
        <v>4518</v>
      </c>
      <c r="G56" s="357">
        <v>3028.3</v>
      </c>
    </row>
    <row r="57" spans="1:7" x14ac:dyDescent="0.2">
      <c r="A57" s="347"/>
      <c r="B57" s="347"/>
      <c r="C57" s="347"/>
      <c r="D57" s="347"/>
      <c r="E57" s="347"/>
      <c r="F57" s="347"/>
      <c r="G57" s="347"/>
    </row>
    <row r="58" spans="1:7" x14ac:dyDescent="0.2">
      <c r="A58" s="347" t="s">
        <v>672</v>
      </c>
      <c r="B58" s="350">
        <v>0.4</v>
      </c>
      <c r="C58" s="350">
        <v>-1.9</v>
      </c>
      <c r="D58" s="350">
        <v>-1.2</v>
      </c>
      <c r="E58" s="350">
        <v>-0.2</v>
      </c>
      <c r="F58" s="350">
        <v>0.3</v>
      </c>
      <c r="G58" s="350">
        <v>0.4</v>
      </c>
    </row>
    <row r="59" spans="1:7" x14ac:dyDescent="0.2">
      <c r="A59" s="349" t="s">
        <v>671</v>
      </c>
      <c r="B59" s="356">
        <v>2068.1</v>
      </c>
      <c r="C59" s="356">
        <v>2757.4</v>
      </c>
      <c r="D59" s="356">
        <v>2817.7</v>
      </c>
      <c r="E59" s="356">
        <v>2884.7</v>
      </c>
      <c r="F59" s="356">
        <v>4518.3</v>
      </c>
      <c r="G59" s="356">
        <v>3028.7</v>
      </c>
    </row>
    <row r="60" spans="1:7" x14ac:dyDescent="0.2">
      <c r="A60" s="347"/>
      <c r="B60" s="347"/>
      <c r="C60" s="347"/>
      <c r="D60" s="347"/>
      <c r="E60" s="347"/>
      <c r="F60" s="347"/>
      <c r="G60" s="347"/>
    </row>
    <row r="61" spans="1:7" x14ac:dyDescent="0.2">
      <c r="A61" s="347" t="s">
        <v>670</v>
      </c>
      <c r="B61" s="350" t="s">
        <v>622</v>
      </c>
      <c r="C61" s="350" t="s">
        <v>622</v>
      </c>
      <c r="D61" s="350" t="s">
        <v>622</v>
      </c>
      <c r="E61" s="350" t="s">
        <v>622</v>
      </c>
      <c r="F61" s="350" t="s">
        <v>622</v>
      </c>
      <c r="G61" s="350" t="s">
        <v>622</v>
      </c>
    </row>
    <row r="62" spans="1:7" x14ac:dyDescent="0.2">
      <c r="A62" s="347"/>
      <c r="B62" s="347"/>
      <c r="C62" s="347"/>
      <c r="D62" s="347"/>
      <c r="E62" s="347"/>
      <c r="F62" s="347"/>
      <c r="G62" s="347"/>
    </row>
    <row r="63" spans="1:7" x14ac:dyDescent="0.2">
      <c r="A63" s="349" t="s">
        <v>669</v>
      </c>
      <c r="B63" s="348">
        <v>2068.1</v>
      </c>
      <c r="C63" s="348">
        <v>2757.4</v>
      </c>
      <c r="D63" s="348">
        <v>2817.7</v>
      </c>
      <c r="E63" s="348">
        <v>2884.7</v>
      </c>
      <c r="F63" s="348">
        <v>4518.3</v>
      </c>
      <c r="G63" s="348">
        <v>3028.7</v>
      </c>
    </row>
    <row r="64" spans="1:7" x14ac:dyDescent="0.2">
      <c r="A64" s="349" t="s">
        <v>668</v>
      </c>
      <c r="B64" s="348">
        <v>2068.1</v>
      </c>
      <c r="C64" s="348">
        <v>2757.4</v>
      </c>
      <c r="D64" s="348">
        <v>2817.7</v>
      </c>
      <c r="E64" s="348">
        <v>2884.7</v>
      </c>
      <c r="F64" s="348">
        <v>4518.3</v>
      </c>
      <c r="G64" s="348">
        <v>3028.7</v>
      </c>
    </row>
    <row r="65" spans="1:7" x14ac:dyDescent="0.2">
      <c r="A65" s="347"/>
      <c r="B65" s="347"/>
      <c r="C65" s="347"/>
      <c r="D65" s="347"/>
      <c r="E65" s="347"/>
      <c r="F65" s="347"/>
      <c r="G65" s="347"/>
    </row>
    <row r="66" spans="1:7" x14ac:dyDescent="0.2">
      <c r="A66" s="349" t="s">
        <v>667</v>
      </c>
      <c r="B66" s="347"/>
      <c r="C66" s="347"/>
      <c r="D66" s="347"/>
      <c r="E66" s="347"/>
      <c r="F66" s="347"/>
      <c r="G66" s="347"/>
    </row>
    <row r="67" spans="1:7" x14ac:dyDescent="0.2">
      <c r="A67" s="347" t="s">
        <v>666</v>
      </c>
      <c r="B67" s="354">
        <v>1.37</v>
      </c>
      <c r="C67" s="354">
        <v>1.84</v>
      </c>
      <c r="D67" s="354">
        <v>1.91</v>
      </c>
      <c r="E67" s="354">
        <v>1.99</v>
      </c>
      <c r="F67" s="354">
        <v>3.27</v>
      </c>
      <c r="G67" s="354">
        <v>2.2599999999999998</v>
      </c>
    </row>
    <row r="68" spans="1:7" x14ac:dyDescent="0.2">
      <c r="A68" s="347" t="s">
        <v>665</v>
      </c>
      <c r="B68" s="355">
        <v>1.3729659999999999</v>
      </c>
      <c r="C68" s="355">
        <v>1.843305</v>
      </c>
      <c r="D68" s="355">
        <v>1.9147179999999999</v>
      </c>
      <c r="E68" s="355">
        <v>1.9901340000000001</v>
      </c>
      <c r="F68" s="355">
        <v>3.2677369999999999</v>
      </c>
      <c r="G68" s="355">
        <v>2.2646169999999999</v>
      </c>
    </row>
    <row r="69" spans="1:7" x14ac:dyDescent="0.2">
      <c r="A69" s="347" t="s">
        <v>664</v>
      </c>
      <c r="B69" s="350">
        <v>1506.3</v>
      </c>
      <c r="C69" s="350">
        <v>1495.9</v>
      </c>
      <c r="D69" s="350">
        <v>1471.6</v>
      </c>
      <c r="E69" s="350">
        <v>1449.5</v>
      </c>
      <c r="F69" s="350">
        <v>1382.7</v>
      </c>
      <c r="G69" s="350">
        <v>1337.4</v>
      </c>
    </row>
    <row r="70" spans="1:7" x14ac:dyDescent="0.2">
      <c r="A70" s="347"/>
      <c r="B70" s="347"/>
      <c r="C70" s="347"/>
      <c r="D70" s="347"/>
      <c r="E70" s="347"/>
      <c r="F70" s="347"/>
      <c r="G70" s="347"/>
    </row>
    <row r="71" spans="1:7" x14ac:dyDescent="0.2">
      <c r="A71" s="347" t="s">
        <v>663</v>
      </c>
      <c r="B71" s="354">
        <v>1.35</v>
      </c>
      <c r="C71" s="354">
        <v>1.82</v>
      </c>
      <c r="D71" s="354">
        <v>1.9</v>
      </c>
      <c r="E71" s="354">
        <v>1.97</v>
      </c>
      <c r="F71" s="354">
        <v>3.24</v>
      </c>
      <c r="G71" s="354">
        <v>2.25</v>
      </c>
    </row>
    <row r="72" spans="1:7" x14ac:dyDescent="0.2">
      <c r="A72" s="347" t="s">
        <v>662</v>
      </c>
      <c r="B72" s="355">
        <v>1.35</v>
      </c>
      <c r="C72" s="355">
        <v>1.82</v>
      </c>
      <c r="D72" s="355">
        <v>1.9</v>
      </c>
      <c r="E72" s="355">
        <v>1.97</v>
      </c>
      <c r="F72" s="355">
        <v>3.24</v>
      </c>
      <c r="G72" s="355">
        <v>2.2461690000000001</v>
      </c>
    </row>
    <row r="73" spans="1:7" x14ac:dyDescent="0.2">
      <c r="A73" s="347" t="s">
        <v>661</v>
      </c>
      <c r="B73" s="350">
        <v>1526.3</v>
      </c>
      <c r="C73" s="350">
        <v>1513.4</v>
      </c>
      <c r="D73" s="350">
        <v>1486.7</v>
      </c>
      <c r="E73" s="350">
        <v>1461.5</v>
      </c>
      <c r="F73" s="350">
        <v>1394.6</v>
      </c>
      <c r="G73" s="350">
        <v>1349.3</v>
      </c>
    </row>
    <row r="74" spans="1:7" x14ac:dyDescent="0.2">
      <c r="A74" s="347"/>
      <c r="B74" s="347"/>
      <c r="C74" s="347"/>
      <c r="D74" s="347"/>
      <c r="E74" s="347"/>
      <c r="F74" s="347"/>
      <c r="G74" s="347"/>
    </row>
    <row r="75" spans="1:7" x14ac:dyDescent="0.2">
      <c r="A75" s="347" t="s">
        <v>660</v>
      </c>
      <c r="B75" s="354">
        <v>1.27</v>
      </c>
      <c r="C75" s="354">
        <v>1.49</v>
      </c>
      <c r="D75" s="354">
        <v>1.78</v>
      </c>
      <c r="E75" s="354">
        <v>1.87</v>
      </c>
      <c r="F75" s="354">
        <v>1.87</v>
      </c>
      <c r="G75" s="354">
        <v>1.84</v>
      </c>
    </row>
    <row r="76" spans="1:7" x14ac:dyDescent="0.2">
      <c r="A76" s="347" t="s">
        <v>659</v>
      </c>
      <c r="B76" s="355">
        <v>1.2580830000000001</v>
      </c>
      <c r="C76" s="355">
        <v>1.4770380000000001</v>
      </c>
      <c r="D76" s="355">
        <v>1.761317</v>
      </c>
      <c r="E76" s="355">
        <v>1.8558330000000001</v>
      </c>
      <c r="F76" s="355">
        <v>1.854555</v>
      </c>
      <c r="G76" s="355">
        <v>1.826057</v>
      </c>
    </row>
    <row r="77" spans="1:7" x14ac:dyDescent="0.2">
      <c r="A77" s="347"/>
      <c r="B77" s="347"/>
      <c r="C77" s="347"/>
      <c r="D77" s="347"/>
      <c r="E77" s="347"/>
      <c r="F77" s="347"/>
      <c r="G77" s="347"/>
    </row>
    <row r="78" spans="1:7" x14ac:dyDescent="0.2">
      <c r="A78" s="347" t="s">
        <v>658</v>
      </c>
      <c r="B78" s="354">
        <v>0.55000000000000004</v>
      </c>
      <c r="C78" s="354">
        <v>0.68</v>
      </c>
      <c r="D78" s="354">
        <v>0.85</v>
      </c>
      <c r="E78" s="354">
        <v>1.05</v>
      </c>
      <c r="F78" s="354">
        <v>1.32</v>
      </c>
      <c r="G78" s="354">
        <v>1.38</v>
      </c>
    </row>
    <row r="79" spans="1:7" x14ac:dyDescent="0.2">
      <c r="A79" s="347" t="s">
        <v>657</v>
      </c>
      <c r="B79" s="353">
        <v>0.37865599999999999</v>
      </c>
      <c r="C79" s="353">
        <v>0.33676600000000001</v>
      </c>
      <c r="D79" s="353">
        <v>0.41807100000000003</v>
      </c>
      <c r="E79" s="353">
        <v>0.50278999999999996</v>
      </c>
      <c r="F79" s="353">
        <v>0.385853</v>
      </c>
      <c r="G79" s="351" t="s">
        <v>625</v>
      </c>
    </row>
    <row r="80" spans="1:7" x14ac:dyDescent="0.2">
      <c r="A80" s="347"/>
      <c r="B80" s="347"/>
      <c r="C80" s="347"/>
      <c r="D80" s="347"/>
      <c r="E80" s="347"/>
      <c r="F80" s="347"/>
      <c r="G80" s="347"/>
    </row>
    <row r="81" spans="1:7" x14ac:dyDescent="0.2">
      <c r="A81" s="349" t="s">
        <v>656</v>
      </c>
      <c r="B81" s="347"/>
      <c r="C81" s="347"/>
      <c r="D81" s="347"/>
      <c r="E81" s="347"/>
      <c r="F81" s="347"/>
      <c r="G81" s="347"/>
    </row>
    <row r="82" spans="1:7" x14ac:dyDescent="0.2">
      <c r="A82" s="347" t="s">
        <v>655</v>
      </c>
      <c r="B82" s="350">
        <v>3541</v>
      </c>
      <c r="C82" s="350">
        <v>4284.8999999999996</v>
      </c>
      <c r="D82" s="350">
        <v>4883.8</v>
      </c>
      <c r="E82" s="350">
        <v>4963.8999999999996</v>
      </c>
      <c r="F82" s="350">
        <v>5116</v>
      </c>
      <c r="G82" s="350">
        <v>5108.0749999999998</v>
      </c>
    </row>
    <row r="83" spans="1:7" x14ac:dyDescent="0.2">
      <c r="A83" s="347" t="s">
        <v>654</v>
      </c>
      <c r="B83" s="350">
        <v>2801.3</v>
      </c>
      <c r="C83" s="350">
        <v>3401.1</v>
      </c>
      <c r="D83" s="350">
        <v>3911</v>
      </c>
      <c r="E83" s="350">
        <v>3954.3</v>
      </c>
      <c r="F83" s="350">
        <v>3996.6</v>
      </c>
      <c r="G83" s="350">
        <v>3748.1</v>
      </c>
    </row>
    <row r="84" spans="1:7" x14ac:dyDescent="0.2">
      <c r="A84" s="347" t="s">
        <v>653</v>
      </c>
      <c r="B84" s="350">
        <v>2792.6</v>
      </c>
      <c r="C84" s="350">
        <v>3351.1</v>
      </c>
      <c r="D84" s="350">
        <v>3853.7</v>
      </c>
      <c r="E84" s="350">
        <v>3896.8</v>
      </c>
      <c r="F84" s="350">
        <v>3810.1</v>
      </c>
      <c r="G84" s="350">
        <v>3748.1</v>
      </c>
    </row>
    <row r="85" spans="1:7" x14ac:dyDescent="0.2">
      <c r="A85" s="347" t="s">
        <v>652</v>
      </c>
      <c r="B85" s="350">
        <v>4501.8999999999996</v>
      </c>
      <c r="C85" s="350">
        <v>5410.8</v>
      </c>
      <c r="D85" s="350">
        <v>6092.4</v>
      </c>
      <c r="E85" s="350">
        <v>6277.6</v>
      </c>
      <c r="F85" s="350">
        <v>6728.9</v>
      </c>
      <c r="G85" s="350" t="s">
        <v>625</v>
      </c>
    </row>
    <row r="86" spans="1:7" x14ac:dyDescent="0.2">
      <c r="A86" s="347" t="s">
        <v>651</v>
      </c>
      <c r="B86" s="350">
        <v>16447.8</v>
      </c>
      <c r="C86" s="350">
        <v>19162.7</v>
      </c>
      <c r="D86" s="350">
        <v>21315.9</v>
      </c>
      <c r="E86" s="350">
        <v>22386.799999999999</v>
      </c>
      <c r="F86" s="350">
        <v>24719.5</v>
      </c>
      <c r="G86" s="350">
        <v>25278.5</v>
      </c>
    </row>
    <row r="87" spans="1:7" x14ac:dyDescent="0.2">
      <c r="A87" s="347" t="s">
        <v>650</v>
      </c>
      <c r="B87" s="353">
        <v>0.34560200000000002</v>
      </c>
      <c r="C87" s="353">
        <v>0.29303099999999999</v>
      </c>
      <c r="D87" s="353">
        <v>0.32860899999999998</v>
      </c>
      <c r="E87" s="353">
        <v>0.331812</v>
      </c>
      <c r="F87" s="353">
        <v>0.21833900000000001</v>
      </c>
      <c r="G87" s="353">
        <v>0.19020699999999999</v>
      </c>
    </row>
    <row r="88" spans="1:7" x14ac:dyDescent="0.2">
      <c r="A88" s="347" t="s">
        <v>649</v>
      </c>
      <c r="B88" s="350">
        <v>955.6</v>
      </c>
      <c r="C88" s="350">
        <v>951.1</v>
      </c>
      <c r="D88" s="350">
        <v>870.6</v>
      </c>
      <c r="E88" s="350">
        <v>1101.8</v>
      </c>
      <c r="F88" s="350">
        <v>208.2</v>
      </c>
      <c r="G88" s="350">
        <v>208.2</v>
      </c>
    </row>
    <row r="89" spans="1:7" x14ac:dyDescent="0.2">
      <c r="A89" s="347" t="s">
        <v>648</v>
      </c>
      <c r="B89" s="350">
        <v>128.80000000000001</v>
      </c>
      <c r="C89" s="350">
        <v>172.2</v>
      </c>
      <c r="D89" s="350">
        <v>218.5</v>
      </c>
      <c r="E89" s="350">
        <v>216.6</v>
      </c>
      <c r="F89" s="350">
        <v>327</v>
      </c>
      <c r="G89" s="350">
        <v>327</v>
      </c>
    </row>
    <row r="90" spans="1:7" x14ac:dyDescent="0.2">
      <c r="A90" s="347" t="s">
        <v>647</v>
      </c>
      <c r="B90" s="350">
        <v>1084.4000000000001</v>
      </c>
      <c r="C90" s="350">
        <v>1123.3</v>
      </c>
      <c r="D90" s="350">
        <v>1089.0999999999999</v>
      </c>
      <c r="E90" s="350">
        <v>1318.4</v>
      </c>
      <c r="F90" s="350">
        <v>535.20000000000005</v>
      </c>
      <c r="G90" s="350">
        <v>535.20000000000005</v>
      </c>
    </row>
    <row r="91" spans="1:7" x14ac:dyDescent="0.2">
      <c r="A91" s="347" t="s">
        <v>646</v>
      </c>
      <c r="B91" s="350">
        <v>7.1</v>
      </c>
      <c r="C91" s="350">
        <v>60.5</v>
      </c>
      <c r="D91" s="350">
        <v>377.1</v>
      </c>
      <c r="E91" s="350">
        <v>135.4</v>
      </c>
      <c r="F91" s="350">
        <v>735.2</v>
      </c>
      <c r="G91" s="350">
        <v>735.2</v>
      </c>
    </row>
    <row r="92" spans="1:7" x14ac:dyDescent="0.2">
      <c r="A92" s="347" t="s">
        <v>645</v>
      </c>
      <c r="B92" s="350">
        <v>0.5</v>
      </c>
      <c r="C92" s="350">
        <v>-40.1</v>
      </c>
      <c r="D92" s="350">
        <v>-86.5</v>
      </c>
      <c r="E92" s="350">
        <v>-21.2</v>
      </c>
      <c r="F92" s="350">
        <v>-8.4</v>
      </c>
      <c r="G92" s="350">
        <v>-8.4</v>
      </c>
    </row>
    <row r="93" spans="1:7" x14ac:dyDescent="0.2">
      <c r="A93" s="347" t="s">
        <v>644</v>
      </c>
      <c r="B93" s="350">
        <v>7.6</v>
      </c>
      <c r="C93" s="350">
        <v>20.399999999999999</v>
      </c>
      <c r="D93" s="350">
        <v>290.60000000000002</v>
      </c>
      <c r="E93" s="350">
        <v>114.2</v>
      </c>
      <c r="F93" s="350">
        <v>726.8</v>
      </c>
      <c r="G93" s="350">
        <v>726.8</v>
      </c>
    </row>
    <row r="94" spans="1:7" x14ac:dyDescent="0.2">
      <c r="A94" s="347"/>
      <c r="B94" s="347"/>
      <c r="C94" s="347"/>
      <c r="D94" s="347"/>
      <c r="E94" s="347"/>
      <c r="F94" s="347"/>
      <c r="G94" s="347"/>
    </row>
    <row r="95" spans="1:7" x14ac:dyDescent="0.2">
      <c r="A95" s="347" t="s">
        <v>643</v>
      </c>
      <c r="B95" s="350">
        <v>1920.2125000000001</v>
      </c>
      <c r="C95" s="350">
        <v>2235.35</v>
      </c>
      <c r="D95" s="350">
        <v>2618.5500000000002</v>
      </c>
      <c r="E95" s="350">
        <v>2712.3</v>
      </c>
      <c r="F95" s="350">
        <v>2586.3625000000002</v>
      </c>
      <c r="G95" s="350">
        <v>2463.9</v>
      </c>
    </row>
    <row r="96" spans="1:7" x14ac:dyDescent="0.2">
      <c r="A96" s="347" t="s">
        <v>642</v>
      </c>
      <c r="B96" s="350">
        <v>6.2</v>
      </c>
      <c r="C96" s="350" t="s">
        <v>625</v>
      </c>
      <c r="D96" s="350" t="s">
        <v>625</v>
      </c>
      <c r="E96" s="350" t="s">
        <v>625</v>
      </c>
      <c r="F96" s="350" t="s">
        <v>625</v>
      </c>
      <c r="G96" s="350" t="s">
        <v>625</v>
      </c>
    </row>
    <row r="97" spans="1:7" x14ac:dyDescent="0.2">
      <c r="A97" s="347" t="s">
        <v>641</v>
      </c>
      <c r="B97" s="350">
        <v>70.3</v>
      </c>
      <c r="C97" s="350">
        <v>74.2</v>
      </c>
      <c r="D97" s="350">
        <v>81.3</v>
      </c>
      <c r="E97" s="350">
        <v>92.5</v>
      </c>
      <c r="F97" s="350">
        <v>170.3</v>
      </c>
      <c r="G97" s="350" t="s">
        <v>625</v>
      </c>
    </row>
    <row r="98" spans="1:7" x14ac:dyDescent="0.2">
      <c r="A98" s="347" t="s">
        <v>640</v>
      </c>
      <c r="B98" s="352">
        <v>42692</v>
      </c>
      <c r="C98" s="352">
        <v>43056</v>
      </c>
      <c r="D98" s="352">
        <v>43420</v>
      </c>
      <c r="E98" s="352">
        <v>43420</v>
      </c>
      <c r="F98" s="352">
        <v>43420</v>
      </c>
      <c r="G98" s="352">
        <v>43489</v>
      </c>
    </row>
    <row r="99" spans="1:7" x14ac:dyDescent="0.2">
      <c r="A99" s="347" t="s">
        <v>639</v>
      </c>
      <c r="B99" s="351" t="s">
        <v>638</v>
      </c>
      <c r="C99" s="351" t="s">
        <v>637</v>
      </c>
      <c r="D99" s="351" t="s">
        <v>637</v>
      </c>
      <c r="E99" s="351" t="s">
        <v>637</v>
      </c>
      <c r="F99" s="351" t="s">
        <v>636</v>
      </c>
      <c r="G99" s="351" t="s">
        <v>635</v>
      </c>
    </row>
    <row r="100" spans="1:7" x14ac:dyDescent="0.2">
      <c r="A100" s="347" t="s">
        <v>634</v>
      </c>
      <c r="B100" s="351" t="s">
        <v>633</v>
      </c>
      <c r="C100" s="351" t="s">
        <v>633</v>
      </c>
      <c r="D100" s="351" t="s">
        <v>633</v>
      </c>
      <c r="E100" s="351" t="s">
        <v>633</v>
      </c>
      <c r="F100" s="351" t="s">
        <v>633</v>
      </c>
      <c r="G100" s="351" t="s">
        <v>632</v>
      </c>
    </row>
    <row r="101" spans="1:7" x14ac:dyDescent="0.2">
      <c r="A101" s="347"/>
      <c r="B101" s="347"/>
      <c r="C101" s="347"/>
      <c r="D101" s="347"/>
      <c r="E101" s="347"/>
      <c r="F101" s="347"/>
      <c r="G101" s="347"/>
    </row>
    <row r="102" spans="1:7" x14ac:dyDescent="0.2">
      <c r="A102" s="349" t="s">
        <v>631</v>
      </c>
      <c r="B102" s="347"/>
      <c r="C102" s="347"/>
      <c r="D102" s="347"/>
      <c r="E102" s="347"/>
      <c r="F102" s="347"/>
      <c r="G102" s="347"/>
    </row>
    <row r="103" spans="1:7" x14ac:dyDescent="0.2">
      <c r="A103" s="347" t="s">
        <v>630</v>
      </c>
      <c r="B103" s="350">
        <v>198.9</v>
      </c>
      <c r="C103" s="350">
        <v>227.9</v>
      </c>
      <c r="D103" s="350">
        <v>248.6</v>
      </c>
      <c r="E103" s="350">
        <v>282.60000000000002</v>
      </c>
      <c r="F103" s="350">
        <v>260.3</v>
      </c>
      <c r="G103" s="350" t="s">
        <v>625</v>
      </c>
    </row>
    <row r="104" spans="1:7" x14ac:dyDescent="0.2">
      <c r="A104" s="347" t="s">
        <v>629</v>
      </c>
      <c r="B104" s="350">
        <v>116.6</v>
      </c>
      <c r="C104" s="350" t="s">
        <v>625</v>
      </c>
      <c r="D104" s="350" t="s">
        <v>625</v>
      </c>
      <c r="E104" s="350" t="s">
        <v>625</v>
      </c>
      <c r="F104" s="350" t="s">
        <v>625</v>
      </c>
      <c r="G104" s="350" t="s">
        <v>625</v>
      </c>
    </row>
    <row r="105" spans="1:7" x14ac:dyDescent="0.2">
      <c r="A105" s="347" t="s">
        <v>628</v>
      </c>
      <c r="B105" s="350">
        <v>116.6</v>
      </c>
      <c r="C105" s="350" t="s">
        <v>625</v>
      </c>
      <c r="D105" s="350" t="s">
        <v>625</v>
      </c>
      <c r="E105" s="350" t="s">
        <v>625</v>
      </c>
      <c r="F105" s="350" t="s">
        <v>625</v>
      </c>
      <c r="G105" s="350" t="s">
        <v>625</v>
      </c>
    </row>
    <row r="106" spans="1:7" x14ac:dyDescent="0.2">
      <c r="A106" s="347" t="s">
        <v>627</v>
      </c>
      <c r="B106" s="350">
        <v>991.3</v>
      </c>
      <c r="C106" s="350">
        <v>1196.7</v>
      </c>
      <c r="D106" s="350">
        <v>1408.9</v>
      </c>
      <c r="E106" s="350">
        <v>1450.7</v>
      </c>
      <c r="F106" s="350">
        <v>1755.4</v>
      </c>
      <c r="G106" s="350">
        <v>1826.3</v>
      </c>
    </row>
    <row r="107" spans="1:7" x14ac:dyDescent="0.2">
      <c r="A107" s="347" t="s">
        <v>626</v>
      </c>
      <c r="B107" s="350">
        <v>960.9</v>
      </c>
      <c r="C107" s="350">
        <v>1125.9000000000001</v>
      </c>
      <c r="D107" s="350">
        <v>1208.5999999999999</v>
      </c>
      <c r="E107" s="350">
        <v>1313.7</v>
      </c>
      <c r="F107" s="350">
        <v>1612.9</v>
      </c>
      <c r="G107" s="350" t="s">
        <v>625</v>
      </c>
    </row>
    <row r="108" spans="1:7" x14ac:dyDescent="0.2">
      <c r="A108" s="347" t="s">
        <v>624</v>
      </c>
      <c r="B108" s="350">
        <v>322.84702600000003</v>
      </c>
      <c r="C108" s="350">
        <v>288.91494699999998</v>
      </c>
      <c r="D108" s="350">
        <v>264.99280199999998</v>
      </c>
      <c r="E108" s="350">
        <v>258.62023699999997</v>
      </c>
      <c r="F108" s="350">
        <v>327.32837799999999</v>
      </c>
      <c r="G108" s="350" t="s">
        <v>622</v>
      </c>
    </row>
    <row r="109" spans="1:7" x14ac:dyDescent="0.2">
      <c r="A109" s="347" t="s">
        <v>623</v>
      </c>
      <c r="B109" s="350">
        <v>638.05297399999995</v>
      </c>
      <c r="C109" s="350">
        <v>836.98505299999999</v>
      </c>
      <c r="D109" s="350">
        <v>943.60719800000004</v>
      </c>
      <c r="E109" s="350">
        <v>1055.079763</v>
      </c>
      <c r="F109" s="350">
        <v>1285.5716219999999</v>
      </c>
      <c r="G109" s="350" t="s">
        <v>622</v>
      </c>
    </row>
    <row r="110" spans="1:7" x14ac:dyDescent="0.2">
      <c r="A110" s="347"/>
      <c r="B110" s="347"/>
      <c r="C110" s="347"/>
      <c r="D110" s="347"/>
      <c r="E110" s="347"/>
      <c r="F110" s="347"/>
      <c r="G110" s="347"/>
    </row>
    <row r="111" spans="1:7" x14ac:dyDescent="0.2">
      <c r="A111" s="347" t="s">
        <v>621</v>
      </c>
      <c r="B111" s="350">
        <v>183.2</v>
      </c>
      <c r="C111" s="350">
        <v>209.8</v>
      </c>
      <c r="D111" s="350">
        <v>218.1</v>
      </c>
      <c r="E111" s="350">
        <v>176</v>
      </c>
      <c r="F111" s="350">
        <v>250.3</v>
      </c>
      <c r="G111" s="350">
        <v>273.39999999999998</v>
      </c>
    </row>
    <row r="112" spans="1:7" x14ac:dyDescent="0.2">
      <c r="A112" s="349" t="s">
        <v>620</v>
      </c>
      <c r="B112" s="348">
        <v>183.2</v>
      </c>
      <c r="C112" s="348">
        <v>209.8</v>
      </c>
      <c r="D112" s="348">
        <v>218.1</v>
      </c>
      <c r="E112" s="348">
        <v>176</v>
      </c>
      <c r="F112" s="348">
        <v>250.3</v>
      </c>
      <c r="G112" s="348">
        <v>273.39999999999998</v>
      </c>
    </row>
    <row r="113" spans="1:7" x14ac:dyDescent="0.2">
      <c r="A113" s="347"/>
      <c r="B113" s="347"/>
      <c r="C113" s="347"/>
      <c r="D113" s="347"/>
      <c r="E113" s="347"/>
      <c r="F113" s="347"/>
      <c r="G113" s="347"/>
    </row>
    <row r="114" spans="1:7" x14ac:dyDescent="0.2">
      <c r="A114" s="346" t="s">
        <v>619</v>
      </c>
      <c r="B114" s="345"/>
      <c r="C114" s="345"/>
      <c r="D114" s="345"/>
      <c r="E114" s="345"/>
      <c r="F114" s="345"/>
      <c r="G114" s="345"/>
    </row>
    <row r="115" spans="1:7" x14ac:dyDescent="0.2">
      <c r="A115" s="344" t="s">
        <v>618</v>
      </c>
    </row>
    <row r="116" spans="1:7" x14ac:dyDescent="0.2">
      <c r="A116" s="343" t="s">
        <v>617</v>
      </c>
    </row>
  </sheetData>
  <pageMargins left="0.2" right="0.2" top="0.5" bottom="0.5" header="0.5" footer="0.5"/>
  <pageSetup fitToWidth="0" fitToHeight="0" orientation="landscape" horizontalDpi="0" verticalDpi="0"/>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F57A72-474B-4306-9460-556371639B51}">
  <sheetPr codeName="Sheet3">
    <outlinePr summaryBelow="0" summaryRight="0"/>
    <pageSetUpPr autoPageBreaks="0"/>
  </sheetPr>
  <dimension ref="A5:IU98"/>
  <sheetViews>
    <sheetView topLeftCell="A79" workbookViewId="0">
      <selection activeCell="E94" sqref="E94"/>
    </sheetView>
  </sheetViews>
  <sheetFormatPr defaultRowHeight="11.25" x14ac:dyDescent="0.2"/>
  <cols>
    <col min="1" max="1" width="40.125" style="342" customWidth="1"/>
    <col min="2" max="7" width="13" style="342" customWidth="1"/>
    <col min="8" max="16384" width="9" style="342"/>
  </cols>
  <sheetData>
    <row r="5" spans="1:255" ht="15.75" x14ac:dyDescent="0.2">
      <c r="A5" s="368" t="s">
        <v>808</v>
      </c>
    </row>
    <row r="7" spans="1:255" x14ac:dyDescent="0.2">
      <c r="A7" s="367" t="s">
        <v>730</v>
      </c>
      <c r="B7" s="365" t="s">
        <v>729</v>
      </c>
      <c r="C7" s="342" t="s">
        <v>728</v>
      </c>
      <c r="D7" s="366" t="s">
        <v>716</v>
      </c>
      <c r="E7" s="365" t="s">
        <v>727</v>
      </c>
      <c r="F7" s="342" t="s">
        <v>726</v>
      </c>
    </row>
    <row r="8" spans="1:255" x14ac:dyDescent="0.2">
      <c r="A8" s="366"/>
      <c r="B8" s="365" t="s">
        <v>725</v>
      </c>
      <c r="C8" s="342" t="s">
        <v>724</v>
      </c>
      <c r="D8" s="366" t="s">
        <v>716</v>
      </c>
      <c r="E8" s="365" t="s">
        <v>723</v>
      </c>
      <c r="F8" s="342" t="s">
        <v>722</v>
      </c>
    </row>
    <row r="9" spans="1:255" x14ac:dyDescent="0.2">
      <c r="A9" s="366"/>
      <c r="B9" s="365" t="s">
        <v>721</v>
      </c>
      <c r="C9" s="342" t="s">
        <v>720</v>
      </c>
      <c r="D9" s="366" t="s">
        <v>716</v>
      </c>
      <c r="E9" s="365" t="s">
        <v>719</v>
      </c>
      <c r="F9" s="342" t="s">
        <v>718</v>
      </c>
    </row>
    <row r="10" spans="1:255" x14ac:dyDescent="0.2">
      <c r="A10" s="366"/>
      <c r="B10" s="365" t="s">
        <v>62</v>
      </c>
      <c r="C10" s="342" t="s">
        <v>717</v>
      </c>
      <c r="D10" s="366" t="s">
        <v>716</v>
      </c>
      <c r="E10" s="365" t="s">
        <v>715</v>
      </c>
      <c r="F10" s="364" t="s">
        <v>714</v>
      </c>
    </row>
    <row r="13" spans="1:255" x14ac:dyDescent="0.2">
      <c r="A13" s="363" t="s">
        <v>807</v>
      </c>
      <c r="B13" s="363"/>
      <c r="C13" s="363"/>
      <c r="D13" s="363"/>
      <c r="E13" s="363"/>
      <c r="F13" s="363"/>
      <c r="G13" s="363"/>
      <c r="H13" s="362"/>
      <c r="I13" s="362"/>
      <c r="J13" s="362"/>
      <c r="K13" s="362"/>
      <c r="L13" s="362"/>
      <c r="M13" s="362"/>
      <c r="N13" s="362"/>
      <c r="O13" s="362"/>
      <c r="P13" s="362"/>
      <c r="Q13" s="362"/>
      <c r="R13" s="362"/>
      <c r="S13" s="362"/>
      <c r="T13" s="362"/>
      <c r="U13" s="362"/>
      <c r="V13" s="362"/>
      <c r="W13" s="362"/>
      <c r="X13" s="362"/>
      <c r="Y13" s="362"/>
      <c r="Z13" s="362"/>
      <c r="AA13" s="362"/>
      <c r="AB13" s="362"/>
      <c r="AC13" s="362"/>
      <c r="AD13" s="362"/>
      <c r="AE13" s="362"/>
      <c r="AF13" s="362"/>
      <c r="AG13" s="362"/>
      <c r="AH13" s="362"/>
      <c r="AI13" s="362"/>
      <c r="AJ13" s="362"/>
      <c r="AK13" s="362"/>
      <c r="AL13" s="362"/>
      <c r="AM13" s="362"/>
      <c r="AN13" s="362"/>
      <c r="AO13" s="362"/>
      <c r="AP13" s="362"/>
      <c r="AQ13" s="362"/>
      <c r="AR13" s="362"/>
      <c r="AS13" s="362"/>
      <c r="AT13" s="362"/>
      <c r="AU13" s="362"/>
      <c r="AV13" s="362"/>
      <c r="AW13" s="362"/>
      <c r="AX13" s="362"/>
      <c r="AY13" s="362"/>
      <c r="AZ13" s="362"/>
      <c r="BA13" s="362"/>
      <c r="BB13" s="362"/>
      <c r="BC13" s="362"/>
      <c r="BD13" s="362"/>
      <c r="BE13" s="362"/>
      <c r="BF13" s="362"/>
      <c r="BG13" s="362"/>
      <c r="BH13" s="362"/>
      <c r="BI13" s="362"/>
      <c r="BJ13" s="362"/>
      <c r="BK13" s="362"/>
      <c r="BL13" s="362"/>
      <c r="BM13" s="362"/>
      <c r="BN13" s="362"/>
      <c r="BO13" s="362"/>
      <c r="BP13" s="362"/>
      <c r="BQ13" s="362"/>
      <c r="BR13" s="362"/>
      <c r="BS13" s="362"/>
      <c r="BT13" s="362"/>
      <c r="BU13" s="362"/>
      <c r="BV13" s="362"/>
      <c r="BW13" s="362"/>
      <c r="BX13" s="362"/>
      <c r="BY13" s="362"/>
      <c r="BZ13" s="362"/>
      <c r="CA13" s="362"/>
      <c r="CB13" s="362"/>
      <c r="CC13" s="362"/>
      <c r="CD13" s="362"/>
      <c r="CE13" s="362"/>
      <c r="CF13" s="362"/>
      <c r="CG13" s="362"/>
      <c r="CH13" s="362"/>
      <c r="CI13" s="362"/>
      <c r="CJ13" s="362"/>
      <c r="CK13" s="362"/>
      <c r="CL13" s="362"/>
      <c r="CM13" s="362"/>
      <c r="CN13" s="362"/>
      <c r="CO13" s="362"/>
      <c r="CP13" s="362"/>
      <c r="CQ13" s="362"/>
      <c r="CR13" s="362"/>
      <c r="CS13" s="362"/>
      <c r="CT13" s="362"/>
      <c r="CU13" s="362"/>
      <c r="CV13" s="362"/>
      <c r="CW13" s="362"/>
      <c r="CX13" s="362"/>
      <c r="CY13" s="362"/>
      <c r="CZ13" s="362"/>
      <c r="DA13" s="362"/>
      <c r="DB13" s="362"/>
      <c r="DC13" s="362"/>
      <c r="DD13" s="362"/>
      <c r="DE13" s="362"/>
      <c r="DF13" s="362"/>
      <c r="DG13" s="362"/>
      <c r="DH13" s="362"/>
      <c r="DI13" s="362"/>
      <c r="DJ13" s="362"/>
      <c r="DK13" s="362"/>
      <c r="DL13" s="362"/>
      <c r="DM13" s="362"/>
      <c r="DN13" s="362"/>
      <c r="DO13" s="362"/>
      <c r="DP13" s="362"/>
      <c r="DQ13" s="362"/>
      <c r="DR13" s="362"/>
      <c r="DS13" s="362"/>
      <c r="DT13" s="362"/>
      <c r="DU13" s="362"/>
      <c r="DV13" s="362"/>
      <c r="DW13" s="362"/>
      <c r="DX13" s="362"/>
      <c r="DY13" s="362"/>
      <c r="DZ13" s="362"/>
      <c r="EA13" s="362"/>
      <c r="EB13" s="362"/>
      <c r="EC13" s="362"/>
      <c r="ED13" s="362"/>
      <c r="EE13" s="362"/>
      <c r="EF13" s="362"/>
      <c r="EG13" s="362"/>
      <c r="EH13" s="362"/>
      <c r="EI13" s="362"/>
      <c r="EJ13" s="362"/>
      <c r="EK13" s="362"/>
      <c r="EL13" s="362"/>
      <c r="EM13" s="362"/>
      <c r="EN13" s="362"/>
      <c r="EO13" s="362"/>
      <c r="EP13" s="362"/>
      <c r="EQ13" s="362"/>
      <c r="ER13" s="362"/>
      <c r="ES13" s="362"/>
      <c r="ET13" s="362"/>
      <c r="EU13" s="362"/>
      <c r="EV13" s="362"/>
      <c r="EW13" s="362"/>
      <c r="EX13" s="362"/>
      <c r="EY13" s="362"/>
      <c r="EZ13" s="362"/>
      <c r="FA13" s="362"/>
      <c r="FB13" s="362"/>
      <c r="FC13" s="362"/>
      <c r="FD13" s="362"/>
      <c r="FE13" s="362"/>
      <c r="FF13" s="362"/>
      <c r="FG13" s="362"/>
      <c r="FH13" s="362"/>
      <c r="FI13" s="362"/>
      <c r="FJ13" s="362"/>
      <c r="FK13" s="362"/>
      <c r="FL13" s="362"/>
      <c r="FM13" s="362"/>
      <c r="FN13" s="362"/>
      <c r="FO13" s="362"/>
      <c r="FP13" s="362"/>
      <c r="FQ13" s="362"/>
      <c r="FR13" s="362"/>
      <c r="FS13" s="362"/>
      <c r="FT13" s="362"/>
      <c r="FU13" s="362"/>
      <c r="FV13" s="362"/>
      <c r="FW13" s="362"/>
      <c r="FX13" s="362"/>
      <c r="FY13" s="362"/>
      <c r="FZ13" s="362"/>
      <c r="GA13" s="362"/>
      <c r="GB13" s="362"/>
      <c r="GC13" s="362"/>
      <c r="GD13" s="362"/>
      <c r="GE13" s="362"/>
      <c r="GF13" s="362"/>
      <c r="GG13" s="362"/>
      <c r="GH13" s="362"/>
      <c r="GI13" s="362"/>
      <c r="GJ13" s="362"/>
      <c r="GK13" s="362"/>
      <c r="GL13" s="362"/>
      <c r="GM13" s="362"/>
      <c r="GN13" s="362"/>
      <c r="GO13" s="362"/>
      <c r="GP13" s="362"/>
      <c r="GQ13" s="362"/>
      <c r="GR13" s="362"/>
      <c r="GS13" s="362"/>
      <c r="GT13" s="362"/>
      <c r="GU13" s="362"/>
      <c r="GV13" s="362"/>
      <c r="GW13" s="362"/>
      <c r="GX13" s="362"/>
      <c r="GY13" s="362"/>
      <c r="GZ13" s="362"/>
      <c r="HA13" s="362"/>
      <c r="HB13" s="362"/>
      <c r="HC13" s="362"/>
      <c r="HD13" s="362"/>
      <c r="HE13" s="362"/>
      <c r="HF13" s="362"/>
      <c r="HG13" s="362"/>
      <c r="HH13" s="362"/>
      <c r="HI13" s="362"/>
      <c r="HJ13" s="362"/>
      <c r="HK13" s="362"/>
      <c r="HL13" s="362"/>
      <c r="HM13" s="362"/>
      <c r="HN13" s="362"/>
      <c r="HO13" s="362"/>
      <c r="HP13" s="362"/>
      <c r="HQ13" s="362"/>
      <c r="HR13" s="362"/>
      <c r="HS13" s="362"/>
      <c r="HT13" s="362"/>
      <c r="HU13" s="362"/>
      <c r="HV13" s="362"/>
      <c r="HW13" s="362"/>
      <c r="HX13" s="362"/>
      <c r="HY13" s="362"/>
      <c r="HZ13" s="362"/>
      <c r="IA13" s="362"/>
      <c r="IB13" s="362"/>
      <c r="IC13" s="362"/>
      <c r="ID13" s="362"/>
      <c r="IE13" s="362"/>
      <c r="IF13" s="362"/>
      <c r="IG13" s="362"/>
      <c r="IH13" s="362"/>
      <c r="II13" s="362"/>
      <c r="IJ13" s="362"/>
      <c r="IK13" s="362"/>
      <c r="IL13" s="362"/>
      <c r="IM13" s="362"/>
      <c r="IN13" s="362"/>
      <c r="IO13" s="362"/>
      <c r="IP13" s="362"/>
      <c r="IQ13" s="362"/>
      <c r="IR13" s="362"/>
      <c r="IS13" s="362"/>
      <c r="IT13" s="362"/>
      <c r="IU13" s="362"/>
    </row>
    <row r="14" spans="1:255" ht="22.5" x14ac:dyDescent="0.2">
      <c r="A14" s="361" t="s">
        <v>806</v>
      </c>
      <c r="B14" s="373">
        <v>41910</v>
      </c>
      <c r="C14" s="360" t="s">
        <v>805</v>
      </c>
      <c r="D14" s="360" t="s">
        <v>804</v>
      </c>
      <c r="E14" s="373">
        <v>43009</v>
      </c>
      <c r="F14" s="373">
        <v>43373</v>
      </c>
      <c r="G14" s="360" t="s">
        <v>803</v>
      </c>
    </row>
    <row r="15" spans="1:255" x14ac:dyDescent="0.2">
      <c r="A15" s="359" t="s">
        <v>705</v>
      </c>
      <c r="B15" s="358" t="s">
        <v>704</v>
      </c>
      <c r="C15" s="358" t="s">
        <v>704</v>
      </c>
      <c r="D15" s="358" t="s">
        <v>704</v>
      </c>
      <c r="E15" s="358" t="s">
        <v>704</v>
      </c>
      <c r="F15" s="358" t="s">
        <v>704</v>
      </c>
      <c r="G15" s="358" t="s">
        <v>704</v>
      </c>
    </row>
    <row r="16" spans="1:255" x14ac:dyDescent="0.2">
      <c r="A16" s="349" t="s">
        <v>802</v>
      </c>
      <c r="B16" s="347"/>
      <c r="C16" s="347"/>
      <c r="D16" s="347"/>
      <c r="E16" s="347"/>
      <c r="F16" s="347"/>
      <c r="G16" s="347"/>
    </row>
    <row r="17" spans="1:8" x14ac:dyDescent="0.2">
      <c r="A17" s="347" t="s">
        <v>801</v>
      </c>
      <c r="B17" s="350">
        <v>1708.4</v>
      </c>
      <c r="C17" s="350">
        <v>1530.1</v>
      </c>
      <c r="D17" s="350">
        <v>2128.8000000000002</v>
      </c>
      <c r="E17" s="350">
        <v>2462.3000000000002</v>
      </c>
      <c r="F17" s="350">
        <v>8756.2999999999993</v>
      </c>
      <c r="G17" s="350" t="s">
        <v>622</v>
      </c>
      <c r="H17" s="342" t="s">
        <v>760</v>
      </c>
    </row>
    <row r="18" spans="1:8" x14ac:dyDescent="0.2">
      <c r="A18" s="347" t="s">
        <v>800</v>
      </c>
      <c r="B18" s="350">
        <v>135.4</v>
      </c>
      <c r="C18" s="350">
        <v>81.3</v>
      </c>
      <c r="D18" s="350">
        <v>134.4</v>
      </c>
      <c r="E18" s="350">
        <v>228.6</v>
      </c>
      <c r="F18" s="350">
        <v>181.5</v>
      </c>
      <c r="G18" s="350" t="s">
        <v>622</v>
      </c>
      <c r="H18" s="342" t="s">
        <v>760</v>
      </c>
    </row>
    <row r="19" spans="1:8" x14ac:dyDescent="0.2">
      <c r="A19" s="349" t="s">
        <v>799</v>
      </c>
      <c r="B19" s="357">
        <v>1843.8</v>
      </c>
      <c r="C19" s="357">
        <v>1611.4</v>
      </c>
      <c r="D19" s="357">
        <v>2263.1999999999998</v>
      </c>
      <c r="E19" s="357">
        <v>2690.9</v>
      </c>
      <c r="F19" s="357">
        <v>8937.7999999999993</v>
      </c>
      <c r="G19" s="357">
        <v>8937.7999999999993</v>
      </c>
    </row>
    <row r="20" spans="1:8" x14ac:dyDescent="0.2">
      <c r="A20" s="347"/>
      <c r="B20" s="347"/>
      <c r="C20" s="347"/>
      <c r="D20" s="347"/>
      <c r="E20" s="347"/>
      <c r="F20" s="347"/>
      <c r="G20" s="347"/>
    </row>
    <row r="21" spans="1:8" x14ac:dyDescent="0.2">
      <c r="A21" s="347" t="s">
        <v>798</v>
      </c>
      <c r="B21" s="350">
        <v>631</v>
      </c>
      <c r="C21" s="350">
        <v>719</v>
      </c>
      <c r="D21" s="350">
        <v>768.8</v>
      </c>
      <c r="E21" s="350">
        <v>870.4</v>
      </c>
      <c r="F21" s="350">
        <v>693.1</v>
      </c>
      <c r="G21" s="350" t="s">
        <v>622</v>
      </c>
      <c r="H21" s="342" t="s">
        <v>760</v>
      </c>
    </row>
    <row r="22" spans="1:8" x14ac:dyDescent="0.2">
      <c r="A22" s="347" t="s">
        <v>797</v>
      </c>
      <c r="B22" s="350" t="s">
        <v>622</v>
      </c>
      <c r="C22" s="350" t="s">
        <v>622</v>
      </c>
      <c r="D22" s="350" t="s">
        <v>622</v>
      </c>
      <c r="E22" s="350">
        <v>68</v>
      </c>
      <c r="F22" s="350">
        <v>955.4</v>
      </c>
      <c r="G22" s="350" t="s">
        <v>622</v>
      </c>
      <c r="H22" s="342" t="s">
        <v>760</v>
      </c>
    </row>
    <row r="23" spans="1:8" x14ac:dyDescent="0.2">
      <c r="A23" s="349" t="s">
        <v>796</v>
      </c>
      <c r="B23" s="357">
        <v>631</v>
      </c>
      <c r="C23" s="357">
        <v>719</v>
      </c>
      <c r="D23" s="357">
        <v>768.8</v>
      </c>
      <c r="E23" s="357">
        <v>938.4</v>
      </c>
      <c r="F23" s="357">
        <v>1648.5</v>
      </c>
      <c r="G23" s="357" t="s">
        <v>622</v>
      </c>
      <c r="H23" s="342" t="s">
        <v>760</v>
      </c>
    </row>
    <row r="24" spans="1:8" x14ac:dyDescent="0.2">
      <c r="A24" s="347"/>
      <c r="B24" s="347"/>
      <c r="C24" s="347"/>
      <c r="D24" s="347"/>
      <c r="E24" s="347"/>
      <c r="F24" s="347"/>
      <c r="G24" s="347"/>
    </row>
    <row r="25" spans="1:8" x14ac:dyDescent="0.2">
      <c r="A25" s="347" t="s">
        <v>795</v>
      </c>
      <c r="B25" s="350">
        <v>1090.9000000000001</v>
      </c>
      <c r="C25" s="350">
        <v>1306.4000000000001</v>
      </c>
      <c r="D25" s="350">
        <v>1378.5</v>
      </c>
      <c r="E25" s="350">
        <v>1364</v>
      </c>
      <c r="F25" s="350">
        <v>1400.5</v>
      </c>
      <c r="G25" s="350" t="s">
        <v>622</v>
      </c>
      <c r="H25" s="342" t="s">
        <v>760</v>
      </c>
    </row>
    <row r="26" spans="1:8" x14ac:dyDescent="0.2">
      <c r="A26" s="347" t="s">
        <v>794</v>
      </c>
      <c r="B26" s="350">
        <v>256.89999999999998</v>
      </c>
      <c r="C26" s="350">
        <v>283.39999999999998</v>
      </c>
      <c r="D26" s="350">
        <v>319.7</v>
      </c>
      <c r="E26" s="350">
        <v>276.7</v>
      </c>
      <c r="F26" s="350">
        <v>482.9</v>
      </c>
      <c r="G26" s="350" t="s">
        <v>622</v>
      </c>
      <c r="H26" s="342" t="s">
        <v>760</v>
      </c>
    </row>
    <row r="27" spans="1:8" x14ac:dyDescent="0.2">
      <c r="A27" s="347" t="s">
        <v>793</v>
      </c>
      <c r="B27" s="350">
        <v>317.39999999999998</v>
      </c>
      <c r="C27" s="350" t="s">
        <v>622</v>
      </c>
      <c r="D27" s="350" t="s">
        <v>622</v>
      </c>
      <c r="E27" s="350" t="s">
        <v>622</v>
      </c>
      <c r="F27" s="350" t="s">
        <v>622</v>
      </c>
      <c r="G27" s="350" t="s">
        <v>622</v>
      </c>
    </row>
    <row r="28" spans="1:8" x14ac:dyDescent="0.2">
      <c r="A28" s="347" t="s">
        <v>792</v>
      </c>
      <c r="B28" s="350">
        <v>28.7</v>
      </c>
      <c r="C28" s="350">
        <v>50.8</v>
      </c>
      <c r="D28" s="350">
        <v>27.7</v>
      </c>
      <c r="E28" s="350">
        <v>13.4</v>
      </c>
      <c r="F28" s="350">
        <v>24.5</v>
      </c>
      <c r="G28" s="350" t="s">
        <v>622</v>
      </c>
      <c r="H28" s="342" t="s">
        <v>760</v>
      </c>
    </row>
    <row r="29" spans="1:8" x14ac:dyDescent="0.2">
      <c r="A29" s="349" t="s">
        <v>791</v>
      </c>
      <c r="B29" s="357">
        <v>4168.7</v>
      </c>
      <c r="C29" s="357">
        <v>3971</v>
      </c>
      <c r="D29" s="372">
        <f>D19+D23+D25+D28+D26</f>
        <v>4757.8999999999996</v>
      </c>
      <c r="E29" s="357">
        <v>5283.4</v>
      </c>
      <c r="F29" s="357">
        <v>12494.2</v>
      </c>
      <c r="G29" s="357" t="s">
        <v>622</v>
      </c>
      <c r="H29" s="342" t="s">
        <v>760</v>
      </c>
    </row>
    <row r="30" spans="1:8" x14ac:dyDescent="0.2">
      <c r="A30" s="347"/>
      <c r="B30" s="347"/>
      <c r="C30" s="347"/>
      <c r="D30" s="347"/>
      <c r="E30" s="347"/>
      <c r="F30" s="347"/>
      <c r="G30" s="347"/>
    </row>
    <row r="31" spans="1:8" x14ac:dyDescent="0.2">
      <c r="A31" s="347" t="s">
        <v>790</v>
      </c>
      <c r="B31" s="350">
        <v>8581.1</v>
      </c>
      <c r="C31" s="350">
        <v>9641.7999999999993</v>
      </c>
      <c r="D31" s="350">
        <v>10573.3</v>
      </c>
      <c r="E31" s="350">
        <v>11584</v>
      </c>
      <c r="F31" s="350">
        <v>13197.1</v>
      </c>
      <c r="G31" s="350" t="s">
        <v>622</v>
      </c>
      <c r="H31" s="342" t="s">
        <v>760</v>
      </c>
    </row>
    <row r="32" spans="1:8" x14ac:dyDescent="0.2">
      <c r="A32" s="347" t="s">
        <v>789</v>
      </c>
      <c r="B32" s="350">
        <v>-5062.1000000000004</v>
      </c>
      <c r="C32" s="350">
        <v>-5553.5</v>
      </c>
      <c r="D32" s="350">
        <v>-6039.5</v>
      </c>
      <c r="E32" s="350">
        <v>-6664.5</v>
      </c>
      <c r="F32" s="350">
        <v>-7268</v>
      </c>
      <c r="G32" s="350" t="s">
        <v>622</v>
      </c>
    </row>
    <row r="33" spans="1:8" x14ac:dyDescent="0.2">
      <c r="A33" s="349" t="s">
        <v>788</v>
      </c>
      <c r="B33" s="357">
        <v>3519</v>
      </c>
      <c r="C33" s="357">
        <v>4088.3</v>
      </c>
      <c r="D33" s="357">
        <v>4533.8</v>
      </c>
      <c r="E33" s="357">
        <v>4919.5</v>
      </c>
      <c r="F33" s="357">
        <v>5929.1</v>
      </c>
      <c r="G33" s="357" t="s">
        <v>622</v>
      </c>
    </row>
    <row r="34" spans="1:8" x14ac:dyDescent="0.2">
      <c r="A34" s="347"/>
      <c r="B34" s="347"/>
      <c r="C34" s="347"/>
      <c r="D34" s="347"/>
      <c r="E34" s="347"/>
      <c r="F34" s="347"/>
      <c r="G34" s="347"/>
    </row>
    <row r="35" spans="1:8" x14ac:dyDescent="0.2">
      <c r="A35" s="347" t="s">
        <v>787</v>
      </c>
      <c r="B35" s="350">
        <v>833.3</v>
      </c>
      <c r="C35" s="350">
        <v>664.5</v>
      </c>
      <c r="D35" s="350">
        <v>1496.2</v>
      </c>
      <c r="E35" s="350">
        <v>1023.9</v>
      </c>
      <c r="F35" s="350">
        <v>602.4</v>
      </c>
      <c r="G35" s="350" t="s">
        <v>622</v>
      </c>
      <c r="H35" s="342" t="s">
        <v>760</v>
      </c>
    </row>
    <row r="36" spans="1:8" x14ac:dyDescent="0.2">
      <c r="A36" s="347" t="s">
        <v>786</v>
      </c>
      <c r="B36" s="350">
        <v>856.2</v>
      </c>
      <c r="C36" s="350">
        <v>1575.4</v>
      </c>
      <c r="D36" s="350">
        <v>1719.6</v>
      </c>
      <c r="E36" s="350">
        <v>1539.2</v>
      </c>
      <c r="F36" s="350">
        <v>3541.6</v>
      </c>
      <c r="G36" s="350" t="s">
        <v>622</v>
      </c>
      <c r="H36" s="342" t="s">
        <v>760</v>
      </c>
    </row>
    <row r="37" spans="1:8" x14ac:dyDescent="0.2">
      <c r="A37" s="347" t="s">
        <v>785</v>
      </c>
      <c r="B37" s="350">
        <v>273.5</v>
      </c>
      <c r="C37" s="350">
        <v>520.4</v>
      </c>
      <c r="D37" s="350">
        <v>516.29999999999995</v>
      </c>
      <c r="E37" s="350">
        <v>441.4</v>
      </c>
      <c r="F37" s="350">
        <v>1042.2</v>
      </c>
      <c r="G37" s="350" t="s">
        <v>622</v>
      </c>
      <c r="H37" s="342" t="s">
        <v>760</v>
      </c>
    </row>
    <row r="38" spans="1:8" x14ac:dyDescent="0.2">
      <c r="A38" s="347" t="s">
        <v>784</v>
      </c>
      <c r="B38" s="350">
        <v>903.3</v>
      </c>
      <c r="C38" s="350">
        <v>1180.8</v>
      </c>
      <c r="D38" s="350">
        <v>885.4</v>
      </c>
      <c r="E38" s="350">
        <v>795.4</v>
      </c>
      <c r="F38" s="350">
        <v>134.69999999999999</v>
      </c>
      <c r="G38" s="350" t="s">
        <v>622</v>
      </c>
      <c r="H38" s="342" t="s">
        <v>760</v>
      </c>
    </row>
    <row r="39" spans="1:8" x14ac:dyDescent="0.2">
      <c r="A39" s="347" t="s">
        <v>783</v>
      </c>
      <c r="B39" s="350">
        <v>198.9</v>
      </c>
      <c r="C39" s="350">
        <v>415.9</v>
      </c>
      <c r="D39" s="350">
        <v>403.3</v>
      </c>
      <c r="E39" s="350">
        <v>362.8</v>
      </c>
      <c r="F39" s="350">
        <v>412.2</v>
      </c>
      <c r="G39" s="350" t="s">
        <v>622</v>
      </c>
      <c r="H39" s="342" t="s">
        <v>760</v>
      </c>
    </row>
    <row r="40" spans="1:8" x14ac:dyDescent="0.2">
      <c r="A40" s="349" t="s">
        <v>782</v>
      </c>
      <c r="B40" s="356">
        <v>10752.9</v>
      </c>
      <c r="C40" s="356">
        <v>12416.3</v>
      </c>
      <c r="D40" s="356">
        <v>14312.5</v>
      </c>
      <c r="E40" s="356">
        <v>14365.6</v>
      </c>
      <c r="F40" s="356">
        <v>24156.400000000001</v>
      </c>
      <c r="G40" s="356" t="s">
        <v>622</v>
      </c>
    </row>
    <row r="41" spans="1:8" x14ac:dyDescent="0.2">
      <c r="A41" s="347"/>
      <c r="B41" s="347"/>
      <c r="C41" s="347"/>
      <c r="D41" s="347"/>
      <c r="E41" s="347"/>
      <c r="F41" s="347"/>
      <c r="G41" s="347"/>
    </row>
    <row r="42" spans="1:8" x14ac:dyDescent="0.2">
      <c r="A42" s="349" t="s">
        <v>781</v>
      </c>
      <c r="B42" s="347"/>
      <c r="C42" s="347"/>
      <c r="D42" s="347"/>
      <c r="E42" s="347"/>
      <c r="F42" s="347"/>
      <c r="G42" s="347"/>
    </row>
    <row r="43" spans="1:8" x14ac:dyDescent="0.2">
      <c r="A43" s="347" t="s">
        <v>780</v>
      </c>
      <c r="B43" s="350">
        <v>533.70000000000005</v>
      </c>
      <c r="C43" s="350">
        <v>684.2</v>
      </c>
      <c r="D43" s="350">
        <v>730.6</v>
      </c>
      <c r="E43" s="350">
        <v>782.5</v>
      </c>
      <c r="F43" s="350">
        <v>1179.3</v>
      </c>
      <c r="G43" s="350" t="s">
        <v>622</v>
      </c>
      <c r="H43" s="342" t="s">
        <v>760</v>
      </c>
    </row>
    <row r="44" spans="1:8" x14ac:dyDescent="0.2">
      <c r="A44" s="347" t="s">
        <v>779</v>
      </c>
      <c r="B44" s="350">
        <v>1198.7</v>
      </c>
      <c r="C44" s="350">
        <v>884.3</v>
      </c>
      <c r="D44" s="350">
        <v>894.3</v>
      </c>
      <c r="E44" s="350">
        <v>891</v>
      </c>
      <c r="F44" s="350">
        <v>1034.7</v>
      </c>
      <c r="G44" s="350" t="s">
        <v>622</v>
      </c>
      <c r="H44" s="342" t="s">
        <v>760</v>
      </c>
    </row>
    <row r="45" spans="1:8" x14ac:dyDescent="0.2">
      <c r="A45" s="347" t="s">
        <v>778</v>
      </c>
      <c r="B45" s="350" t="s">
        <v>622</v>
      </c>
      <c r="C45" s="350" t="s">
        <v>622</v>
      </c>
      <c r="D45" s="350">
        <v>399.9</v>
      </c>
      <c r="E45" s="350" t="s">
        <v>622</v>
      </c>
      <c r="F45" s="350">
        <v>349.9</v>
      </c>
      <c r="G45" s="350" t="s">
        <v>622</v>
      </c>
      <c r="H45" s="342" t="s">
        <v>760</v>
      </c>
    </row>
    <row r="46" spans="1:8" x14ac:dyDescent="0.2">
      <c r="A46" s="347" t="s">
        <v>777</v>
      </c>
      <c r="B46" s="350">
        <v>272</v>
      </c>
      <c r="C46" s="350">
        <v>259</v>
      </c>
      <c r="D46" s="350">
        <v>368.4</v>
      </c>
      <c r="E46" s="350">
        <v>226.6</v>
      </c>
      <c r="F46" s="350">
        <v>286.60000000000002</v>
      </c>
      <c r="G46" s="350" t="s">
        <v>622</v>
      </c>
      <c r="H46" s="342" t="s">
        <v>760</v>
      </c>
    </row>
    <row r="47" spans="1:8" x14ac:dyDescent="0.2">
      <c r="A47" s="347" t="s">
        <v>776</v>
      </c>
      <c r="B47" s="350">
        <v>794.5</v>
      </c>
      <c r="C47" s="350">
        <v>983.8</v>
      </c>
      <c r="D47" s="350">
        <v>1171.2</v>
      </c>
      <c r="E47" s="350">
        <v>1288.5</v>
      </c>
      <c r="F47" s="350">
        <v>1642.9</v>
      </c>
      <c r="G47" s="350" t="s">
        <v>622</v>
      </c>
      <c r="H47" s="342" t="s">
        <v>760</v>
      </c>
    </row>
    <row r="48" spans="1:8" x14ac:dyDescent="0.2">
      <c r="A48" s="347" t="s">
        <v>775</v>
      </c>
      <c r="B48" s="350">
        <v>239.8</v>
      </c>
      <c r="C48" s="350">
        <v>836.8</v>
      </c>
      <c r="D48" s="350">
        <v>982.4</v>
      </c>
      <c r="E48" s="350">
        <v>1032.0999999999999</v>
      </c>
      <c r="F48" s="350">
        <v>1190.8</v>
      </c>
      <c r="G48" s="350" t="s">
        <v>622</v>
      </c>
      <c r="H48" s="342" t="s">
        <v>760</v>
      </c>
    </row>
    <row r="49" spans="1:8" x14ac:dyDescent="0.2">
      <c r="A49" s="349" t="s">
        <v>774</v>
      </c>
      <c r="B49" s="357">
        <v>3038.7</v>
      </c>
      <c r="C49" s="357">
        <v>3648.1</v>
      </c>
      <c r="D49" s="357">
        <v>4546.8</v>
      </c>
      <c r="E49" s="357">
        <v>4220.7</v>
      </c>
      <c r="F49" s="357">
        <v>5684.2</v>
      </c>
      <c r="G49" s="357" t="s">
        <v>622</v>
      </c>
    </row>
    <row r="50" spans="1:8" x14ac:dyDescent="0.2">
      <c r="A50" s="347"/>
      <c r="B50" s="347"/>
      <c r="C50" s="347"/>
      <c r="D50" s="347"/>
      <c r="E50" s="347"/>
      <c r="F50" s="347"/>
      <c r="G50" s="347"/>
    </row>
    <row r="51" spans="1:8" x14ac:dyDescent="0.2">
      <c r="A51" s="347" t="s">
        <v>773</v>
      </c>
      <c r="B51" s="350">
        <v>2048.3000000000002</v>
      </c>
      <c r="C51" s="350">
        <v>2347.5</v>
      </c>
      <c r="D51" s="350">
        <v>3185.3</v>
      </c>
      <c r="E51" s="350">
        <v>3932.6</v>
      </c>
      <c r="F51" s="350">
        <v>9090.2000000000007</v>
      </c>
      <c r="G51" s="350" t="s">
        <v>622</v>
      </c>
    </row>
    <row r="52" spans="1:8" x14ac:dyDescent="0.2">
      <c r="A52" s="347" t="s">
        <v>772</v>
      </c>
      <c r="B52" s="350" t="s">
        <v>622</v>
      </c>
      <c r="C52" s="350" t="s">
        <v>622</v>
      </c>
      <c r="D52" s="350" t="s">
        <v>622</v>
      </c>
      <c r="E52" s="350" t="s">
        <v>622</v>
      </c>
      <c r="F52" s="350">
        <v>53.6</v>
      </c>
      <c r="G52" s="350" t="s">
        <v>622</v>
      </c>
    </row>
    <row r="53" spans="1:8" x14ac:dyDescent="0.2">
      <c r="A53" s="347" t="s">
        <v>771</v>
      </c>
      <c r="B53" s="350" t="s">
        <v>622</v>
      </c>
      <c r="C53" s="350" t="s">
        <v>622</v>
      </c>
      <c r="D53" s="350" t="s">
        <v>622</v>
      </c>
      <c r="E53" s="350">
        <v>4.4000000000000004</v>
      </c>
      <c r="F53" s="350">
        <v>6775.7</v>
      </c>
      <c r="G53" s="350" t="s">
        <v>622</v>
      </c>
    </row>
    <row r="54" spans="1:8" x14ac:dyDescent="0.2">
      <c r="A54" s="347" t="s">
        <v>770</v>
      </c>
      <c r="B54" s="350">
        <v>6.9</v>
      </c>
      <c r="C54" s="350">
        <v>43.4</v>
      </c>
      <c r="D54" s="350">
        <v>14.7</v>
      </c>
      <c r="E54" s="350">
        <v>6.3</v>
      </c>
      <c r="F54" s="350">
        <v>270.2</v>
      </c>
      <c r="G54" s="350" t="s">
        <v>622</v>
      </c>
    </row>
    <row r="55" spans="1:8" x14ac:dyDescent="0.2">
      <c r="A55" s="347" t="s">
        <v>769</v>
      </c>
      <c r="B55" s="350">
        <v>385.3</v>
      </c>
      <c r="C55" s="350">
        <v>557.5</v>
      </c>
      <c r="D55" s="350">
        <v>675</v>
      </c>
      <c r="E55" s="350">
        <v>744.6</v>
      </c>
      <c r="F55" s="350">
        <v>1106.7</v>
      </c>
      <c r="G55" s="350" t="s">
        <v>622</v>
      </c>
    </row>
    <row r="56" spans="1:8" x14ac:dyDescent="0.2">
      <c r="A56" s="349" t="s">
        <v>768</v>
      </c>
      <c r="B56" s="357">
        <v>5479.2</v>
      </c>
      <c r="C56" s="357">
        <v>6596.5</v>
      </c>
      <c r="D56" s="357">
        <v>8421.7999999999993</v>
      </c>
      <c r="E56" s="357">
        <v>8908.6</v>
      </c>
      <c r="F56" s="357">
        <v>22980.6</v>
      </c>
      <c r="G56" s="357" t="s">
        <v>622</v>
      </c>
    </row>
    <row r="57" spans="1:8" x14ac:dyDescent="0.2">
      <c r="A57" s="347"/>
      <c r="B57" s="347"/>
      <c r="C57" s="347"/>
      <c r="D57" s="347"/>
      <c r="E57" s="347"/>
      <c r="F57" s="347"/>
      <c r="G57" s="347"/>
    </row>
    <row r="58" spans="1:8" x14ac:dyDescent="0.2">
      <c r="A58" s="347" t="s">
        <v>767</v>
      </c>
      <c r="B58" s="350">
        <v>0.7</v>
      </c>
      <c r="C58" s="350">
        <v>1.5</v>
      </c>
      <c r="D58" s="350">
        <v>1.5</v>
      </c>
      <c r="E58" s="350">
        <v>1.4</v>
      </c>
      <c r="F58" s="350">
        <v>1.3</v>
      </c>
      <c r="G58" s="350" t="s">
        <v>622</v>
      </c>
      <c r="H58" s="342" t="s">
        <v>760</v>
      </c>
    </row>
    <row r="59" spans="1:8" x14ac:dyDescent="0.2">
      <c r="A59" s="347" t="s">
        <v>766</v>
      </c>
      <c r="B59" s="350">
        <v>39.4</v>
      </c>
      <c r="C59" s="350">
        <v>41.1</v>
      </c>
      <c r="D59" s="350">
        <v>41.1</v>
      </c>
      <c r="E59" s="350">
        <v>41.1</v>
      </c>
      <c r="F59" s="350">
        <v>41.1</v>
      </c>
      <c r="G59" s="350" t="s">
        <v>622</v>
      </c>
      <c r="H59" s="342" t="s">
        <v>760</v>
      </c>
    </row>
    <row r="60" spans="1:8" x14ac:dyDescent="0.2">
      <c r="A60" s="347" t="s">
        <v>765</v>
      </c>
      <c r="B60" s="350">
        <v>5206.6000000000004</v>
      </c>
      <c r="C60" s="350">
        <v>5974.8</v>
      </c>
      <c r="D60" s="350">
        <v>5949.8</v>
      </c>
      <c r="E60" s="350">
        <v>5563.2</v>
      </c>
      <c r="F60" s="350">
        <v>1457.4</v>
      </c>
      <c r="G60" s="350" t="s">
        <v>622</v>
      </c>
      <c r="H60" s="342" t="s">
        <v>760</v>
      </c>
    </row>
    <row r="61" spans="1:8" x14ac:dyDescent="0.2">
      <c r="A61" s="347" t="s">
        <v>764</v>
      </c>
      <c r="B61" s="350" t="s">
        <v>622</v>
      </c>
      <c r="C61" s="350" t="s">
        <v>622</v>
      </c>
      <c r="D61" s="350" t="s">
        <v>622</v>
      </c>
      <c r="E61" s="350" t="s">
        <v>622</v>
      </c>
      <c r="F61" s="350" t="s">
        <v>622</v>
      </c>
      <c r="G61" s="350" t="s">
        <v>622</v>
      </c>
    </row>
    <row r="62" spans="1:8" x14ac:dyDescent="0.2">
      <c r="A62" s="347" t="s">
        <v>763</v>
      </c>
      <c r="B62" s="350">
        <v>25.3</v>
      </c>
      <c r="C62" s="350">
        <v>-199.4</v>
      </c>
      <c r="D62" s="350">
        <v>-108.4</v>
      </c>
      <c r="E62" s="350">
        <v>-155.6</v>
      </c>
      <c r="F62" s="350">
        <v>-330.3</v>
      </c>
      <c r="G62" s="350" t="s">
        <v>622</v>
      </c>
    </row>
    <row r="63" spans="1:8" x14ac:dyDescent="0.2">
      <c r="A63" s="349" t="s">
        <v>762</v>
      </c>
      <c r="B63" s="357">
        <v>5272</v>
      </c>
      <c r="C63" s="357">
        <v>5818</v>
      </c>
      <c r="D63" s="357">
        <v>5884</v>
      </c>
      <c r="E63" s="357">
        <v>5450.1</v>
      </c>
      <c r="F63" s="357">
        <v>1169.5</v>
      </c>
      <c r="G63" s="357">
        <v>1169.5</v>
      </c>
    </row>
    <row r="64" spans="1:8" x14ac:dyDescent="0.2">
      <c r="A64" s="347"/>
      <c r="B64" s="347"/>
      <c r="C64" s="347"/>
      <c r="D64" s="347"/>
      <c r="E64" s="347"/>
      <c r="F64" s="347"/>
      <c r="G64" s="347"/>
    </row>
    <row r="65" spans="1:8" x14ac:dyDescent="0.2">
      <c r="A65" s="347" t="s">
        <v>761</v>
      </c>
      <c r="B65" s="350">
        <v>1.7</v>
      </c>
      <c r="C65" s="350">
        <v>1.8</v>
      </c>
      <c r="D65" s="350">
        <v>6.7</v>
      </c>
      <c r="E65" s="350">
        <v>6.9</v>
      </c>
      <c r="F65" s="350">
        <v>6.3</v>
      </c>
      <c r="G65" s="350" t="s">
        <v>622</v>
      </c>
      <c r="H65" s="342" t="s">
        <v>760</v>
      </c>
    </row>
    <row r="66" spans="1:8" x14ac:dyDescent="0.2">
      <c r="A66" s="347"/>
      <c r="B66" s="347"/>
      <c r="C66" s="347"/>
      <c r="D66" s="347"/>
      <c r="E66" s="347"/>
      <c r="F66" s="347"/>
      <c r="G66" s="347"/>
    </row>
    <row r="67" spans="1:8" x14ac:dyDescent="0.2">
      <c r="A67" s="349" t="s">
        <v>759</v>
      </c>
      <c r="B67" s="371">
        <v>5273.7</v>
      </c>
      <c r="C67" s="371">
        <v>5819.8</v>
      </c>
      <c r="D67" s="371">
        <v>5890.7</v>
      </c>
      <c r="E67" s="371">
        <v>5457</v>
      </c>
      <c r="F67" s="371">
        <v>1175.8</v>
      </c>
      <c r="G67" s="371">
        <v>1175.8</v>
      </c>
    </row>
    <row r="68" spans="1:8" x14ac:dyDescent="0.2">
      <c r="A68" s="347"/>
      <c r="B68" s="347"/>
      <c r="C68" s="347"/>
      <c r="D68" s="347"/>
      <c r="E68" s="347"/>
      <c r="F68" s="347"/>
      <c r="G68" s="347"/>
    </row>
    <row r="69" spans="1:8" x14ac:dyDescent="0.2">
      <c r="A69" s="349" t="s">
        <v>758</v>
      </c>
      <c r="B69" s="370">
        <v>10752.9</v>
      </c>
      <c r="C69" s="370">
        <v>12416.3</v>
      </c>
      <c r="D69" s="370">
        <v>14312.5</v>
      </c>
      <c r="E69" s="370">
        <v>14365.6</v>
      </c>
      <c r="F69" s="370">
        <v>24156.400000000001</v>
      </c>
      <c r="G69" s="370" t="s">
        <v>622</v>
      </c>
    </row>
    <row r="70" spans="1:8" x14ac:dyDescent="0.2">
      <c r="A70" s="347"/>
      <c r="B70" s="347"/>
      <c r="C70" s="347"/>
      <c r="D70" s="347"/>
      <c r="E70" s="347"/>
      <c r="F70" s="347"/>
      <c r="G70" s="347"/>
    </row>
    <row r="71" spans="1:8" x14ac:dyDescent="0.2">
      <c r="A71" s="349" t="s">
        <v>656</v>
      </c>
      <c r="B71" s="347"/>
      <c r="C71" s="347"/>
      <c r="D71" s="347"/>
      <c r="E71" s="347"/>
      <c r="F71" s="347"/>
      <c r="G71" s="347"/>
    </row>
    <row r="72" spans="1:8" x14ac:dyDescent="0.2">
      <c r="A72" s="347" t="s">
        <v>757</v>
      </c>
      <c r="B72" s="350">
        <v>1496.6</v>
      </c>
      <c r="C72" s="350">
        <v>1484.8</v>
      </c>
      <c r="D72" s="350">
        <v>1455.4</v>
      </c>
      <c r="E72" s="350">
        <v>1431.6</v>
      </c>
      <c r="F72" s="350">
        <v>1240.5999999999999</v>
      </c>
      <c r="G72" s="350">
        <v>1240.5999999999999</v>
      </c>
    </row>
    <row r="73" spans="1:8" x14ac:dyDescent="0.2">
      <c r="A73" s="347" t="s">
        <v>756</v>
      </c>
      <c r="B73" s="350">
        <v>1499.1</v>
      </c>
      <c r="C73" s="350">
        <v>1485.1</v>
      </c>
      <c r="D73" s="350">
        <v>1460.5</v>
      </c>
      <c r="E73" s="350">
        <v>1431.6</v>
      </c>
      <c r="F73" s="350">
        <v>1309.0999999999999</v>
      </c>
      <c r="G73" s="350">
        <v>1309.0999999999999</v>
      </c>
    </row>
    <row r="74" spans="1:8" x14ac:dyDescent="0.2">
      <c r="A74" s="347" t="s">
        <v>755</v>
      </c>
      <c r="B74" s="354">
        <v>3.52</v>
      </c>
      <c r="C74" s="354">
        <v>3.92</v>
      </c>
      <c r="D74" s="354">
        <v>4.03</v>
      </c>
      <c r="E74" s="354">
        <v>3.81</v>
      </c>
      <c r="F74" s="354">
        <v>0.89</v>
      </c>
      <c r="G74" s="354">
        <v>0.89</v>
      </c>
    </row>
    <row r="75" spans="1:8" x14ac:dyDescent="0.2">
      <c r="A75" s="347" t="s">
        <v>754</v>
      </c>
      <c r="B75" s="350">
        <v>4142.3</v>
      </c>
      <c r="C75" s="350">
        <v>3722.2</v>
      </c>
      <c r="D75" s="350">
        <v>3648.1</v>
      </c>
      <c r="E75" s="350">
        <v>3469.5</v>
      </c>
      <c r="F75" s="350">
        <v>-3414.3</v>
      </c>
      <c r="G75" s="350">
        <v>-3414.3</v>
      </c>
    </row>
    <row r="76" spans="1:8" x14ac:dyDescent="0.2">
      <c r="A76" s="347" t="s">
        <v>753</v>
      </c>
      <c r="B76" s="354">
        <v>2.76</v>
      </c>
      <c r="C76" s="354">
        <v>2.5099999999999998</v>
      </c>
      <c r="D76" s="354">
        <v>2.5</v>
      </c>
      <c r="E76" s="354">
        <v>2.42</v>
      </c>
      <c r="F76" s="354">
        <v>-2.61</v>
      </c>
      <c r="G76" s="354">
        <v>-2.61</v>
      </c>
    </row>
    <row r="77" spans="1:8" x14ac:dyDescent="0.2">
      <c r="A77" s="347" t="s">
        <v>752</v>
      </c>
      <c r="B77" s="350">
        <v>2048.3000000000002</v>
      </c>
      <c r="C77" s="350">
        <v>2347.5</v>
      </c>
      <c r="D77" s="350">
        <v>3585.2</v>
      </c>
      <c r="E77" s="350">
        <v>3932.6</v>
      </c>
      <c r="F77" s="350">
        <v>9493.7000000000007</v>
      </c>
      <c r="G77" s="350">
        <v>9493.7000000000007</v>
      </c>
    </row>
    <row r="78" spans="1:8" x14ac:dyDescent="0.2">
      <c r="A78" s="347" t="s">
        <v>751</v>
      </c>
      <c r="B78" s="350">
        <v>204.5</v>
      </c>
      <c r="C78" s="350">
        <v>736.1</v>
      </c>
      <c r="D78" s="350">
        <v>1322</v>
      </c>
      <c r="E78" s="350">
        <v>1241.7</v>
      </c>
      <c r="F78" s="350">
        <v>555.9</v>
      </c>
      <c r="G78" s="350">
        <v>555.9</v>
      </c>
    </row>
    <row r="79" spans="1:8" x14ac:dyDescent="0.2">
      <c r="A79" s="347" t="s">
        <v>750</v>
      </c>
      <c r="B79" s="350">
        <v>7687.2</v>
      </c>
      <c r="C79" s="350">
        <v>9007.2000000000007</v>
      </c>
      <c r="D79" s="350">
        <v>9668.7999999999993</v>
      </c>
      <c r="E79" s="350">
        <v>10509.6</v>
      </c>
      <c r="F79" s="350">
        <v>12903.2</v>
      </c>
      <c r="G79" s="350" t="s">
        <v>625</v>
      </c>
    </row>
    <row r="80" spans="1:8" x14ac:dyDescent="0.2">
      <c r="A80" s="347" t="s">
        <v>749</v>
      </c>
      <c r="B80" s="350">
        <v>1.7</v>
      </c>
      <c r="C80" s="350">
        <v>1.8</v>
      </c>
      <c r="D80" s="350">
        <v>6.7</v>
      </c>
      <c r="E80" s="350">
        <v>6.9</v>
      </c>
      <c r="F80" s="350">
        <v>6.3</v>
      </c>
      <c r="G80" s="350">
        <v>6.3</v>
      </c>
    </row>
    <row r="81" spans="1:7" x14ac:dyDescent="0.2">
      <c r="A81" s="347" t="s">
        <v>748</v>
      </c>
      <c r="B81" s="350">
        <v>469.3</v>
      </c>
      <c r="C81" s="350">
        <v>306.39999999999998</v>
      </c>
      <c r="D81" s="350">
        <v>305.7</v>
      </c>
      <c r="E81" s="350">
        <v>432.8</v>
      </c>
      <c r="F81" s="350">
        <v>296</v>
      </c>
      <c r="G81" s="350" t="s">
        <v>625</v>
      </c>
    </row>
    <row r="82" spans="1:7" x14ac:dyDescent="0.2">
      <c r="A82" s="347" t="s">
        <v>747</v>
      </c>
      <c r="B82" s="351" t="s">
        <v>746</v>
      </c>
      <c r="C82" s="351" t="s">
        <v>746</v>
      </c>
      <c r="D82" s="351" t="s">
        <v>746</v>
      </c>
      <c r="E82" s="351" t="s">
        <v>746</v>
      </c>
      <c r="F82" s="351" t="s">
        <v>746</v>
      </c>
      <c r="G82" s="351" t="s">
        <v>625</v>
      </c>
    </row>
    <row r="83" spans="1:7" x14ac:dyDescent="0.2">
      <c r="A83" s="347" t="s">
        <v>745</v>
      </c>
      <c r="B83" s="350">
        <v>154</v>
      </c>
      <c r="C83" s="350">
        <v>179</v>
      </c>
      <c r="D83" s="350">
        <v>207.9</v>
      </c>
      <c r="E83" s="350">
        <v>220.8</v>
      </c>
      <c r="F83" s="350">
        <v>257.60000000000002</v>
      </c>
      <c r="G83" s="350" t="s">
        <v>625</v>
      </c>
    </row>
    <row r="84" spans="1:7" x14ac:dyDescent="0.2">
      <c r="A84" s="347" t="s">
        <v>744</v>
      </c>
      <c r="B84" s="350">
        <v>936.9</v>
      </c>
      <c r="C84" s="350">
        <v>1127.4000000000001</v>
      </c>
      <c r="D84" s="350">
        <v>1170.5999999999999</v>
      </c>
      <c r="E84" s="350">
        <v>1143.2</v>
      </c>
      <c r="F84" s="350">
        <v>1142.9000000000001</v>
      </c>
      <c r="G84" s="350" t="s">
        <v>625</v>
      </c>
    </row>
    <row r="85" spans="1:7" x14ac:dyDescent="0.2">
      <c r="A85" s="347" t="s">
        <v>743</v>
      </c>
      <c r="B85" s="350">
        <v>46.7</v>
      </c>
      <c r="C85" s="350">
        <v>46.6</v>
      </c>
      <c r="D85" s="350">
        <v>46.6</v>
      </c>
      <c r="E85" s="350">
        <v>46.9</v>
      </c>
      <c r="F85" s="350">
        <v>46.8</v>
      </c>
      <c r="G85" s="350" t="s">
        <v>625</v>
      </c>
    </row>
    <row r="86" spans="1:7" x14ac:dyDescent="0.2">
      <c r="A86" s="347" t="s">
        <v>742</v>
      </c>
      <c r="B86" s="350">
        <v>278.10000000000002</v>
      </c>
      <c r="C86" s="350">
        <v>411.5</v>
      </c>
      <c r="D86" s="350">
        <v>458.4</v>
      </c>
      <c r="E86" s="350">
        <v>481.7</v>
      </c>
      <c r="F86" s="350">
        <v>557.29999999999995</v>
      </c>
      <c r="G86" s="350" t="s">
        <v>625</v>
      </c>
    </row>
    <row r="87" spans="1:7" x14ac:dyDescent="0.2">
      <c r="A87" s="347" t="s">
        <v>741</v>
      </c>
      <c r="B87" s="350">
        <v>2982.3</v>
      </c>
      <c r="C87" s="350">
        <v>3531.6</v>
      </c>
      <c r="D87" s="350">
        <v>3904</v>
      </c>
      <c r="E87" s="350">
        <v>4244.6000000000004</v>
      </c>
      <c r="F87" s="350">
        <v>4718.3</v>
      </c>
      <c r="G87" s="350" t="s">
        <v>625</v>
      </c>
    </row>
    <row r="88" spans="1:7" x14ac:dyDescent="0.2">
      <c r="A88" s="347" t="s">
        <v>740</v>
      </c>
      <c r="B88" s="350">
        <v>415.6</v>
      </c>
      <c r="C88" s="350">
        <v>242.5</v>
      </c>
      <c r="D88" s="350">
        <v>271.39999999999998</v>
      </c>
      <c r="E88" s="350">
        <v>409.8</v>
      </c>
      <c r="F88" s="350">
        <v>501.9</v>
      </c>
      <c r="G88" s="350" t="s">
        <v>622</v>
      </c>
    </row>
    <row r="89" spans="1:7" x14ac:dyDescent="0.2">
      <c r="A89" s="347" t="s">
        <v>739</v>
      </c>
      <c r="B89" s="350">
        <v>4858.3999999999996</v>
      </c>
      <c r="C89" s="350">
        <v>5409.6</v>
      </c>
      <c r="D89" s="350">
        <v>5892.9</v>
      </c>
      <c r="E89" s="350">
        <v>6401</v>
      </c>
      <c r="F89" s="350">
        <v>7372.8</v>
      </c>
      <c r="G89" s="350" t="s">
        <v>622</v>
      </c>
    </row>
    <row r="90" spans="1:7" x14ac:dyDescent="0.2">
      <c r="A90" s="347" t="s">
        <v>738</v>
      </c>
      <c r="B90" s="369">
        <v>191000</v>
      </c>
      <c r="C90" s="369">
        <v>238000</v>
      </c>
      <c r="D90" s="369">
        <v>254000</v>
      </c>
      <c r="E90" s="369">
        <v>277000</v>
      </c>
      <c r="F90" s="369">
        <v>291000</v>
      </c>
      <c r="G90" s="369" t="s">
        <v>625</v>
      </c>
    </row>
    <row r="91" spans="1:7" x14ac:dyDescent="0.2">
      <c r="A91" s="347" t="s">
        <v>737</v>
      </c>
      <c r="B91" s="350">
        <v>6.7</v>
      </c>
      <c r="C91" s="350">
        <v>10.8</v>
      </c>
      <c r="D91" s="350">
        <v>9.4</v>
      </c>
      <c r="E91" s="350">
        <v>9.8000000000000007</v>
      </c>
      <c r="F91" s="350">
        <v>8</v>
      </c>
      <c r="G91" s="350" t="s">
        <v>625</v>
      </c>
    </row>
    <row r="92" spans="1:7" x14ac:dyDescent="0.2">
      <c r="A92" s="347" t="s">
        <v>640</v>
      </c>
      <c r="B92" s="352">
        <v>42692</v>
      </c>
      <c r="C92" s="352">
        <v>43056</v>
      </c>
      <c r="D92" s="352">
        <v>43420</v>
      </c>
      <c r="E92" s="352">
        <v>43420</v>
      </c>
      <c r="F92" s="352">
        <v>43420</v>
      </c>
      <c r="G92" s="351" t="s">
        <v>625</v>
      </c>
    </row>
    <row r="93" spans="1:7" x14ac:dyDescent="0.2">
      <c r="A93" s="347" t="s">
        <v>639</v>
      </c>
      <c r="B93" s="351" t="s">
        <v>638</v>
      </c>
      <c r="C93" s="351" t="s">
        <v>736</v>
      </c>
      <c r="D93" s="351" t="s">
        <v>736</v>
      </c>
      <c r="E93" s="351" t="s">
        <v>638</v>
      </c>
      <c r="F93" s="351" t="s">
        <v>636</v>
      </c>
      <c r="G93" s="351" t="s">
        <v>735</v>
      </c>
    </row>
    <row r="94" spans="1:7" x14ac:dyDescent="0.2">
      <c r="A94" s="347" t="s">
        <v>634</v>
      </c>
      <c r="B94" s="351" t="s">
        <v>734</v>
      </c>
      <c r="C94" s="351" t="s">
        <v>734</v>
      </c>
      <c r="D94" s="351" t="s">
        <v>734</v>
      </c>
      <c r="E94" s="351" t="s">
        <v>633</v>
      </c>
      <c r="F94" s="351" t="s">
        <v>633</v>
      </c>
      <c r="G94" s="351" t="s">
        <v>733</v>
      </c>
    </row>
    <row r="95" spans="1:7" x14ac:dyDescent="0.2">
      <c r="A95" s="347"/>
      <c r="B95" s="347"/>
      <c r="C95" s="347"/>
      <c r="D95" s="347"/>
      <c r="E95" s="347"/>
      <c r="F95" s="347"/>
      <c r="G95" s="347"/>
    </row>
    <row r="96" spans="1:7" x14ac:dyDescent="0.2">
      <c r="A96" s="345"/>
      <c r="B96" s="345"/>
      <c r="C96" s="345"/>
      <c r="D96" s="345"/>
      <c r="E96" s="345"/>
      <c r="F96" s="345"/>
      <c r="G96" s="345"/>
    </row>
    <row r="97" spans="1:1" x14ac:dyDescent="0.2">
      <c r="A97" s="344" t="s">
        <v>732</v>
      </c>
    </row>
    <row r="98" spans="1:1" x14ac:dyDescent="0.2">
      <c r="A98" s="343" t="s">
        <v>617</v>
      </c>
    </row>
  </sheetData>
  <pageMargins left="0.2" right="0.2" top="0.5" bottom="0.5" header="0.5" footer="0.5"/>
  <pageSetup fitToWidth="0" fitToHeight="0" orientation="landscape" horizontalDpi="0" verticalDpi="0"/>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7498F-8E56-47DA-BEF8-72CE245A0F29}">
  <sheetPr codeName="Sheet4">
    <outlinePr summaryBelow="0" summaryRight="0"/>
    <pageSetUpPr autoPageBreaks="0"/>
  </sheetPr>
  <dimension ref="A5:IU75"/>
  <sheetViews>
    <sheetView topLeftCell="A40" workbookViewId="0">
      <selection activeCell="B53" sqref="B53"/>
    </sheetView>
  </sheetViews>
  <sheetFormatPr defaultRowHeight="11.25" x14ac:dyDescent="0.2"/>
  <cols>
    <col min="1" max="1" width="40.125" style="342" customWidth="1"/>
    <col min="2" max="7" width="13" style="342" customWidth="1"/>
    <col min="8" max="16384" width="9" style="342"/>
  </cols>
  <sheetData>
    <row r="5" spans="1:255" ht="15.75" x14ac:dyDescent="0.2">
      <c r="A5" s="368" t="s">
        <v>857</v>
      </c>
    </row>
    <row r="7" spans="1:255" x14ac:dyDescent="0.2">
      <c r="A7" s="367" t="s">
        <v>730</v>
      </c>
      <c r="B7" s="365" t="s">
        <v>729</v>
      </c>
      <c r="C7" s="342" t="s">
        <v>728</v>
      </c>
      <c r="D7" s="366" t="s">
        <v>716</v>
      </c>
      <c r="E7" s="365" t="s">
        <v>727</v>
      </c>
      <c r="F7" s="342" t="s">
        <v>726</v>
      </c>
    </row>
    <row r="8" spans="1:255" x14ac:dyDescent="0.2">
      <c r="A8" s="366"/>
      <c r="B8" s="365" t="s">
        <v>725</v>
      </c>
      <c r="C8" s="342" t="s">
        <v>724</v>
      </c>
      <c r="D8" s="366" t="s">
        <v>716</v>
      </c>
      <c r="E8" s="365" t="s">
        <v>723</v>
      </c>
      <c r="F8" s="342" t="s">
        <v>722</v>
      </c>
    </row>
    <row r="9" spans="1:255" x14ac:dyDescent="0.2">
      <c r="A9" s="366"/>
      <c r="B9" s="365" t="s">
        <v>721</v>
      </c>
      <c r="C9" s="342" t="s">
        <v>720</v>
      </c>
      <c r="D9" s="366" t="s">
        <v>716</v>
      </c>
      <c r="E9" s="365" t="s">
        <v>719</v>
      </c>
      <c r="F9" s="342" t="s">
        <v>718</v>
      </c>
    </row>
    <row r="10" spans="1:255" x14ac:dyDescent="0.2">
      <c r="A10" s="366"/>
      <c r="B10" s="365" t="s">
        <v>62</v>
      </c>
      <c r="C10" s="342" t="s">
        <v>717</v>
      </c>
      <c r="D10" s="366" t="s">
        <v>716</v>
      </c>
      <c r="E10" s="365" t="s">
        <v>715</v>
      </c>
      <c r="F10" s="364" t="s">
        <v>714</v>
      </c>
    </row>
    <row r="13" spans="1:255" x14ac:dyDescent="0.2">
      <c r="A13" s="363" t="s">
        <v>856</v>
      </c>
      <c r="B13" s="363"/>
      <c r="C13" s="363"/>
      <c r="D13" s="363"/>
      <c r="E13" s="363"/>
      <c r="F13" s="363"/>
      <c r="G13" s="363"/>
      <c r="H13" s="362"/>
      <c r="I13" s="362"/>
      <c r="J13" s="362"/>
      <c r="K13" s="362"/>
      <c r="L13" s="362"/>
      <c r="M13" s="362"/>
      <c r="N13" s="362"/>
      <c r="O13" s="362"/>
      <c r="P13" s="362"/>
      <c r="Q13" s="362"/>
      <c r="R13" s="362"/>
      <c r="S13" s="362"/>
      <c r="T13" s="362"/>
      <c r="U13" s="362"/>
      <c r="V13" s="362"/>
      <c r="W13" s="362"/>
      <c r="X13" s="362"/>
      <c r="Y13" s="362"/>
      <c r="Z13" s="362"/>
      <c r="AA13" s="362"/>
      <c r="AB13" s="362"/>
      <c r="AC13" s="362"/>
      <c r="AD13" s="362"/>
      <c r="AE13" s="362"/>
      <c r="AF13" s="362"/>
      <c r="AG13" s="362"/>
      <c r="AH13" s="362"/>
      <c r="AI13" s="362"/>
      <c r="AJ13" s="362"/>
      <c r="AK13" s="362"/>
      <c r="AL13" s="362"/>
      <c r="AM13" s="362"/>
      <c r="AN13" s="362"/>
      <c r="AO13" s="362"/>
      <c r="AP13" s="362"/>
      <c r="AQ13" s="362"/>
      <c r="AR13" s="362"/>
      <c r="AS13" s="362"/>
      <c r="AT13" s="362"/>
      <c r="AU13" s="362"/>
      <c r="AV13" s="362"/>
      <c r="AW13" s="362"/>
      <c r="AX13" s="362"/>
      <c r="AY13" s="362"/>
      <c r="AZ13" s="362"/>
      <c r="BA13" s="362"/>
      <c r="BB13" s="362"/>
      <c r="BC13" s="362"/>
      <c r="BD13" s="362"/>
      <c r="BE13" s="362"/>
      <c r="BF13" s="362"/>
      <c r="BG13" s="362"/>
      <c r="BH13" s="362"/>
      <c r="BI13" s="362"/>
      <c r="BJ13" s="362"/>
      <c r="BK13" s="362"/>
      <c r="BL13" s="362"/>
      <c r="BM13" s="362"/>
      <c r="BN13" s="362"/>
      <c r="BO13" s="362"/>
      <c r="BP13" s="362"/>
      <c r="BQ13" s="362"/>
      <c r="BR13" s="362"/>
      <c r="BS13" s="362"/>
      <c r="BT13" s="362"/>
      <c r="BU13" s="362"/>
      <c r="BV13" s="362"/>
      <c r="BW13" s="362"/>
      <c r="BX13" s="362"/>
      <c r="BY13" s="362"/>
      <c r="BZ13" s="362"/>
      <c r="CA13" s="362"/>
      <c r="CB13" s="362"/>
      <c r="CC13" s="362"/>
      <c r="CD13" s="362"/>
      <c r="CE13" s="362"/>
      <c r="CF13" s="362"/>
      <c r="CG13" s="362"/>
      <c r="CH13" s="362"/>
      <c r="CI13" s="362"/>
      <c r="CJ13" s="362"/>
      <c r="CK13" s="362"/>
      <c r="CL13" s="362"/>
      <c r="CM13" s="362"/>
      <c r="CN13" s="362"/>
      <c r="CO13" s="362"/>
      <c r="CP13" s="362"/>
      <c r="CQ13" s="362"/>
      <c r="CR13" s="362"/>
      <c r="CS13" s="362"/>
      <c r="CT13" s="362"/>
      <c r="CU13" s="362"/>
      <c r="CV13" s="362"/>
      <c r="CW13" s="362"/>
      <c r="CX13" s="362"/>
      <c r="CY13" s="362"/>
      <c r="CZ13" s="362"/>
      <c r="DA13" s="362"/>
      <c r="DB13" s="362"/>
      <c r="DC13" s="362"/>
      <c r="DD13" s="362"/>
      <c r="DE13" s="362"/>
      <c r="DF13" s="362"/>
      <c r="DG13" s="362"/>
      <c r="DH13" s="362"/>
      <c r="DI13" s="362"/>
      <c r="DJ13" s="362"/>
      <c r="DK13" s="362"/>
      <c r="DL13" s="362"/>
      <c r="DM13" s="362"/>
      <c r="DN13" s="362"/>
      <c r="DO13" s="362"/>
      <c r="DP13" s="362"/>
      <c r="DQ13" s="362"/>
      <c r="DR13" s="362"/>
      <c r="DS13" s="362"/>
      <c r="DT13" s="362"/>
      <c r="DU13" s="362"/>
      <c r="DV13" s="362"/>
      <c r="DW13" s="362"/>
      <c r="DX13" s="362"/>
      <c r="DY13" s="362"/>
      <c r="DZ13" s="362"/>
      <c r="EA13" s="362"/>
      <c r="EB13" s="362"/>
      <c r="EC13" s="362"/>
      <c r="ED13" s="362"/>
      <c r="EE13" s="362"/>
      <c r="EF13" s="362"/>
      <c r="EG13" s="362"/>
      <c r="EH13" s="362"/>
      <c r="EI13" s="362"/>
      <c r="EJ13" s="362"/>
      <c r="EK13" s="362"/>
      <c r="EL13" s="362"/>
      <c r="EM13" s="362"/>
      <c r="EN13" s="362"/>
      <c r="EO13" s="362"/>
      <c r="EP13" s="362"/>
      <c r="EQ13" s="362"/>
      <c r="ER13" s="362"/>
      <c r="ES13" s="362"/>
      <c r="ET13" s="362"/>
      <c r="EU13" s="362"/>
      <c r="EV13" s="362"/>
      <c r="EW13" s="362"/>
      <c r="EX13" s="362"/>
      <c r="EY13" s="362"/>
      <c r="EZ13" s="362"/>
      <c r="FA13" s="362"/>
      <c r="FB13" s="362"/>
      <c r="FC13" s="362"/>
      <c r="FD13" s="362"/>
      <c r="FE13" s="362"/>
      <c r="FF13" s="362"/>
      <c r="FG13" s="362"/>
      <c r="FH13" s="362"/>
      <c r="FI13" s="362"/>
      <c r="FJ13" s="362"/>
      <c r="FK13" s="362"/>
      <c r="FL13" s="362"/>
      <c r="FM13" s="362"/>
      <c r="FN13" s="362"/>
      <c r="FO13" s="362"/>
      <c r="FP13" s="362"/>
      <c r="FQ13" s="362"/>
      <c r="FR13" s="362"/>
      <c r="FS13" s="362"/>
      <c r="FT13" s="362"/>
      <c r="FU13" s="362"/>
      <c r="FV13" s="362"/>
      <c r="FW13" s="362"/>
      <c r="FX13" s="362"/>
      <c r="FY13" s="362"/>
      <c r="FZ13" s="362"/>
      <c r="GA13" s="362"/>
      <c r="GB13" s="362"/>
      <c r="GC13" s="362"/>
      <c r="GD13" s="362"/>
      <c r="GE13" s="362"/>
      <c r="GF13" s="362"/>
      <c r="GG13" s="362"/>
      <c r="GH13" s="362"/>
      <c r="GI13" s="362"/>
      <c r="GJ13" s="362"/>
      <c r="GK13" s="362"/>
      <c r="GL13" s="362"/>
      <c r="GM13" s="362"/>
      <c r="GN13" s="362"/>
      <c r="GO13" s="362"/>
      <c r="GP13" s="362"/>
      <c r="GQ13" s="362"/>
      <c r="GR13" s="362"/>
      <c r="GS13" s="362"/>
      <c r="GT13" s="362"/>
      <c r="GU13" s="362"/>
      <c r="GV13" s="362"/>
      <c r="GW13" s="362"/>
      <c r="GX13" s="362"/>
      <c r="GY13" s="362"/>
      <c r="GZ13" s="362"/>
      <c r="HA13" s="362"/>
      <c r="HB13" s="362"/>
      <c r="HC13" s="362"/>
      <c r="HD13" s="362"/>
      <c r="HE13" s="362"/>
      <c r="HF13" s="362"/>
      <c r="HG13" s="362"/>
      <c r="HH13" s="362"/>
      <c r="HI13" s="362"/>
      <c r="HJ13" s="362"/>
      <c r="HK13" s="362"/>
      <c r="HL13" s="362"/>
      <c r="HM13" s="362"/>
      <c r="HN13" s="362"/>
      <c r="HO13" s="362"/>
      <c r="HP13" s="362"/>
      <c r="HQ13" s="362"/>
      <c r="HR13" s="362"/>
      <c r="HS13" s="362"/>
      <c r="HT13" s="362"/>
      <c r="HU13" s="362"/>
      <c r="HV13" s="362"/>
      <c r="HW13" s="362"/>
      <c r="HX13" s="362"/>
      <c r="HY13" s="362"/>
      <c r="HZ13" s="362"/>
      <c r="IA13" s="362"/>
      <c r="IB13" s="362"/>
      <c r="IC13" s="362"/>
      <c r="ID13" s="362"/>
      <c r="IE13" s="362"/>
      <c r="IF13" s="362"/>
      <c r="IG13" s="362"/>
      <c r="IH13" s="362"/>
      <c r="II13" s="362"/>
      <c r="IJ13" s="362"/>
      <c r="IK13" s="362"/>
      <c r="IL13" s="362"/>
      <c r="IM13" s="362"/>
      <c r="IN13" s="362"/>
      <c r="IO13" s="362"/>
      <c r="IP13" s="362"/>
      <c r="IQ13" s="362"/>
      <c r="IR13" s="362"/>
      <c r="IS13" s="362"/>
      <c r="IT13" s="362"/>
      <c r="IU13" s="362"/>
    </row>
    <row r="14" spans="1:255" ht="45" x14ac:dyDescent="0.2">
      <c r="A14" s="361" t="s">
        <v>712</v>
      </c>
      <c r="B14" s="360" t="s">
        <v>711</v>
      </c>
      <c r="C14" s="360" t="s">
        <v>855</v>
      </c>
      <c r="D14" s="360" t="s">
        <v>854</v>
      </c>
      <c r="E14" s="360" t="s">
        <v>853</v>
      </c>
      <c r="F14" s="360" t="s">
        <v>707</v>
      </c>
      <c r="G14" s="360" t="s">
        <v>706</v>
      </c>
    </row>
    <row r="15" spans="1:255" x14ac:dyDescent="0.2">
      <c r="A15" s="359" t="s">
        <v>705</v>
      </c>
      <c r="B15" s="358" t="s">
        <v>704</v>
      </c>
      <c r="C15" s="358" t="s">
        <v>704</v>
      </c>
      <c r="D15" s="358" t="s">
        <v>704</v>
      </c>
      <c r="E15" s="358" t="s">
        <v>704</v>
      </c>
      <c r="F15" s="358" t="s">
        <v>704</v>
      </c>
      <c r="G15" s="358" t="s">
        <v>704</v>
      </c>
    </row>
    <row r="16" spans="1:255" x14ac:dyDescent="0.2">
      <c r="A16" s="349" t="s">
        <v>571</v>
      </c>
      <c r="B16" s="347"/>
      <c r="C16" s="347"/>
      <c r="D16" s="347"/>
      <c r="E16" s="347"/>
      <c r="F16" s="347"/>
      <c r="G16" s="347"/>
    </row>
    <row r="17" spans="1:8" x14ac:dyDescent="0.2">
      <c r="A17" s="349" t="s">
        <v>852</v>
      </c>
      <c r="B17" s="348">
        <v>2068.1</v>
      </c>
      <c r="C17" s="348">
        <v>2757.4</v>
      </c>
      <c r="D17" s="348">
        <v>2817.7</v>
      </c>
      <c r="E17" s="348">
        <v>2884.7</v>
      </c>
      <c r="F17" s="348">
        <v>4518.3</v>
      </c>
      <c r="G17" s="348" t="s">
        <v>622</v>
      </c>
      <c r="H17" s="342" t="s">
        <v>760</v>
      </c>
    </row>
    <row r="18" spans="1:8" x14ac:dyDescent="0.2">
      <c r="A18" s="347" t="s">
        <v>696</v>
      </c>
      <c r="B18" s="350">
        <v>739.7</v>
      </c>
      <c r="C18" s="350">
        <v>883.8</v>
      </c>
      <c r="D18" s="350">
        <v>972.8</v>
      </c>
      <c r="E18" s="350">
        <v>1009.6</v>
      </c>
      <c r="F18" s="350">
        <v>1119.4000000000001</v>
      </c>
      <c r="G18" s="350" t="s">
        <v>622</v>
      </c>
      <c r="H18" s="342" t="s">
        <v>760</v>
      </c>
    </row>
    <row r="19" spans="1:8" x14ac:dyDescent="0.2">
      <c r="A19" s="347" t="s">
        <v>851</v>
      </c>
      <c r="B19" s="350">
        <v>8.6999999999999993</v>
      </c>
      <c r="C19" s="350">
        <v>50</v>
      </c>
      <c r="D19" s="350">
        <v>57.3</v>
      </c>
      <c r="E19" s="350">
        <v>57.5</v>
      </c>
      <c r="F19" s="350">
        <v>186.5</v>
      </c>
      <c r="G19" s="350" t="s">
        <v>622</v>
      </c>
      <c r="H19" s="342" t="s">
        <v>760</v>
      </c>
    </row>
    <row r="20" spans="1:8" x14ac:dyDescent="0.2">
      <c r="A20" s="349" t="s">
        <v>850</v>
      </c>
      <c r="B20" s="357">
        <v>748.4</v>
      </c>
      <c r="C20" s="357">
        <v>933.8</v>
      </c>
      <c r="D20" s="357">
        <v>1030.0999999999999</v>
      </c>
      <c r="E20" s="357">
        <v>1067.0999999999999</v>
      </c>
      <c r="F20" s="357">
        <v>1305.9000000000001</v>
      </c>
      <c r="G20" s="357" t="s">
        <v>622</v>
      </c>
      <c r="H20" s="342" t="s">
        <v>760</v>
      </c>
    </row>
    <row r="21" spans="1:8" x14ac:dyDescent="0.2">
      <c r="A21" s="347"/>
      <c r="B21" s="347"/>
      <c r="C21" s="347"/>
      <c r="D21" s="347"/>
      <c r="E21" s="347"/>
      <c r="F21" s="347"/>
      <c r="G21" s="347"/>
    </row>
    <row r="22" spans="1:8" x14ac:dyDescent="0.2">
      <c r="A22" s="347" t="s">
        <v>849</v>
      </c>
      <c r="B22" s="350" t="s">
        <v>622</v>
      </c>
      <c r="C22" s="350">
        <v>-3.7</v>
      </c>
      <c r="D22" s="350">
        <v>-6.1</v>
      </c>
      <c r="E22" s="350">
        <v>-93.5</v>
      </c>
      <c r="F22" s="350">
        <v>-499.2</v>
      </c>
      <c r="G22" s="350" t="s">
        <v>622</v>
      </c>
    </row>
    <row r="23" spans="1:8" x14ac:dyDescent="0.2">
      <c r="A23" s="347" t="s">
        <v>848</v>
      </c>
      <c r="B23" s="350">
        <v>-70.2</v>
      </c>
      <c r="C23" s="350">
        <v>-390.6</v>
      </c>
      <c r="D23" s="350" t="s">
        <v>622</v>
      </c>
      <c r="E23" s="350" t="s">
        <v>622</v>
      </c>
      <c r="F23" s="350">
        <v>-1376.4</v>
      </c>
      <c r="G23" s="350" t="s">
        <v>622</v>
      </c>
    </row>
    <row r="24" spans="1:8" x14ac:dyDescent="0.2">
      <c r="A24" s="347" t="s">
        <v>847</v>
      </c>
      <c r="B24" s="350" t="s">
        <v>622</v>
      </c>
      <c r="C24" s="350" t="s">
        <v>622</v>
      </c>
      <c r="D24" s="350" t="s">
        <v>622</v>
      </c>
      <c r="E24" s="350">
        <v>87.2</v>
      </c>
      <c r="F24" s="350">
        <v>37.6</v>
      </c>
      <c r="G24" s="350" t="s">
        <v>622</v>
      </c>
    </row>
    <row r="25" spans="1:8" x14ac:dyDescent="0.2">
      <c r="A25" s="347" t="s">
        <v>846</v>
      </c>
      <c r="B25" s="350">
        <v>-43.5</v>
      </c>
      <c r="C25" s="350">
        <v>-42</v>
      </c>
      <c r="D25" s="350">
        <v>-26.9</v>
      </c>
      <c r="E25" s="350">
        <v>-123.6</v>
      </c>
      <c r="F25" s="350">
        <v>-16</v>
      </c>
      <c r="G25" s="350" t="s">
        <v>622</v>
      </c>
    </row>
    <row r="26" spans="1:8" x14ac:dyDescent="0.2">
      <c r="A26" s="347" t="s">
        <v>845</v>
      </c>
      <c r="B26" s="350">
        <v>183.2</v>
      </c>
      <c r="C26" s="350">
        <v>209.8</v>
      </c>
      <c r="D26" s="350">
        <v>218.1</v>
      </c>
      <c r="E26" s="350">
        <v>176</v>
      </c>
      <c r="F26" s="350">
        <v>250.3</v>
      </c>
      <c r="G26" s="350" t="s">
        <v>622</v>
      </c>
    </row>
    <row r="27" spans="1:8" x14ac:dyDescent="0.2">
      <c r="A27" s="347" t="s">
        <v>844</v>
      </c>
      <c r="B27" s="350">
        <v>-114.4</v>
      </c>
      <c r="C27" s="350">
        <v>-132.4</v>
      </c>
      <c r="D27" s="350" t="s">
        <v>622</v>
      </c>
      <c r="E27" s="350" t="s">
        <v>622</v>
      </c>
      <c r="F27" s="350" t="s">
        <v>622</v>
      </c>
      <c r="G27" s="350" t="s">
        <v>622</v>
      </c>
    </row>
    <row r="28" spans="1:8" x14ac:dyDescent="0.2">
      <c r="A28" s="347" t="s">
        <v>843</v>
      </c>
      <c r="B28" s="350">
        <v>46</v>
      </c>
      <c r="C28" s="350">
        <v>138</v>
      </c>
      <c r="D28" s="350">
        <v>312</v>
      </c>
      <c r="E28" s="350">
        <v>164.2</v>
      </c>
      <c r="F28" s="350">
        <v>803.6</v>
      </c>
      <c r="G28" s="350" t="s">
        <v>622</v>
      </c>
    </row>
    <row r="29" spans="1:8" x14ac:dyDescent="0.2">
      <c r="A29" s="347" t="s">
        <v>842</v>
      </c>
      <c r="B29" s="350">
        <v>-79.7</v>
      </c>
      <c r="C29" s="350">
        <v>-82.8</v>
      </c>
      <c r="D29" s="350">
        <v>-55.6</v>
      </c>
      <c r="E29" s="350">
        <v>-96.8</v>
      </c>
      <c r="F29" s="350">
        <v>131</v>
      </c>
      <c r="G29" s="350" t="s">
        <v>622</v>
      </c>
      <c r="H29" s="342" t="s">
        <v>760</v>
      </c>
    </row>
    <row r="30" spans="1:8" x14ac:dyDescent="0.2">
      <c r="A30" s="347" t="s">
        <v>841</v>
      </c>
      <c r="B30" s="350">
        <v>14.3</v>
      </c>
      <c r="C30" s="350">
        <v>-207.9</v>
      </c>
      <c r="D30" s="350">
        <v>-67.5</v>
      </c>
      <c r="E30" s="350">
        <v>14</v>
      </c>
      <c r="F30" s="350">
        <v>-41.2</v>
      </c>
      <c r="G30" s="350" t="s">
        <v>622</v>
      </c>
    </row>
    <row r="31" spans="1:8" x14ac:dyDescent="0.2">
      <c r="A31" s="347" t="s">
        <v>840</v>
      </c>
      <c r="B31" s="350">
        <v>60.4</v>
      </c>
      <c r="C31" s="350">
        <v>137.69999999999999</v>
      </c>
      <c r="D31" s="350">
        <v>46.9</v>
      </c>
      <c r="E31" s="350">
        <v>46.4</v>
      </c>
      <c r="F31" s="350">
        <v>391.6</v>
      </c>
      <c r="G31" s="350" t="s">
        <v>622</v>
      </c>
      <c r="H31" s="342" t="s">
        <v>760</v>
      </c>
    </row>
    <row r="32" spans="1:8" x14ac:dyDescent="0.2">
      <c r="A32" s="347" t="s">
        <v>839</v>
      </c>
      <c r="B32" s="350">
        <v>140.80000000000001</v>
      </c>
      <c r="C32" s="350">
        <v>170.3</v>
      </c>
      <c r="D32" s="350">
        <v>180.4</v>
      </c>
      <c r="E32" s="350">
        <v>130.80000000000001</v>
      </c>
      <c r="F32" s="350">
        <v>7109.4</v>
      </c>
      <c r="G32" s="350" t="s">
        <v>622</v>
      </c>
    </row>
    <row r="33" spans="1:8" x14ac:dyDescent="0.2">
      <c r="A33" s="347" t="s">
        <v>838</v>
      </c>
      <c r="B33" s="350">
        <v>-2345.6</v>
      </c>
      <c r="C33" s="350">
        <v>261.5</v>
      </c>
      <c r="D33" s="350">
        <v>248.8</v>
      </c>
      <c r="E33" s="350">
        <v>-4.7</v>
      </c>
      <c r="F33" s="350">
        <v>-677.1</v>
      </c>
      <c r="G33" s="350" t="s">
        <v>622</v>
      </c>
    </row>
    <row r="34" spans="1:8" x14ac:dyDescent="0.2">
      <c r="A34" s="349" t="s">
        <v>837</v>
      </c>
      <c r="B34" s="357">
        <v>607.79999999999995</v>
      </c>
      <c r="C34" s="357">
        <v>3749.1</v>
      </c>
      <c r="D34" s="357">
        <v>4697.8999999999996</v>
      </c>
      <c r="E34" s="357">
        <v>4251.8</v>
      </c>
      <c r="F34" s="357">
        <v>11937.8</v>
      </c>
      <c r="G34" s="357" t="s">
        <v>622</v>
      </c>
    </row>
    <row r="35" spans="1:8" x14ac:dyDescent="0.2">
      <c r="A35" s="347"/>
      <c r="B35" s="347"/>
      <c r="C35" s="347"/>
      <c r="D35" s="347"/>
      <c r="E35" s="347"/>
      <c r="F35" s="347"/>
      <c r="G35" s="347"/>
    </row>
    <row r="36" spans="1:8" x14ac:dyDescent="0.2">
      <c r="A36" s="347" t="s">
        <v>836</v>
      </c>
      <c r="B36" s="350">
        <v>-1160.9000000000001</v>
      </c>
      <c r="C36" s="350">
        <v>-1303.7</v>
      </c>
      <c r="D36" s="350">
        <v>-1440.3</v>
      </c>
      <c r="E36" s="350">
        <v>-1519.4</v>
      </c>
      <c r="F36" s="350">
        <v>-1976.4</v>
      </c>
      <c r="G36" s="350" t="s">
        <v>622</v>
      </c>
      <c r="H36" s="342" t="s">
        <v>760</v>
      </c>
    </row>
    <row r="37" spans="1:8" x14ac:dyDescent="0.2">
      <c r="A37" s="347" t="s">
        <v>835</v>
      </c>
      <c r="B37" s="350" t="s">
        <v>622</v>
      </c>
      <c r="C37" s="350">
        <v>-284.3</v>
      </c>
      <c r="D37" s="350" t="s">
        <v>622</v>
      </c>
      <c r="E37" s="350" t="s">
        <v>622</v>
      </c>
      <c r="F37" s="350">
        <v>-1311.3</v>
      </c>
      <c r="G37" s="350" t="s">
        <v>622</v>
      </c>
    </row>
    <row r="38" spans="1:8" x14ac:dyDescent="0.2">
      <c r="A38" s="347" t="s">
        <v>834</v>
      </c>
      <c r="B38" s="350" t="s">
        <v>622</v>
      </c>
      <c r="C38" s="350" t="s">
        <v>622</v>
      </c>
      <c r="D38" s="350">
        <v>69.599999999999994</v>
      </c>
      <c r="E38" s="350">
        <v>85.4</v>
      </c>
      <c r="F38" s="350">
        <v>608.20000000000005</v>
      </c>
      <c r="G38" s="350" t="s">
        <v>622</v>
      </c>
    </row>
    <row r="39" spans="1:8" x14ac:dyDescent="0.2">
      <c r="A39" s="347" t="s">
        <v>833</v>
      </c>
      <c r="B39" s="350">
        <v>362.3</v>
      </c>
      <c r="C39" s="350">
        <v>60.9</v>
      </c>
      <c r="D39" s="350">
        <v>-877.1</v>
      </c>
      <c r="E39" s="350">
        <v>529.70000000000005</v>
      </c>
      <c r="F39" s="350">
        <v>312.39999999999998</v>
      </c>
      <c r="G39" s="350" t="s">
        <v>622</v>
      </c>
      <c r="H39" s="342" t="s">
        <v>760</v>
      </c>
    </row>
    <row r="40" spans="1:8" x14ac:dyDescent="0.2">
      <c r="A40" s="347" t="s">
        <v>832</v>
      </c>
      <c r="B40" s="350" t="s">
        <v>622</v>
      </c>
      <c r="C40" s="350" t="s">
        <v>622</v>
      </c>
      <c r="D40" s="350" t="s">
        <v>622</v>
      </c>
      <c r="E40" s="350" t="s">
        <v>622</v>
      </c>
      <c r="F40" s="350" t="s">
        <v>622</v>
      </c>
      <c r="G40" s="350" t="s">
        <v>622</v>
      </c>
    </row>
    <row r="41" spans="1:8" x14ac:dyDescent="0.2">
      <c r="A41" s="347" t="s">
        <v>831</v>
      </c>
      <c r="B41" s="350">
        <v>-19.100000000000001</v>
      </c>
      <c r="C41" s="350">
        <v>6.8</v>
      </c>
      <c r="D41" s="350">
        <v>24.9</v>
      </c>
      <c r="E41" s="350">
        <v>54.3</v>
      </c>
      <c r="F41" s="350">
        <v>5.6</v>
      </c>
      <c r="G41" s="350" t="s">
        <v>622</v>
      </c>
    </row>
    <row r="42" spans="1:8" x14ac:dyDescent="0.2">
      <c r="A42" s="349" t="s">
        <v>830</v>
      </c>
      <c r="B42" s="357">
        <v>-817.7</v>
      </c>
      <c r="C42" s="357">
        <v>-1520.3</v>
      </c>
      <c r="D42" s="357">
        <v>-2222.9</v>
      </c>
      <c r="E42" s="357">
        <v>-850</v>
      </c>
      <c r="F42" s="357">
        <v>-2361.5</v>
      </c>
      <c r="G42" s="357" t="s">
        <v>622</v>
      </c>
    </row>
    <row r="43" spans="1:8" x14ac:dyDescent="0.2">
      <c r="A43" s="347"/>
      <c r="B43" s="347"/>
      <c r="C43" s="347"/>
      <c r="D43" s="347"/>
      <c r="E43" s="347"/>
      <c r="F43" s="347"/>
      <c r="G43" s="347"/>
    </row>
    <row r="44" spans="1:8" x14ac:dyDescent="0.2">
      <c r="A44" s="347" t="s">
        <v>829</v>
      </c>
      <c r="B44" s="350" t="s">
        <v>622</v>
      </c>
      <c r="C44" s="350" t="s">
        <v>622</v>
      </c>
      <c r="D44" s="350" t="s">
        <v>622</v>
      </c>
      <c r="E44" s="350" t="s">
        <v>622</v>
      </c>
      <c r="F44" s="350" t="s">
        <v>622</v>
      </c>
      <c r="G44" s="350" t="s">
        <v>622</v>
      </c>
    </row>
    <row r="45" spans="1:8" x14ac:dyDescent="0.2">
      <c r="A45" s="347" t="s">
        <v>828</v>
      </c>
      <c r="B45" s="350">
        <v>748.5</v>
      </c>
      <c r="C45" s="350">
        <v>848.5</v>
      </c>
      <c r="D45" s="350">
        <v>1254.5</v>
      </c>
      <c r="E45" s="350">
        <v>750.2</v>
      </c>
      <c r="F45" s="350">
        <v>5584.1</v>
      </c>
      <c r="G45" s="350" t="s">
        <v>622</v>
      </c>
    </row>
    <row r="46" spans="1:8" x14ac:dyDescent="0.2">
      <c r="A46" s="349" t="s">
        <v>827</v>
      </c>
      <c r="B46" s="357">
        <v>748.5</v>
      </c>
      <c r="C46" s="357">
        <v>848.5</v>
      </c>
      <c r="D46" s="357">
        <v>1254.5</v>
      </c>
      <c r="E46" s="357">
        <v>750.2</v>
      </c>
      <c r="F46" s="357">
        <v>5584.1</v>
      </c>
      <c r="G46" s="357" t="s">
        <v>622</v>
      </c>
    </row>
    <row r="47" spans="1:8" x14ac:dyDescent="0.2">
      <c r="A47" s="347" t="s">
        <v>826</v>
      </c>
      <c r="B47" s="350" t="s">
        <v>622</v>
      </c>
      <c r="C47" s="350" t="s">
        <v>622</v>
      </c>
      <c r="D47" s="350" t="s">
        <v>622</v>
      </c>
      <c r="E47" s="350" t="s">
        <v>622</v>
      </c>
      <c r="F47" s="350" t="s">
        <v>622</v>
      </c>
      <c r="G47" s="350" t="s">
        <v>622</v>
      </c>
      <c r="H47" s="342" t="s">
        <v>760</v>
      </c>
    </row>
    <row r="48" spans="1:8" x14ac:dyDescent="0.2">
      <c r="A48" s="347" t="s">
        <v>825</v>
      </c>
      <c r="B48" s="350" t="s">
        <v>622</v>
      </c>
      <c r="C48" s="350">
        <v>-610.1</v>
      </c>
      <c r="D48" s="350" t="s">
        <v>622</v>
      </c>
      <c r="E48" s="350">
        <v>-400</v>
      </c>
      <c r="F48" s="350" t="s">
        <v>622</v>
      </c>
      <c r="G48" s="350" t="s">
        <v>622</v>
      </c>
      <c r="H48" s="342" t="s">
        <v>760</v>
      </c>
    </row>
    <row r="49" spans="1:8" x14ac:dyDescent="0.2">
      <c r="A49" s="349" t="s">
        <v>824</v>
      </c>
      <c r="B49" s="357" t="s">
        <v>622</v>
      </c>
      <c r="C49" s="357">
        <v>-610.1</v>
      </c>
      <c r="D49" s="357" t="s">
        <v>622</v>
      </c>
      <c r="E49" s="357">
        <v>-400</v>
      </c>
      <c r="F49" s="357" t="s">
        <v>622</v>
      </c>
      <c r="G49" s="357" t="s">
        <v>622</v>
      </c>
    </row>
    <row r="50" spans="1:8" x14ac:dyDescent="0.2">
      <c r="A50" s="347"/>
      <c r="B50" s="347"/>
      <c r="C50" s="347"/>
      <c r="D50" s="347"/>
      <c r="E50" s="347"/>
      <c r="F50" s="347"/>
      <c r="G50" s="347"/>
    </row>
    <row r="51" spans="1:8" x14ac:dyDescent="0.2">
      <c r="A51" s="347" t="s">
        <v>823</v>
      </c>
      <c r="B51" s="350">
        <v>139.69999999999999</v>
      </c>
      <c r="C51" s="350">
        <v>191.8</v>
      </c>
      <c r="D51" s="350">
        <v>160.69999999999999</v>
      </c>
      <c r="E51" s="350">
        <v>150.80000000000001</v>
      </c>
      <c r="F51" s="350">
        <v>153.9</v>
      </c>
      <c r="G51" s="350" t="s">
        <v>622</v>
      </c>
      <c r="H51" s="342" t="s">
        <v>760</v>
      </c>
    </row>
    <row r="52" spans="1:8" x14ac:dyDescent="0.2">
      <c r="A52" s="347" t="s">
        <v>822</v>
      </c>
      <c r="B52" s="350">
        <v>-835.9</v>
      </c>
      <c r="C52" s="350">
        <v>-1511.6</v>
      </c>
      <c r="D52" s="350">
        <v>-2101.6</v>
      </c>
      <c r="E52" s="350">
        <v>-2125.3000000000002</v>
      </c>
      <c r="F52" s="350">
        <v>-7196.2</v>
      </c>
      <c r="G52" s="350" t="s">
        <v>622</v>
      </c>
    </row>
    <row r="53" spans="1:8" x14ac:dyDescent="0.2">
      <c r="A53" s="347"/>
      <c r="B53" s="347"/>
      <c r="C53" s="347"/>
      <c r="D53" s="347"/>
      <c r="E53" s="347"/>
      <c r="F53" s="347"/>
      <c r="G53" s="347"/>
    </row>
    <row r="54" spans="1:8" x14ac:dyDescent="0.2">
      <c r="A54" s="347" t="s">
        <v>821</v>
      </c>
      <c r="B54" s="350">
        <v>-783.1</v>
      </c>
      <c r="C54" s="350">
        <v>-928.6</v>
      </c>
      <c r="D54" s="350">
        <v>-1178</v>
      </c>
      <c r="E54" s="350">
        <v>-1450.4</v>
      </c>
      <c r="F54" s="350">
        <v>-1743.4</v>
      </c>
      <c r="G54" s="350" t="s">
        <v>622</v>
      </c>
      <c r="H54" s="342" t="s">
        <v>760</v>
      </c>
    </row>
    <row r="55" spans="1:8" x14ac:dyDescent="0.2">
      <c r="A55" s="349" t="s">
        <v>820</v>
      </c>
      <c r="B55" s="357">
        <v>-783.1</v>
      </c>
      <c r="C55" s="357">
        <v>-928.6</v>
      </c>
      <c r="D55" s="357">
        <v>-1178</v>
      </c>
      <c r="E55" s="357">
        <v>-1450.4</v>
      </c>
      <c r="F55" s="357">
        <v>-1743.4</v>
      </c>
      <c r="G55" s="357" t="s">
        <v>622</v>
      </c>
    </row>
    <row r="56" spans="1:8" x14ac:dyDescent="0.2">
      <c r="A56" s="347"/>
      <c r="B56" s="347"/>
      <c r="C56" s="347"/>
      <c r="D56" s="347"/>
      <c r="E56" s="347"/>
      <c r="F56" s="347"/>
      <c r="G56" s="347"/>
    </row>
    <row r="57" spans="1:8" x14ac:dyDescent="0.2">
      <c r="A57" s="347" t="s">
        <v>819</v>
      </c>
      <c r="B57" s="350" t="s">
        <v>622</v>
      </c>
      <c r="C57" s="350" t="s">
        <v>622</v>
      </c>
      <c r="D57" s="350" t="s">
        <v>622</v>
      </c>
      <c r="E57" s="350" t="s">
        <v>622</v>
      </c>
      <c r="F57" s="350" t="s">
        <v>622</v>
      </c>
      <c r="G57" s="350" t="s">
        <v>622</v>
      </c>
    </row>
    <row r="58" spans="1:8" x14ac:dyDescent="0.2">
      <c r="A58" s="347" t="s">
        <v>818</v>
      </c>
      <c r="B58" s="350">
        <v>107.5</v>
      </c>
      <c r="C58" s="350">
        <v>-246.5</v>
      </c>
      <c r="D58" s="350">
        <v>-8.4</v>
      </c>
      <c r="E58" s="350">
        <v>-4.4000000000000004</v>
      </c>
      <c r="F58" s="350">
        <v>-41.2</v>
      </c>
      <c r="G58" s="350" t="s">
        <v>622</v>
      </c>
    </row>
    <row r="59" spans="1:8" x14ac:dyDescent="0.2">
      <c r="A59" s="349" t="s">
        <v>817</v>
      </c>
      <c r="B59" s="357">
        <v>-623.29999999999995</v>
      </c>
      <c r="C59" s="357">
        <v>-2256.5</v>
      </c>
      <c r="D59" s="357">
        <v>-1872.8</v>
      </c>
      <c r="E59" s="357">
        <v>-3079.1</v>
      </c>
      <c r="F59" s="357">
        <v>-3242.8</v>
      </c>
      <c r="G59" s="357" t="s">
        <v>622</v>
      </c>
    </row>
    <row r="60" spans="1:8" x14ac:dyDescent="0.2">
      <c r="A60" s="347"/>
      <c r="B60" s="347"/>
      <c r="C60" s="347"/>
      <c r="D60" s="347"/>
      <c r="E60" s="347"/>
      <c r="F60" s="347"/>
      <c r="G60" s="347"/>
    </row>
    <row r="61" spans="1:8" x14ac:dyDescent="0.2">
      <c r="A61" s="347" t="s">
        <v>816</v>
      </c>
      <c r="B61" s="350">
        <v>-34.1</v>
      </c>
      <c r="C61" s="350">
        <v>-150.6</v>
      </c>
      <c r="D61" s="350">
        <v>-3.5</v>
      </c>
      <c r="E61" s="350">
        <v>10.8</v>
      </c>
      <c r="F61" s="350">
        <v>-39.5</v>
      </c>
      <c r="G61" s="350" t="s">
        <v>622</v>
      </c>
    </row>
    <row r="62" spans="1:8" x14ac:dyDescent="0.2">
      <c r="A62" s="349" t="s">
        <v>815</v>
      </c>
      <c r="B62" s="356">
        <v>-867.3</v>
      </c>
      <c r="C62" s="356">
        <v>-178.3</v>
      </c>
      <c r="D62" s="356">
        <v>598.70000000000005</v>
      </c>
      <c r="E62" s="356">
        <v>333.5</v>
      </c>
      <c r="F62" s="356">
        <v>6294</v>
      </c>
      <c r="G62" s="356" t="s">
        <v>622</v>
      </c>
    </row>
    <row r="63" spans="1:8" x14ac:dyDescent="0.2">
      <c r="A63" s="347"/>
      <c r="B63" s="347"/>
      <c r="C63" s="347"/>
      <c r="D63" s="347"/>
      <c r="E63" s="347"/>
      <c r="F63" s="347"/>
      <c r="G63" s="347"/>
    </row>
    <row r="64" spans="1:8" x14ac:dyDescent="0.2">
      <c r="A64" s="349" t="s">
        <v>656</v>
      </c>
      <c r="B64" s="347"/>
      <c r="C64" s="347"/>
      <c r="D64" s="347"/>
      <c r="E64" s="347"/>
      <c r="F64" s="347"/>
      <c r="G64" s="347"/>
    </row>
    <row r="65" spans="1:7" x14ac:dyDescent="0.2">
      <c r="A65" s="347" t="s">
        <v>814</v>
      </c>
      <c r="B65" s="350">
        <v>56.2</v>
      </c>
      <c r="C65" s="350">
        <v>69.5</v>
      </c>
      <c r="D65" s="350">
        <v>74.7</v>
      </c>
      <c r="E65" s="350">
        <v>96.6</v>
      </c>
      <c r="F65" s="350">
        <v>137.1</v>
      </c>
      <c r="G65" s="350" t="s">
        <v>625</v>
      </c>
    </row>
    <row r="66" spans="1:7" x14ac:dyDescent="0.2">
      <c r="A66" s="347" t="s">
        <v>813</v>
      </c>
      <c r="B66" s="350">
        <v>766.3</v>
      </c>
      <c r="C66" s="350">
        <v>1072.2</v>
      </c>
      <c r="D66" s="350">
        <v>878.7</v>
      </c>
      <c r="E66" s="350">
        <v>1389.1</v>
      </c>
      <c r="F66" s="350">
        <v>1176.9000000000001</v>
      </c>
      <c r="G66" s="350" t="s">
        <v>625</v>
      </c>
    </row>
    <row r="67" spans="1:7" x14ac:dyDescent="0.2">
      <c r="A67" s="347" t="s">
        <v>812</v>
      </c>
      <c r="B67" s="350">
        <v>-949.9</v>
      </c>
      <c r="C67" s="350">
        <v>2464.9749999999999</v>
      </c>
      <c r="D67" s="350">
        <v>2529.35</v>
      </c>
      <c r="E67" s="350">
        <v>2077.3874999999998</v>
      </c>
      <c r="F67" s="350">
        <v>2004.375</v>
      </c>
      <c r="G67" s="350" t="s">
        <v>625</v>
      </c>
    </row>
    <row r="68" spans="1:7" x14ac:dyDescent="0.2">
      <c r="A68" s="347" t="s">
        <v>811</v>
      </c>
      <c r="B68" s="350">
        <v>-909.8</v>
      </c>
      <c r="C68" s="350">
        <v>2509.0374999999999</v>
      </c>
      <c r="D68" s="350">
        <v>2580.1624999999999</v>
      </c>
      <c r="E68" s="350">
        <v>2135.1999999999998</v>
      </c>
      <c r="F68" s="350">
        <v>2110.8125</v>
      </c>
      <c r="G68" s="350" t="s">
        <v>625</v>
      </c>
    </row>
    <row r="69" spans="1:7" x14ac:dyDescent="0.2">
      <c r="A69" s="347" t="s">
        <v>810</v>
      </c>
      <c r="B69" s="350">
        <v>2425.9</v>
      </c>
      <c r="C69" s="350">
        <v>-574.70000000000005</v>
      </c>
      <c r="D69" s="350">
        <v>-363.7</v>
      </c>
      <c r="E69" s="350">
        <v>24</v>
      </c>
      <c r="F69" s="350">
        <v>-149.69999999999999</v>
      </c>
      <c r="G69" s="350" t="s">
        <v>625</v>
      </c>
    </row>
    <row r="70" spans="1:7" x14ac:dyDescent="0.2">
      <c r="A70" s="347" t="s">
        <v>809</v>
      </c>
      <c r="B70" s="350">
        <v>748.5</v>
      </c>
      <c r="C70" s="350">
        <v>238.4</v>
      </c>
      <c r="D70" s="350">
        <v>1254.5</v>
      </c>
      <c r="E70" s="350">
        <v>350.2</v>
      </c>
      <c r="F70" s="350">
        <v>5584.1</v>
      </c>
      <c r="G70" s="350" t="s">
        <v>625</v>
      </c>
    </row>
    <row r="71" spans="1:7" x14ac:dyDescent="0.2">
      <c r="A71" s="347" t="s">
        <v>640</v>
      </c>
      <c r="B71" s="352">
        <v>42692</v>
      </c>
      <c r="C71" s="352">
        <v>43056</v>
      </c>
      <c r="D71" s="352">
        <v>43420</v>
      </c>
      <c r="E71" s="352">
        <v>43420</v>
      </c>
      <c r="F71" s="352">
        <v>43420</v>
      </c>
      <c r="G71" s="352">
        <v>43489</v>
      </c>
    </row>
    <row r="72" spans="1:7" x14ac:dyDescent="0.2">
      <c r="A72" s="347" t="s">
        <v>639</v>
      </c>
      <c r="B72" s="351" t="s">
        <v>638</v>
      </c>
      <c r="C72" s="351" t="s">
        <v>638</v>
      </c>
      <c r="D72" s="351" t="s">
        <v>736</v>
      </c>
      <c r="E72" s="351" t="s">
        <v>736</v>
      </c>
      <c r="F72" s="351" t="s">
        <v>636</v>
      </c>
      <c r="G72" s="351" t="s">
        <v>735</v>
      </c>
    </row>
    <row r="73" spans="1:7" x14ac:dyDescent="0.2">
      <c r="A73" s="347" t="s">
        <v>634</v>
      </c>
      <c r="B73" s="351" t="s">
        <v>633</v>
      </c>
      <c r="C73" s="351" t="s">
        <v>633</v>
      </c>
      <c r="D73" s="351" t="s">
        <v>633</v>
      </c>
      <c r="E73" s="351" t="s">
        <v>633</v>
      </c>
      <c r="F73" s="351" t="s">
        <v>633</v>
      </c>
      <c r="G73" s="351" t="s">
        <v>625</v>
      </c>
    </row>
    <row r="74" spans="1:7" x14ac:dyDescent="0.2">
      <c r="A74" s="347"/>
      <c r="B74" s="347"/>
      <c r="C74" s="347"/>
      <c r="D74" s="347"/>
      <c r="E74" s="347"/>
      <c r="F74" s="347"/>
      <c r="G74" s="347"/>
    </row>
    <row r="75" spans="1:7" ht="67.5" x14ac:dyDescent="0.2">
      <c r="A75" s="374" t="s">
        <v>617</v>
      </c>
      <c r="B75" s="345"/>
      <c r="C75" s="345"/>
      <c r="D75" s="345"/>
      <c r="E75" s="345"/>
      <c r="F75" s="345"/>
      <c r="G75" s="345"/>
    </row>
  </sheetData>
  <pageMargins left="0.2" right="0.2" top="0.5" bottom="0.5" header="0.5" footer="0.5"/>
  <pageSetup fitToWidth="0" fitToHeight="0" orientation="landscape" horizontalDpi="0" verticalDpi="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7AF65-E0EC-4450-A03E-18A52BD9D839}">
  <sheetPr codeName="Sheet9">
    <outlinePr summaryBelow="0" summaryRight="0"/>
    <pageSetUpPr autoPageBreaks="0"/>
  </sheetPr>
  <dimension ref="A5:IU89"/>
  <sheetViews>
    <sheetView topLeftCell="A13" workbookViewId="0">
      <selection activeCell="E65" sqref="E65"/>
    </sheetView>
  </sheetViews>
  <sheetFormatPr defaultRowHeight="11.25" x14ac:dyDescent="0.2"/>
  <cols>
    <col min="1" max="1" width="40.125" style="375" customWidth="1"/>
    <col min="2" max="7" width="13" style="375" customWidth="1"/>
    <col min="8" max="16384" width="9" style="375"/>
  </cols>
  <sheetData>
    <row r="5" spans="1:255" ht="15.75" x14ac:dyDescent="0.2">
      <c r="A5" s="399" t="s">
        <v>906</v>
      </c>
    </row>
    <row r="7" spans="1:255" x14ac:dyDescent="0.2">
      <c r="A7" s="398" t="s">
        <v>905</v>
      </c>
      <c r="B7" s="395" t="s">
        <v>721</v>
      </c>
      <c r="C7" s="375" t="s">
        <v>904</v>
      </c>
      <c r="D7" s="396" t="s">
        <v>716</v>
      </c>
      <c r="E7" s="395" t="s">
        <v>719</v>
      </c>
      <c r="F7" s="375" t="s">
        <v>718</v>
      </c>
    </row>
    <row r="8" spans="1:255" x14ac:dyDescent="0.2">
      <c r="A8" s="396"/>
      <c r="B8" s="395" t="s">
        <v>723</v>
      </c>
      <c r="C8" s="375" t="s">
        <v>722</v>
      </c>
      <c r="D8" s="396" t="s">
        <v>716</v>
      </c>
      <c r="E8" s="395" t="s">
        <v>62</v>
      </c>
      <c r="F8" s="375" t="s">
        <v>717</v>
      </c>
    </row>
    <row r="9" spans="1:255" x14ac:dyDescent="0.2">
      <c r="A9" s="396"/>
      <c r="B9" s="395" t="s">
        <v>715</v>
      </c>
      <c r="C9" s="397" t="s">
        <v>714</v>
      </c>
      <c r="D9" s="396" t="s">
        <v>716</v>
      </c>
      <c r="E9" s="395" t="s">
        <v>903</v>
      </c>
      <c r="F9" s="375" t="s">
        <v>902</v>
      </c>
    </row>
    <row r="12" spans="1:255" x14ac:dyDescent="0.2">
      <c r="A12" s="385" t="s">
        <v>901</v>
      </c>
      <c r="B12" s="385"/>
      <c r="C12" s="385"/>
      <c r="D12" s="385"/>
      <c r="E12" s="385"/>
      <c r="F12" s="385"/>
      <c r="G12" s="385"/>
      <c r="H12" s="384"/>
      <c r="I12" s="384"/>
      <c r="J12" s="384"/>
      <c r="K12" s="384"/>
      <c r="L12" s="384"/>
      <c r="M12" s="384"/>
      <c r="N12" s="384"/>
      <c r="O12" s="384"/>
      <c r="P12" s="384"/>
      <c r="Q12" s="384"/>
      <c r="R12" s="384"/>
      <c r="S12" s="384"/>
      <c r="T12" s="384"/>
      <c r="U12" s="384"/>
      <c r="V12" s="384"/>
      <c r="W12" s="384"/>
      <c r="X12" s="384"/>
      <c r="Y12" s="384"/>
      <c r="Z12" s="384"/>
      <c r="AA12" s="384"/>
      <c r="AB12" s="384"/>
      <c r="AC12" s="384"/>
      <c r="AD12" s="384"/>
      <c r="AE12" s="384"/>
      <c r="AF12" s="384"/>
      <c r="AG12" s="384"/>
      <c r="AH12" s="384"/>
      <c r="AI12" s="384"/>
      <c r="AJ12" s="384"/>
      <c r="AK12" s="384"/>
      <c r="AL12" s="384"/>
      <c r="AM12" s="384"/>
      <c r="AN12" s="384"/>
      <c r="AO12" s="384"/>
      <c r="AP12" s="384"/>
      <c r="AQ12" s="384"/>
      <c r="AR12" s="384"/>
      <c r="AS12" s="384"/>
      <c r="AT12" s="384"/>
      <c r="AU12" s="384"/>
      <c r="AV12" s="384"/>
      <c r="AW12" s="384"/>
      <c r="AX12" s="384"/>
      <c r="AY12" s="384"/>
      <c r="AZ12" s="384"/>
      <c r="BA12" s="384"/>
      <c r="BB12" s="384"/>
      <c r="BC12" s="384"/>
      <c r="BD12" s="384"/>
      <c r="BE12" s="384"/>
      <c r="BF12" s="384"/>
      <c r="BG12" s="384"/>
      <c r="BH12" s="384"/>
      <c r="BI12" s="384"/>
      <c r="BJ12" s="384"/>
      <c r="BK12" s="384"/>
      <c r="BL12" s="384"/>
      <c r="BM12" s="384"/>
      <c r="BN12" s="384"/>
      <c r="BO12" s="384"/>
      <c r="BP12" s="384"/>
      <c r="BQ12" s="384"/>
      <c r="BR12" s="384"/>
      <c r="BS12" s="384"/>
      <c r="BT12" s="384"/>
      <c r="BU12" s="384"/>
      <c r="BV12" s="384"/>
      <c r="BW12" s="384"/>
      <c r="BX12" s="384"/>
      <c r="BY12" s="384"/>
      <c r="BZ12" s="384"/>
      <c r="CA12" s="384"/>
      <c r="CB12" s="384"/>
      <c r="CC12" s="384"/>
      <c r="CD12" s="384"/>
      <c r="CE12" s="384"/>
      <c r="CF12" s="384"/>
      <c r="CG12" s="384"/>
      <c r="CH12" s="384"/>
      <c r="CI12" s="384"/>
      <c r="CJ12" s="384"/>
      <c r="CK12" s="384"/>
      <c r="CL12" s="384"/>
      <c r="CM12" s="384"/>
      <c r="CN12" s="384"/>
      <c r="CO12" s="384"/>
      <c r="CP12" s="384"/>
      <c r="CQ12" s="384"/>
      <c r="CR12" s="384"/>
      <c r="CS12" s="384"/>
      <c r="CT12" s="384"/>
      <c r="CU12" s="384"/>
      <c r="CV12" s="384"/>
      <c r="CW12" s="384"/>
      <c r="CX12" s="384"/>
      <c r="CY12" s="384"/>
      <c r="CZ12" s="384"/>
      <c r="DA12" s="384"/>
      <c r="DB12" s="384"/>
      <c r="DC12" s="384"/>
      <c r="DD12" s="384"/>
      <c r="DE12" s="384"/>
      <c r="DF12" s="384"/>
      <c r="DG12" s="384"/>
      <c r="DH12" s="384"/>
      <c r="DI12" s="384"/>
      <c r="DJ12" s="384"/>
      <c r="DK12" s="384"/>
      <c r="DL12" s="384"/>
      <c r="DM12" s="384"/>
      <c r="DN12" s="384"/>
      <c r="DO12" s="384"/>
      <c r="DP12" s="384"/>
      <c r="DQ12" s="384"/>
      <c r="DR12" s="384"/>
      <c r="DS12" s="384"/>
      <c r="DT12" s="384"/>
      <c r="DU12" s="384"/>
      <c r="DV12" s="384"/>
      <c r="DW12" s="384"/>
      <c r="DX12" s="384"/>
      <c r="DY12" s="384"/>
      <c r="DZ12" s="384"/>
      <c r="EA12" s="384"/>
      <c r="EB12" s="384"/>
      <c r="EC12" s="384"/>
      <c r="ED12" s="384"/>
      <c r="EE12" s="384"/>
      <c r="EF12" s="384"/>
      <c r="EG12" s="384"/>
      <c r="EH12" s="384"/>
      <c r="EI12" s="384"/>
      <c r="EJ12" s="384"/>
      <c r="EK12" s="384"/>
      <c r="EL12" s="384"/>
      <c r="EM12" s="384"/>
      <c r="EN12" s="384"/>
      <c r="EO12" s="384"/>
      <c r="EP12" s="384"/>
      <c r="EQ12" s="384"/>
      <c r="ER12" s="384"/>
      <c r="ES12" s="384"/>
      <c r="ET12" s="384"/>
      <c r="EU12" s="384"/>
      <c r="EV12" s="384"/>
      <c r="EW12" s="384"/>
      <c r="EX12" s="384"/>
      <c r="EY12" s="384"/>
      <c r="EZ12" s="384"/>
      <c r="FA12" s="384"/>
      <c r="FB12" s="384"/>
      <c r="FC12" s="384"/>
      <c r="FD12" s="384"/>
      <c r="FE12" s="384"/>
      <c r="FF12" s="384"/>
      <c r="FG12" s="384"/>
      <c r="FH12" s="384"/>
      <c r="FI12" s="384"/>
      <c r="FJ12" s="384"/>
      <c r="FK12" s="384"/>
      <c r="FL12" s="384"/>
      <c r="FM12" s="384"/>
      <c r="FN12" s="384"/>
      <c r="FO12" s="384"/>
      <c r="FP12" s="384"/>
      <c r="FQ12" s="384"/>
      <c r="FR12" s="384"/>
      <c r="FS12" s="384"/>
      <c r="FT12" s="384"/>
      <c r="FU12" s="384"/>
      <c r="FV12" s="384"/>
      <c r="FW12" s="384"/>
      <c r="FX12" s="384"/>
      <c r="FY12" s="384"/>
      <c r="FZ12" s="384"/>
      <c r="GA12" s="384"/>
      <c r="GB12" s="384"/>
      <c r="GC12" s="384"/>
      <c r="GD12" s="384"/>
      <c r="GE12" s="384"/>
      <c r="GF12" s="384"/>
      <c r="GG12" s="384"/>
      <c r="GH12" s="384"/>
      <c r="GI12" s="384"/>
      <c r="GJ12" s="384"/>
      <c r="GK12" s="384"/>
      <c r="GL12" s="384"/>
      <c r="GM12" s="384"/>
      <c r="GN12" s="384"/>
      <c r="GO12" s="384"/>
      <c r="GP12" s="384"/>
      <c r="GQ12" s="384"/>
      <c r="GR12" s="384"/>
      <c r="GS12" s="384"/>
      <c r="GT12" s="384"/>
      <c r="GU12" s="384"/>
      <c r="GV12" s="384"/>
      <c r="GW12" s="384"/>
      <c r="GX12" s="384"/>
      <c r="GY12" s="384"/>
      <c r="GZ12" s="384"/>
      <c r="HA12" s="384"/>
      <c r="HB12" s="384"/>
      <c r="HC12" s="384"/>
      <c r="HD12" s="384"/>
      <c r="HE12" s="384"/>
      <c r="HF12" s="384"/>
      <c r="HG12" s="384"/>
      <c r="HH12" s="384"/>
      <c r="HI12" s="384"/>
      <c r="HJ12" s="384"/>
      <c r="HK12" s="384"/>
      <c r="HL12" s="384"/>
      <c r="HM12" s="384"/>
      <c r="HN12" s="384"/>
      <c r="HO12" s="384"/>
      <c r="HP12" s="384"/>
      <c r="HQ12" s="384"/>
      <c r="HR12" s="384"/>
      <c r="HS12" s="384"/>
      <c r="HT12" s="384"/>
      <c r="HU12" s="384"/>
      <c r="HV12" s="384"/>
      <c r="HW12" s="384"/>
      <c r="HX12" s="384"/>
      <c r="HY12" s="384"/>
      <c r="HZ12" s="384"/>
      <c r="IA12" s="384"/>
      <c r="IB12" s="384"/>
      <c r="IC12" s="384"/>
      <c r="ID12" s="384"/>
      <c r="IE12" s="384"/>
      <c r="IF12" s="384"/>
      <c r="IG12" s="384"/>
      <c r="IH12" s="384"/>
      <c r="II12" s="384"/>
      <c r="IJ12" s="384"/>
      <c r="IK12" s="384"/>
      <c r="IL12" s="384"/>
      <c r="IM12" s="384"/>
      <c r="IN12" s="384"/>
      <c r="IO12" s="384"/>
      <c r="IP12" s="384"/>
      <c r="IQ12" s="384"/>
      <c r="IR12" s="384"/>
      <c r="IS12" s="384"/>
      <c r="IT12" s="384"/>
      <c r="IU12" s="384"/>
    </row>
    <row r="13" spans="1:255" ht="45" x14ac:dyDescent="0.2">
      <c r="A13" s="383" t="s">
        <v>712</v>
      </c>
      <c r="B13" s="382" t="s">
        <v>900</v>
      </c>
      <c r="C13" s="382" t="s">
        <v>869</v>
      </c>
      <c r="D13" s="382" t="s">
        <v>868</v>
      </c>
      <c r="E13" s="382" t="s">
        <v>867</v>
      </c>
      <c r="F13" s="382" t="s">
        <v>866</v>
      </c>
      <c r="G13" s="382" t="s">
        <v>899</v>
      </c>
    </row>
    <row r="14" spans="1:255" x14ac:dyDescent="0.2">
      <c r="A14" s="391" t="s">
        <v>705</v>
      </c>
      <c r="B14" s="390" t="s">
        <v>704</v>
      </c>
      <c r="C14" s="390" t="s">
        <v>704</v>
      </c>
      <c r="D14" s="390" t="s">
        <v>704</v>
      </c>
      <c r="E14" s="390" t="s">
        <v>704</v>
      </c>
      <c r="F14" s="390" t="s">
        <v>704</v>
      </c>
      <c r="G14" s="390" t="s">
        <v>704</v>
      </c>
    </row>
    <row r="15" spans="1:255" x14ac:dyDescent="0.2">
      <c r="A15" s="381"/>
      <c r="B15" s="378"/>
      <c r="C15" s="378"/>
      <c r="D15" s="378"/>
      <c r="E15" s="378"/>
      <c r="F15" s="378"/>
      <c r="G15" s="378"/>
    </row>
    <row r="16" spans="1:255" x14ac:dyDescent="0.2">
      <c r="A16" s="381" t="s">
        <v>898</v>
      </c>
      <c r="B16" s="387">
        <v>16447.8</v>
      </c>
      <c r="C16" s="387">
        <v>19162.7</v>
      </c>
      <c r="D16" s="387">
        <v>21315.9</v>
      </c>
      <c r="E16" s="387">
        <v>22386.799999999999</v>
      </c>
      <c r="F16" s="387">
        <v>24719.5</v>
      </c>
      <c r="G16" s="387">
        <v>25278.5</v>
      </c>
    </row>
    <row r="17" spans="1:7" x14ac:dyDescent="0.2">
      <c r="A17" s="393" t="s">
        <v>893</v>
      </c>
      <c r="B17" s="392">
        <v>0.10634399999999999</v>
      </c>
      <c r="C17" s="392">
        <v>0.16506100000000001</v>
      </c>
      <c r="D17" s="392">
        <v>0.11236400000000001</v>
      </c>
      <c r="E17" s="392">
        <v>5.0238999999999999E-2</v>
      </c>
      <c r="F17" s="392">
        <v>0.104199</v>
      </c>
      <c r="G17" s="392">
        <v>0.112237</v>
      </c>
    </row>
    <row r="18" spans="1:7" x14ac:dyDescent="0.2">
      <c r="A18" s="378"/>
      <c r="B18" s="378"/>
      <c r="C18" s="378"/>
      <c r="D18" s="378"/>
      <c r="E18" s="378"/>
      <c r="F18" s="378"/>
      <c r="G18" s="378"/>
    </row>
    <row r="19" spans="1:7" x14ac:dyDescent="0.2">
      <c r="A19" s="381" t="s">
        <v>897</v>
      </c>
      <c r="B19" s="387">
        <v>4950.8</v>
      </c>
      <c r="C19" s="387">
        <v>5964.1</v>
      </c>
      <c r="D19" s="387">
        <v>6742.6</v>
      </c>
      <c r="E19" s="387">
        <v>6859.2</v>
      </c>
      <c r="F19" s="387">
        <v>7351.8</v>
      </c>
      <c r="G19" s="387">
        <v>7399</v>
      </c>
    </row>
    <row r="20" spans="1:7" x14ac:dyDescent="0.2">
      <c r="A20" s="393" t="s">
        <v>895</v>
      </c>
      <c r="B20" s="392">
        <v>0.30099999999999999</v>
      </c>
      <c r="C20" s="392">
        <v>0.31123400000000001</v>
      </c>
      <c r="D20" s="392">
        <v>0.31631700000000001</v>
      </c>
      <c r="E20" s="392">
        <v>0.306394</v>
      </c>
      <c r="F20" s="392">
        <v>0.29740800000000001</v>
      </c>
      <c r="G20" s="392">
        <v>0.29269899999999999</v>
      </c>
    </row>
    <row r="21" spans="1:7" x14ac:dyDescent="0.2">
      <c r="A21" s="378"/>
      <c r="B21" s="378"/>
      <c r="C21" s="378"/>
      <c r="D21" s="378"/>
      <c r="E21" s="378"/>
      <c r="F21" s="378"/>
      <c r="G21" s="378"/>
    </row>
    <row r="22" spans="1:7" x14ac:dyDescent="0.2">
      <c r="A22" s="381" t="s">
        <v>655</v>
      </c>
      <c r="B22" s="387">
        <v>3541</v>
      </c>
      <c r="C22" s="387">
        <v>4284.8999999999996</v>
      </c>
      <c r="D22" s="387">
        <v>4883.8</v>
      </c>
      <c r="E22" s="387">
        <v>4963.8999999999996</v>
      </c>
      <c r="F22" s="387">
        <v>5116</v>
      </c>
      <c r="G22" s="387">
        <v>5108.0749999999998</v>
      </c>
    </row>
    <row r="23" spans="1:7" x14ac:dyDescent="0.2">
      <c r="A23" s="393" t="s">
        <v>895</v>
      </c>
      <c r="B23" s="392">
        <v>0.21528700000000001</v>
      </c>
      <c r="C23" s="392">
        <v>0.223606</v>
      </c>
      <c r="D23" s="392">
        <v>0.22911500000000001</v>
      </c>
      <c r="E23" s="392">
        <v>0.22173300000000001</v>
      </c>
      <c r="F23" s="392">
        <v>0.20696200000000001</v>
      </c>
      <c r="G23" s="392">
        <v>0.202071</v>
      </c>
    </row>
    <row r="24" spans="1:7" x14ac:dyDescent="0.2">
      <c r="A24" s="378"/>
      <c r="B24" s="378"/>
      <c r="C24" s="378"/>
      <c r="D24" s="378"/>
      <c r="E24" s="378"/>
      <c r="F24" s="378"/>
      <c r="G24" s="378"/>
    </row>
    <row r="25" spans="1:7" x14ac:dyDescent="0.2">
      <c r="A25" s="381" t="s">
        <v>653</v>
      </c>
      <c r="B25" s="387">
        <v>2792.6</v>
      </c>
      <c r="C25" s="387">
        <v>3351.1</v>
      </c>
      <c r="D25" s="387">
        <v>3853.7</v>
      </c>
      <c r="E25" s="387">
        <v>3896.8</v>
      </c>
      <c r="F25" s="387">
        <v>3810.1</v>
      </c>
      <c r="G25" s="387">
        <v>3748.1</v>
      </c>
    </row>
    <row r="26" spans="1:7" x14ac:dyDescent="0.2">
      <c r="A26" s="393" t="s">
        <v>895</v>
      </c>
      <c r="B26" s="392">
        <v>0.16978499999999999</v>
      </c>
      <c r="C26" s="392">
        <v>0.174876</v>
      </c>
      <c r="D26" s="392">
        <v>0.18078900000000001</v>
      </c>
      <c r="E26" s="392">
        <v>0.174066</v>
      </c>
      <c r="F26" s="392">
        <v>0.15413299999999999</v>
      </c>
      <c r="G26" s="392">
        <v>0.14827199999999999</v>
      </c>
    </row>
    <row r="27" spans="1:7" x14ac:dyDescent="0.2">
      <c r="A27" s="378"/>
      <c r="B27" s="378"/>
      <c r="C27" s="378"/>
      <c r="D27" s="378"/>
      <c r="E27" s="378"/>
      <c r="F27" s="378"/>
      <c r="G27" s="378"/>
    </row>
    <row r="28" spans="1:7" x14ac:dyDescent="0.2">
      <c r="A28" s="381" t="s">
        <v>896</v>
      </c>
      <c r="B28" s="387">
        <v>2067.6999999999998</v>
      </c>
      <c r="C28" s="387">
        <v>2759.3</v>
      </c>
      <c r="D28" s="387">
        <v>2818.9</v>
      </c>
      <c r="E28" s="387">
        <v>2884.9</v>
      </c>
      <c r="F28" s="387">
        <v>4518</v>
      </c>
      <c r="G28" s="387">
        <v>3028.3</v>
      </c>
    </row>
    <row r="29" spans="1:7" x14ac:dyDescent="0.2">
      <c r="A29" s="393" t="s">
        <v>895</v>
      </c>
      <c r="B29" s="392">
        <v>0.12571199999999999</v>
      </c>
      <c r="C29" s="392">
        <v>0.14399300000000001</v>
      </c>
      <c r="D29" s="392">
        <v>0.132244</v>
      </c>
      <c r="E29" s="392">
        <v>0.12886600000000001</v>
      </c>
      <c r="F29" s="392">
        <v>0.18276999999999999</v>
      </c>
      <c r="G29" s="392">
        <v>0.119797</v>
      </c>
    </row>
    <row r="30" spans="1:7" x14ac:dyDescent="0.2">
      <c r="A30" s="378"/>
      <c r="B30" s="378"/>
      <c r="C30" s="378"/>
      <c r="D30" s="378"/>
      <c r="E30" s="378"/>
      <c r="F30" s="378"/>
      <c r="G30" s="378"/>
    </row>
    <row r="31" spans="1:7" x14ac:dyDescent="0.2">
      <c r="A31" s="381" t="s">
        <v>852</v>
      </c>
      <c r="B31" s="387">
        <v>2068.1</v>
      </c>
      <c r="C31" s="387">
        <v>2757.4</v>
      </c>
      <c r="D31" s="387">
        <v>2817.7</v>
      </c>
      <c r="E31" s="387">
        <v>2884.7</v>
      </c>
      <c r="F31" s="387">
        <v>4518.3</v>
      </c>
      <c r="G31" s="387">
        <v>3028.7</v>
      </c>
    </row>
    <row r="32" spans="1:7" x14ac:dyDescent="0.2">
      <c r="A32" s="393" t="s">
        <v>895</v>
      </c>
      <c r="B32" s="392">
        <v>0.12573699999999999</v>
      </c>
      <c r="C32" s="392">
        <v>0.14389399999999999</v>
      </c>
      <c r="D32" s="392">
        <v>0.132187</v>
      </c>
      <c r="E32" s="392">
        <v>0.128857</v>
      </c>
      <c r="F32" s="392">
        <v>0.182782</v>
      </c>
      <c r="G32" s="392">
        <v>0.119813</v>
      </c>
    </row>
    <row r="33" spans="1:255" x14ac:dyDescent="0.2">
      <c r="A33" s="378"/>
      <c r="B33" s="378"/>
      <c r="C33" s="378"/>
      <c r="D33" s="378"/>
      <c r="E33" s="378"/>
      <c r="F33" s="378"/>
      <c r="G33" s="378"/>
    </row>
    <row r="34" spans="1:255" x14ac:dyDescent="0.2">
      <c r="A34" s="381" t="s">
        <v>894</v>
      </c>
      <c r="B34" s="394">
        <v>1.35</v>
      </c>
      <c r="C34" s="394">
        <v>1.82</v>
      </c>
      <c r="D34" s="394">
        <v>1.9</v>
      </c>
      <c r="E34" s="394">
        <v>1.97</v>
      </c>
      <c r="F34" s="394">
        <v>3.24</v>
      </c>
      <c r="G34" s="394">
        <v>2.2461690000000001</v>
      </c>
    </row>
    <row r="35" spans="1:255" x14ac:dyDescent="0.2">
      <c r="A35" s="393" t="s">
        <v>893</v>
      </c>
      <c r="B35" s="392">
        <v>242.77031400000001</v>
      </c>
      <c r="C35" s="392">
        <v>0.34814800000000001</v>
      </c>
      <c r="D35" s="392">
        <v>4.3956000000000002E-2</v>
      </c>
      <c r="E35" s="392">
        <v>3.6842E-2</v>
      </c>
      <c r="F35" s="392">
        <v>0.64466999999999997</v>
      </c>
      <c r="G35" s="392">
        <v>-0.25536900000000001</v>
      </c>
    </row>
    <row r="36" spans="1:255" x14ac:dyDescent="0.2">
      <c r="A36" s="378"/>
      <c r="B36" s="378"/>
      <c r="C36" s="378"/>
      <c r="D36" s="378"/>
      <c r="E36" s="378"/>
      <c r="F36" s="378"/>
      <c r="G36" s="378"/>
    </row>
    <row r="37" spans="1:255" x14ac:dyDescent="0.2">
      <c r="A37" s="378"/>
      <c r="B37" s="378" t="s">
        <v>571</v>
      </c>
      <c r="C37" s="378" t="s">
        <v>571</v>
      </c>
      <c r="D37" s="378" t="s">
        <v>571</v>
      </c>
      <c r="E37" s="378" t="s">
        <v>571</v>
      </c>
      <c r="F37" s="378" t="s">
        <v>571</v>
      </c>
      <c r="G37" s="378" t="s">
        <v>571</v>
      </c>
    </row>
    <row r="38" spans="1:255" x14ac:dyDescent="0.2">
      <c r="A38" s="378" t="s">
        <v>705</v>
      </c>
      <c r="B38" s="379" t="s">
        <v>704</v>
      </c>
      <c r="C38" s="379" t="s">
        <v>704</v>
      </c>
      <c r="D38" s="379" t="s">
        <v>704</v>
      </c>
      <c r="E38" s="379" t="s">
        <v>704</v>
      </c>
      <c r="F38" s="379" t="s">
        <v>704</v>
      </c>
      <c r="G38" s="379" t="s">
        <v>704</v>
      </c>
    </row>
    <row r="39" spans="1:255" x14ac:dyDescent="0.2">
      <c r="A39" s="378" t="s">
        <v>892</v>
      </c>
      <c r="B39" s="388">
        <v>1</v>
      </c>
      <c r="C39" s="388">
        <v>1</v>
      </c>
      <c r="D39" s="388">
        <v>1</v>
      </c>
      <c r="E39" s="388">
        <v>1</v>
      </c>
      <c r="F39" s="388">
        <v>1</v>
      </c>
      <c r="G39" s="388">
        <v>1</v>
      </c>
    </row>
    <row r="40" spans="1:255" x14ac:dyDescent="0.2">
      <c r="A40" s="378" t="s">
        <v>891</v>
      </c>
      <c r="B40" s="379" t="s">
        <v>890</v>
      </c>
      <c r="C40" s="379" t="s">
        <v>890</v>
      </c>
      <c r="D40" s="379" t="s">
        <v>890</v>
      </c>
      <c r="E40" s="379" t="s">
        <v>890</v>
      </c>
      <c r="F40" s="379" t="s">
        <v>890</v>
      </c>
      <c r="G40" s="379" t="s">
        <v>890</v>
      </c>
    </row>
    <row r="41" spans="1:255" x14ac:dyDescent="0.2">
      <c r="A41" s="377"/>
      <c r="B41" s="377"/>
      <c r="C41" s="377"/>
      <c r="D41" s="377"/>
      <c r="E41" s="377"/>
      <c r="F41" s="377"/>
      <c r="G41" s="377"/>
    </row>
    <row r="42" spans="1:255" x14ac:dyDescent="0.2">
      <c r="A42" s="375" t="s">
        <v>889</v>
      </c>
    </row>
    <row r="43" spans="1:255" x14ac:dyDescent="0.2">
      <c r="A43" s="375" t="s">
        <v>888</v>
      </c>
    </row>
    <row r="45" spans="1:255" x14ac:dyDescent="0.2">
      <c r="A45" s="375" t="s">
        <v>887</v>
      </c>
    </row>
    <row r="47" spans="1:255" x14ac:dyDescent="0.2">
      <c r="A47" s="385" t="s">
        <v>886</v>
      </c>
      <c r="B47" s="385"/>
      <c r="H47" s="384"/>
      <c r="I47" s="384"/>
      <c r="J47" s="384"/>
      <c r="K47" s="384"/>
      <c r="L47" s="384"/>
      <c r="M47" s="384"/>
      <c r="N47" s="384"/>
      <c r="O47" s="384"/>
      <c r="P47" s="384"/>
      <c r="Q47" s="384"/>
      <c r="R47" s="384"/>
      <c r="S47" s="384"/>
      <c r="T47" s="384"/>
      <c r="U47" s="384"/>
      <c r="V47" s="384"/>
      <c r="W47" s="384"/>
      <c r="X47" s="384"/>
      <c r="Y47" s="384"/>
      <c r="Z47" s="384"/>
      <c r="AA47" s="384"/>
      <c r="AB47" s="384"/>
      <c r="AC47" s="384"/>
      <c r="AD47" s="384"/>
      <c r="AE47" s="384"/>
      <c r="AF47" s="384"/>
      <c r="AG47" s="384"/>
      <c r="AH47" s="384"/>
      <c r="AI47" s="384"/>
      <c r="AJ47" s="384"/>
      <c r="AK47" s="384"/>
      <c r="AL47" s="384"/>
      <c r="AM47" s="384"/>
      <c r="AN47" s="384"/>
      <c r="AO47" s="384"/>
      <c r="AP47" s="384"/>
      <c r="AQ47" s="384"/>
      <c r="AR47" s="384"/>
      <c r="AS47" s="384"/>
      <c r="AT47" s="384"/>
      <c r="AU47" s="384"/>
      <c r="AV47" s="384"/>
      <c r="AW47" s="384"/>
      <c r="AX47" s="384"/>
      <c r="AY47" s="384"/>
      <c r="AZ47" s="384"/>
      <c r="BA47" s="384"/>
      <c r="BB47" s="384"/>
      <c r="BC47" s="384"/>
      <c r="BD47" s="384"/>
      <c r="BE47" s="384"/>
      <c r="BF47" s="384"/>
      <c r="BG47" s="384"/>
      <c r="BH47" s="384"/>
      <c r="BI47" s="384"/>
      <c r="BJ47" s="384"/>
      <c r="BK47" s="384"/>
      <c r="BL47" s="384"/>
      <c r="BM47" s="384"/>
      <c r="BN47" s="384"/>
      <c r="BO47" s="384"/>
      <c r="BP47" s="384"/>
      <c r="BQ47" s="384"/>
      <c r="BR47" s="384"/>
      <c r="BS47" s="384"/>
      <c r="BT47" s="384"/>
      <c r="BU47" s="384"/>
      <c r="BV47" s="384"/>
      <c r="BW47" s="384"/>
      <c r="BX47" s="384"/>
      <c r="BY47" s="384"/>
      <c r="BZ47" s="384"/>
      <c r="CA47" s="384"/>
      <c r="CB47" s="384"/>
      <c r="CC47" s="384"/>
      <c r="CD47" s="384"/>
      <c r="CE47" s="384"/>
      <c r="CF47" s="384"/>
      <c r="CG47" s="384"/>
      <c r="CH47" s="384"/>
      <c r="CI47" s="384"/>
      <c r="CJ47" s="384"/>
      <c r="CK47" s="384"/>
      <c r="CL47" s="384"/>
      <c r="CM47" s="384"/>
      <c r="CN47" s="384"/>
      <c r="CO47" s="384"/>
      <c r="CP47" s="384"/>
      <c r="CQ47" s="384"/>
      <c r="CR47" s="384"/>
      <c r="CS47" s="384"/>
      <c r="CT47" s="384"/>
      <c r="CU47" s="384"/>
      <c r="CV47" s="384"/>
      <c r="CW47" s="384"/>
      <c r="CX47" s="384"/>
      <c r="CY47" s="384"/>
      <c r="CZ47" s="384"/>
      <c r="DA47" s="384"/>
      <c r="DB47" s="384"/>
      <c r="DC47" s="384"/>
      <c r="DD47" s="384"/>
      <c r="DE47" s="384"/>
      <c r="DF47" s="384"/>
      <c r="DG47" s="384"/>
      <c r="DH47" s="384"/>
      <c r="DI47" s="384"/>
      <c r="DJ47" s="384"/>
      <c r="DK47" s="384"/>
      <c r="DL47" s="384"/>
      <c r="DM47" s="384"/>
      <c r="DN47" s="384"/>
      <c r="DO47" s="384"/>
      <c r="DP47" s="384"/>
      <c r="DQ47" s="384"/>
      <c r="DR47" s="384"/>
      <c r="DS47" s="384"/>
      <c r="DT47" s="384"/>
      <c r="DU47" s="384"/>
      <c r="DV47" s="384"/>
      <c r="DW47" s="384"/>
      <c r="DX47" s="384"/>
      <c r="DY47" s="384"/>
      <c r="DZ47" s="384"/>
      <c r="EA47" s="384"/>
      <c r="EB47" s="384"/>
      <c r="EC47" s="384"/>
      <c r="ED47" s="384"/>
      <c r="EE47" s="384"/>
      <c r="EF47" s="384"/>
      <c r="EG47" s="384"/>
      <c r="EH47" s="384"/>
      <c r="EI47" s="384"/>
      <c r="EJ47" s="384"/>
      <c r="EK47" s="384"/>
      <c r="EL47" s="384"/>
      <c r="EM47" s="384"/>
      <c r="EN47" s="384"/>
      <c r="EO47" s="384"/>
      <c r="EP47" s="384"/>
      <c r="EQ47" s="384"/>
      <c r="ER47" s="384"/>
      <c r="ES47" s="384"/>
      <c r="ET47" s="384"/>
      <c r="EU47" s="384"/>
      <c r="EV47" s="384"/>
      <c r="EW47" s="384"/>
      <c r="EX47" s="384"/>
      <c r="EY47" s="384"/>
      <c r="EZ47" s="384"/>
      <c r="FA47" s="384"/>
      <c r="FB47" s="384"/>
      <c r="FC47" s="384"/>
      <c r="FD47" s="384"/>
      <c r="FE47" s="384"/>
      <c r="FF47" s="384"/>
      <c r="FG47" s="384"/>
      <c r="FH47" s="384"/>
      <c r="FI47" s="384"/>
      <c r="FJ47" s="384"/>
      <c r="FK47" s="384"/>
      <c r="FL47" s="384"/>
      <c r="FM47" s="384"/>
      <c r="FN47" s="384"/>
      <c r="FO47" s="384"/>
      <c r="FP47" s="384"/>
      <c r="FQ47" s="384"/>
      <c r="FR47" s="384"/>
      <c r="FS47" s="384"/>
      <c r="FT47" s="384"/>
      <c r="FU47" s="384"/>
      <c r="FV47" s="384"/>
      <c r="FW47" s="384"/>
      <c r="FX47" s="384"/>
      <c r="FY47" s="384"/>
      <c r="FZ47" s="384"/>
      <c r="GA47" s="384"/>
      <c r="GB47" s="384"/>
      <c r="GC47" s="384"/>
      <c r="GD47" s="384"/>
      <c r="GE47" s="384"/>
      <c r="GF47" s="384"/>
      <c r="GG47" s="384"/>
      <c r="GH47" s="384"/>
      <c r="GI47" s="384"/>
      <c r="GJ47" s="384"/>
      <c r="GK47" s="384"/>
      <c r="GL47" s="384"/>
      <c r="GM47" s="384"/>
      <c r="GN47" s="384"/>
      <c r="GO47" s="384"/>
      <c r="GP47" s="384"/>
      <c r="GQ47" s="384"/>
      <c r="GR47" s="384"/>
      <c r="GS47" s="384"/>
      <c r="GT47" s="384"/>
      <c r="GU47" s="384"/>
      <c r="GV47" s="384"/>
      <c r="GW47" s="384"/>
      <c r="GX47" s="384"/>
      <c r="GY47" s="384"/>
      <c r="GZ47" s="384"/>
      <c r="HA47" s="384"/>
      <c r="HB47" s="384"/>
      <c r="HC47" s="384"/>
      <c r="HD47" s="384"/>
      <c r="HE47" s="384"/>
      <c r="HF47" s="384"/>
      <c r="HG47" s="384"/>
      <c r="HH47" s="384"/>
      <c r="HI47" s="384"/>
      <c r="HJ47" s="384"/>
      <c r="HK47" s="384"/>
      <c r="HL47" s="384"/>
      <c r="HM47" s="384"/>
      <c r="HN47" s="384"/>
      <c r="HO47" s="384"/>
      <c r="HP47" s="384"/>
      <c r="HQ47" s="384"/>
      <c r="HR47" s="384"/>
      <c r="HS47" s="384"/>
      <c r="HT47" s="384"/>
      <c r="HU47" s="384"/>
      <c r="HV47" s="384"/>
      <c r="HW47" s="384"/>
      <c r="HX47" s="384"/>
      <c r="HY47" s="384"/>
      <c r="HZ47" s="384"/>
      <c r="IA47" s="384"/>
      <c r="IB47" s="384"/>
      <c r="IC47" s="384"/>
      <c r="ID47" s="384"/>
      <c r="IE47" s="384"/>
      <c r="IF47" s="384"/>
      <c r="IG47" s="384"/>
      <c r="IH47" s="384"/>
      <c r="II47" s="384"/>
      <c r="IJ47" s="384"/>
      <c r="IK47" s="384"/>
      <c r="IL47" s="384"/>
      <c r="IM47" s="384"/>
      <c r="IN47" s="384"/>
      <c r="IO47" s="384"/>
      <c r="IP47" s="384"/>
      <c r="IQ47" s="384"/>
      <c r="IR47" s="384"/>
      <c r="IS47" s="384"/>
      <c r="IT47" s="384"/>
      <c r="IU47" s="384"/>
    </row>
    <row r="48" spans="1:255" x14ac:dyDescent="0.2">
      <c r="A48" s="391" t="s">
        <v>705</v>
      </c>
      <c r="B48" s="390" t="s">
        <v>704</v>
      </c>
    </row>
    <row r="49" spans="1:2" x14ac:dyDescent="0.2">
      <c r="A49" s="378" t="s">
        <v>885</v>
      </c>
      <c r="B49" s="389">
        <v>67.040000000000006</v>
      </c>
    </row>
    <row r="50" spans="1:2" x14ac:dyDescent="0.2">
      <c r="A50" s="378" t="s">
        <v>884</v>
      </c>
      <c r="B50" s="388">
        <v>1243.4165170000001</v>
      </c>
    </row>
    <row r="51" spans="1:2" x14ac:dyDescent="0.2">
      <c r="A51" s="378"/>
      <c r="B51" s="378"/>
    </row>
    <row r="52" spans="1:2" x14ac:dyDescent="0.2">
      <c r="A52" s="381" t="s">
        <v>883</v>
      </c>
      <c r="B52" s="387">
        <v>83358.643299000003</v>
      </c>
    </row>
    <row r="53" spans="1:2" x14ac:dyDescent="0.2">
      <c r="A53" s="378" t="s">
        <v>882</v>
      </c>
      <c r="B53" s="388">
        <v>8937.7999999999993</v>
      </c>
    </row>
    <row r="54" spans="1:2" x14ac:dyDescent="0.2">
      <c r="A54" s="378" t="s">
        <v>877</v>
      </c>
      <c r="B54" s="388">
        <v>9493.7000000000007</v>
      </c>
    </row>
    <row r="55" spans="1:2" x14ac:dyDescent="0.2">
      <c r="A55" s="378" t="s">
        <v>879</v>
      </c>
      <c r="B55" s="388" t="s">
        <v>622</v>
      </c>
    </row>
    <row r="56" spans="1:2" x14ac:dyDescent="0.2">
      <c r="A56" s="378" t="s">
        <v>878</v>
      </c>
      <c r="B56" s="388">
        <v>6.3</v>
      </c>
    </row>
    <row r="57" spans="1:2" x14ac:dyDescent="0.2">
      <c r="A57" s="381" t="s">
        <v>881</v>
      </c>
      <c r="B57" s="387">
        <v>83920.843299</v>
      </c>
    </row>
    <row r="58" spans="1:2" x14ac:dyDescent="0.2">
      <c r="A58" s="378"/>
      <c r="B58" s="378"/>
    </row>
    <row r="59" spans="1:2" x14ac:dyDescent="0.2">
      <c r="A59" s="378" t="s">
        <v>880</v>
      </c>
      <c r="B59" s="388">
        <v>1169.5</v>
      </c>
    </row>
    <row r="60" spans="1:2" x14ac:dyDescent="0.2">
      <c r="A60" s="378" t="s">
        <v>879</v>
      </c>
      <c r="B60" s="388" t="s">
        <v>622</v>
      </c>
    </row>
    <row r="61" spans="1:2" x14ac:dyDescent="0.2">
      <c r="A61" s="378" t="s">
        <v>878</v>
      </c>
      <c r="B61" s="388">
        <v>6.3</v>
      </c>
    </row>
    <row r="62" spans="1:2" x14ac:dyDescent="0.2">
      <c r="A62" s="378" t="s">
        <v>877</v>
      </c>
      <c r="B62" s="388">
        <v>9493.7000000000007</v>
      </c>
    </row>
    <row r="63" spans="1:2" x14ac:dyDescent="0.2">
      <c r="A63" s="381" t="s">
        <v>876</v>
      </c>
      <c r="B63" s="387">
        <v>10669.5</v>
      </c>
    </row>
    <row r="64" spans="1:2" x14ac:dyDescent="0.2">
      <c r="A64" s="378"/>
      <c r="B64" s="378"/>
    </row>
    <row r="65" spans="1:255" ht="78.75" x14ac:dyDescent="0.2">
      <c r="A65" s="377" t="s">
        <v>875</v>
      </c>
      <c r="B65" s="377"/>
    </row>
    <row r="67" spans="1:255" ht="200.1" customHeight="1" x14ac:dyDescent="0.2">
      <c r="A67" s="386"/>
    </row>
    <row r="69" spans="1:255" x14ac:dyDescent="0.2">
      <c r="A69" s="375" t="s">
        <v>874</v>
      </c>
    </row>
    <row r="70" spans="1:255" x14ac:dyDescent="0.2">
      <c r="A70" s="375" t="s">
        <v>873</v>
      </c>
    </row>
    <row r="71" spans="1:255" x14ac:dyDescent="0.2">
      <c r="A71" s="375" t="s">
        <v>872</v>
      </c>
    </row>
    <row r="72" spans="1:255" x14ac:dyDescent="0.2">
      <c r="A72" s="375" t="s">
        <v>871</v>
      </c>
    </row>
    <row r="74" spans="1:255" x14ac:dyDescent="0.2">
      <c r="A74" s="385" t="s">
        <v>870</v>
      </c>
      <c r="B74" s="385"/>
      <c r="C74" s="385"/>
      <c r="D74" s="385"/>
      <c r="E74" s="385"/>
      <c r="F74" s="385"/>
      <c r="H74" s="384"/>
      <c r="I74" s="384"/>
      <c r="J74" s="384"/>
      <c r="K74" s="384"/>
      <c r="L74" s="384"/>
      <c r="M74" s="384"/>
      <c r="N74" s="384"/>
      <c r="O74" s="384"/>
      <c r="P74" s="384"/>
      <c r="Q74" s="384"/>
      <c r="R74" s="384"/>
      <c r="S74" s="384"/>
      <c r="T74" s="384"/>
      <c r="U74" s="384"/>
      <c r="V74" s="384"/>
      <c r="W74" s="384"/>
      <c r="X74" s="384"/>
      <c r="Y74" s="384"/>
      <c r="Z74" s="384"/>
      <c r="AA74" s="384"/>
      <c r="AB74" s="384"/>
      <c r="AC74" s="384"/>
      <c r="AD74" s="384"/>
      <c r="AE74" s="384"/>
      <c r="AF74" s="384"/>
      <c r="AG74" s="384"/>
      <c r="AH74" s="384"/>
      <c r="AI74" s="384"/>
      <c r="AJ74" s="384"/>
      <c r="AK74" s="384"/>
      <c r="AL74" s="384"/>
      <c r="AM74" s="384"/>
      <c r="AN74" s="384"/>
      <c r="AO74" s="384"/>
      <c r="AP74" s="384"/>
      <c r="AQ74" s="384"/>
      <c r="AR74" s="384"/>
      <c r="AS74" s="384"/>
      <c r="AT74" s="384"/>
      <c r="AU74" s="384"/>
      <c r="AV74" s="384"/>
      <c r="AW74" s="384"/>
      <c r="AX74" s="384"/>
      <c r="AY74" s="384"/>
      <c r="AZ74" s="384"/>
      <c r="BA74" s="384"/>
      <c r="BB74" s="384"/>
      <c r="BC74" s="384"/>
      <c r="BD74" s="384"/>
      <c r="BE74" s="384"/>
      <c r="BF74" s="384"/>
      <c r="BG74" s="384"/>
      <c r="BH74" s="384"/>
      <c r="BI74" s="384"/>
      <c r="BJ74" s="384"/>
      <c r="BK74" s="384"/>
      <c r="BL74" s="384"/>
      <c r="BM74" s="384"/>
      <c r="BN74" s="384"/>
      <c r="BO74" s="384"/>
      <c r="BP74" s="384"/>
      <c r="BQ74" s="384"/>
      <c r="BR74" s="384"/>
      <c r="BS74" s="384"/>
      <c r="BT74" s="384"/>
      <c r="BU74" s="384"/>
      <c r="BV74" s="384"/>
      <c r="BW74" s="384"/>
      <c r="BX74" s="384"/>
      <c r="BY74" s="384"/>
      <c r="BZ74" s="384"/>
      <c r="CA74" s="384"/>
      <c r="CB74" s="384"/>
      <c r="CC74" s="384"/>
      <c r="CD74" s="384"/>
      <c r="CE74" s="384"/>
      <c r="CF74" s="384"/>
      <c r="CG74" s="384"/>
      <c r="CH74" s="384"/>
      <c r="CI74" s="384"/>
      <c r="CJ74" s="384"/>
      <c r="CK74" s="384"/>
      <c r="CL74" s="384"/>
      <c r="CM74" s="384"/>
      <c r="CN74" s="384"/>
      <c r="CO74" s="384"/>
      <c r="CP74" s="384"/>
      <c r="CQ74" s="384"/>
      <c r="CR74" s="384"/>
      <c r="CS74" s="384"/>
      <c r="CT74" s="384"/>
      <c r="CU74" s="384"/>
      <c r="CV74" s="384"/>
      <c r="CW74" s="384"/>
      <c r="CX74" s="384"/>
      <c r="CY74" s="384"/>
      <c r="CZ74" s="384"/>
      <c r="DA74" s="384"/>
      <c r="DB74" s="384"/>
      <c r="DC74" s="384"/>
      <c r="DD74" s="384"/>
      <c r="DE74" s="384"/>
      <c r="DF74" s="384"/>
      <c r="DG74" s="384"/>
      <c r="DH74" s="384"/>
      <c r="DI74" s="384"/>
      <c r="DJ74" s="384"/>
      <c r="DK74" s="384"/>
      <c r="DL74" s="384"/>
      <c r="DM74" s="384"/>
      <c r="DN74" s="384"/>
      <c r="DO74" s="384"/>
      <c r="DP74" s="384"/>
      <c r="DQ74" s="384"/>
      <c r="DR74" s="384"/>
      <c r="DS74" s="384"/>
      <c r="DT74" s="384"/>
      <c r="DU74" s="384"/>
      <c r="DV74" s="384"/>
      <c r="DW74" s="384"/>
      <c r="DX74" s="384"/>
      <c r="DY74" s="384"/>
      <c r="DZ74" s="384"/>
      <c r="EA74" s="384"/>
      <c r="EB74" s="384"/>
      <c r="EC74" s="384"/>
      <c r="ED74" s="384"/>
      <c r="EE74" s="384"/>
      <c r="EF74" s="384"/>
      <c r="EG74" s="384"/>
      <c r="EH74" s="384"/>
      <c r="EI74" s="384"/>
      <c r="EJ74" s="384"/>
      <c r="EK74" s="384"/>
      <c r="EL74" s="384"/>
      <c r="EM74" s="384"/>
      <c r="EN74" s="384"/>
      <c r="EO74" s="384"/>
      <c r="EP74" s="384"/>
      <c r="EQ74" s="384"/>
      <c r="ER74" s="384"/>
      <c r="ES74" s="384"/>
      <c r="ET74" s="384"/>
      <c r="EU74" s="384"/>
      <c r="EV74" s="384"/>
      <c r="EW74" s="384"/>
      <c r="EX74" s="384"/>
      <c r="EY74" s="384"/>
      <c r="EZ74" s="384"/>
      <c r="FA74" s="384"/>
      <c r="FB74" s="384"/>
      <c r="FC74" s="384"/>
      <c r="FD74" s="384"/>
      <c r="FE74" s="384"/>
      <c r="FF74" s="384"/>
      <c r="FG74" s="384"/>
      <c r="FH74" s="384"/>
      <c r="FI74" s="384"/>
      <c r="FJ74" s="384"/>
      <c r="FK74" s="384"/>
      <c r="FL74" s="384"/>
      <c r="FM74" s="384"/>
      <c r="FN74" s="384"/>
      <c r="FO74" s="384"/>
      <c r="FP74" s="384"/>
      <c r="FQ74" s="384"/>
      <c r="FR74" s="384"/>
      <c r="FS74" s="384"/>
      <c r="FT74" s="384"/>
      <c r="FU74" s="384"/>
      <c r="FV74" s="384"/>
      <c r="FW74" s="384"/>
      <c r="FX74" s="384"/>
      <c r="FY74" s="384"/>
      <c r="FZ74" s="384"/>
      <c r="GA74" s="384"/>
      <c r="GB74" s="384"/>
      <c r="GC74" s="384"/>
      <c r="GD74" s="384"/>
      <c r="GE74" s="384"/>
      <c r="GF74" s="384"/>
      <c r="GG74" s="384"/>
      <c r="GH74" s="384"/>
      <c r="GI74" s="384"/>
      <c r="GJ74" s="384"/>
      <c r="GK74" s="384"/>
      <c r="GL74" s="384"/>
      <c r="GM74" s="384"/>
      <c r="GN74" s="384"/>
      <c r="GO74" s="384"/>
      <c r="GP74" s="384"/>
      <c r="GQ74" s="384"/>
      <c r="GR74" s="384"/>
      <c r="GS74" s="384"/>
      <c r="GT74" s="384"/>
      <c r="GU74" s="384"/>
      <c r="GV74" s="384"/>
      <c r="GW74" s="384"/>
      <c r="GX74" s="384"/>
      <c r="GY74" s="384"/>
      <c r="GZ74" s="384"/>
      <c r="HA74" s="384"/>
      <c r="HB74" s="384"/>
      <c r="HC74" s="384"/>
      <c r="HD74" s="384"/>
      <c r="HE74" s="384"/>
      <c r="HF74" s="384"/>
      <c r="HG74" s="384"/>
      <c r="HH74" s="384"/>
      <c r="HI74" s="384"/>
      <c r="HJ74" s="384"/>
      <c r="HK74" s="384"/>
      <c r="HL74" s="384"/>
      <c r="HM74" s="384"/>
      <c r="HN74" s="384"/>
      <c r="HO74" s="384"/>
      <c r="HP74" s="384"/>
      <c r="HQ74" s="384"/>
      <c r="HR74" s="384"/>
      <c r="HS74" s="384"/>
      <c r="HT74" s="384"/>
      <c r="HU74" s="384"/>
      <c r="HV74" s="384"/>
      <c r="HW74" s="384"/>
      <c r="HX74" s="384"/>
      <c r="HY74" s="384"/>
      <c r="HZ74" s="384"/>
      <c r="IA74" s="384"/>
      <c r="IB74" s="384"/>
      <c r="IC74" s="384"/>
      <c r="ID74" s="384"/>
      <c r="IE74" s="384"/>
      <c r="IF74" s="384"/>
      <c r="IG74" s="384"/>
      <c r="IH74" s="384"/>
      <c r="II74" s="384"/>
      <c r="IJ74" s="384"/>
      <c r="IK74" s="384"/>
      <c r="IL74" s="384"/>
      <c r="IM74" s="384"/>
      <c r="IN74" s="384"/>
      <c r="IO74" s="384"/>
      <c r="IP74" s="384"/>
      <c r="IQ74" s="384"/>
      <c r="IR74" s="384"/>
      <c r="IS74" s="384"/>
      <c r="IT74" s="384"/>
      <c r="IU74" s="384"/>
    </row>
    <row r="75" spans="1:255" ht="45" x14ac:dyDescent="0.2">
      <c r="A75" s="383" t="s">
        <v>712</v>
      </c>
      <c r="B75" s="382" t="s">
        <v>869</v>
      </c>
      <c r="C75" s="382" t="s">
        <v>868</v>
      </c>
      <c r="D75" s="382" t="s">
        <v>867</v>
      </c>
      <c r="E75" s="382" t="s">
        <v>866</v>
      </c>
      <c r="F75" s="382" t="s">
        <v>865</v>
      </c>
    </row>
    <row r="76" spans="1:255" x14ac:dyDescent="0.2">
      <c r="A76" s="381" t="s">
        <v>864</v>
      </c>
      <c r="B76" s="380">
        <v>4.3793850000000001</v>
      </c>
      <c r="C76" s="380">
        <v>3.9370059999999998</v>
      </c>
      <c r="D76" s="380">
        <v>3.748675</v>
      </c>
      <c r="E76" s="380">
        <v>3.3949240000000001</v>
      </c>
      <c r="F76" s="380">
        <v>3.3198500000000002</v>
      </c>
    </row>
    <row r="77" spans="1:255" x14ac:dyDescent="0.2">
      <c r="A77" s="378"/>
      <c r="B77" s="378"/>
      <c r="C77" s="378"/>
      <c r="D77" s="378"/>
      <c r="E77" s="378"/>
      <c r="F77" s="378"/>
    </row>
    <row r="78" spans="1:255" x14ac:dyDescent="0.2">
      <c r="A78" s="381" t="s">
        <v>863</v>
      </c>
      <c r="B78" s="380">
        <v>18.505963000000001</v>
      </c>
      <c r="C78" s="380">
        <v>16.132418000000001</v>
      </c>
      <c r="D78" s="380">
        <v>15.670614</v>
      </c>
      <c r="E78" s="380">
        <v>15.491553</v>
      </c>
      <c r="F78" s="380">
        <v>15.576447999999999</v>
      </c>
    </row>
    <row r="79" spans="1:255" x14ac:dyDescent="0.2">
      <c r="A79" s="378"/>
      <c r="B79" s="378"/>
      <c r="C79" s="378"/>
      <c r="D79" s="378"/>
      <c r="E79" s="378"/>
      <c r="F79" s="378"/>
    </row>
    <row r="80" spans="1:255" x14ac:dyDescent="0.2">
      <c r="A80" s="381" t="s">
        <v>862</v>
      </c>
      <c r="B80" s="380">
        <v>23.304870999999999</v>
      </c>
      <c r="C80" s="380">
        <v>20.115736999999999</v>
      </c>
      <c r="D80" s="380">
        <v>19.570179</v>
      </c>
      <c r="E80" s="380">
        <v>20.412240000000001</v>
      </c>
      <c r="F80" s="380">
        <v>20.835922</v>
      </c>
    </row>
    <row r="81" spans="1:6" x14ac:dyDescent="0.2">
      <c r="A81" s="378"/>
      <c r="B81" s="378"/>
      <c r="C81" s="378"/>
      <c r="D81" s="378"/>
      <c r="E81" s="378"/>
      <c r="F81" s="378"/>
    </row>
    <row r="82" spans="1:6" x14ac:dyDescent="0.2">
      <c r="A82" s="381" t="s">
        <v>861</v>
      </c>
      <c r="B82" s="380">
        <v>36.835163999999999</v>
      </c>
      <c r="C82" s="380">
        <v>35.284210000000002</v>
      </c>
      <c r="D82" s="380">
        <v>34.030456000000001</v>
      </c>
      <c r="E82" s="380">
        <v>20.691358000000001</v>
      </c>
      <c r="F82" s="380">
        <v>29.846373</v>
      </c>
    </row>
    <row r="83" spans="1:6" x14ac:dyDescent="0.2">
      <c r="A83" s="378"/>
      <c r="B83" s="378"/>
      <c r="C83" s="378"/>
      <c r="D83" s="378"/>
      <c r="E83" s="378"/>
      <c r="F83" s="378"/>
    </row>
    <row r="84" spans="1:6" x14ac:dyDescent="0.2">
      <c r="A84" s="381" t="s">
        <v>860</v>
      </c>
      <c r="B84" s="380">
        <v>17.1126</v>
      </c>
      <c r="C84" s="380">
        <v>16.640367999999999</v>
      </c>
      <c r="D84" s="380">
        <v>17.609670999999999</v>
      </c>
      <c r="E84" s="380">
        <v>75.042451999999997</v>
      </c>
      <c r="F84" s="380">
        <v>75.042451999999997</v>
      </c>
    </row>
    <row r="85" spans="1:6" x14ac:dyDescent="0.2">
      <c r="A85" s="378"/>
      <c r="B85" s="378"/>
      <c r="C85" s="378"/>
      <c r="D85" s="378"/>
      <c r="E85" s="378"/>
      <c r="F85" s="378"/>
    </row>
    <row r="86" spans="1:6" x14ac:dyDescent="0.2">
      <c r="A86" s="381" t="s">
        <v>859</v>
      </c>
      <c r="B86" s="380">
        <v>26.747921000000002</v>
      </c>
      <c r="C86" s="380">
        <v>26.839155999999999</v>
      </c>
      <c r="D86" s="380">
        <v>27.662334000000001</v>
      </c>
      <c r="E86" s="379" t="s">
        <v>858</v>
      </c>
      <c r="F86" s="379" t="s">
        <v>858</v>
      </c>
    </row>
    <row r="87" spans="1:6" x14ac:dyDescent="0.2">
      <c r="A87" s="378"/>
      <c r="B87" s="378"/>
      <c r="C87" s="378"/>
      <c r="D87" s="378"/>
      <c r="E87" s="378"/>
      <c r="F87" s="378"/>
    </row>
    <row r="88" spans="1:6" x14ac:dyDescent="0.2">
      <c r="A88" s="377"/>
      <c r="B88" s="377"/>
      <c r="C88" s="377"/>
      <c r="D88" s="377"/>
      <c r="E88" s="377"/>
      <c r="F88" s="377"/>
    </row>
    <row r="89" spans="1:6" x14ac:dyDescent="0.2">
      <c r="A89" s="376" t="s">
        <v>617</v>
      </c>
    </row>
  </sheetData>
  <pageMargins left="0.2" right="0.2" top="0.5" bottom="0.5" header="0.5" footer="0.5"/>
  <pageSetup fitToWidth="0" fitToHeight="0" orientation="landscape" horizontalDpi="0" verticalDpi="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0C1D8-838C-45DF-A68F-F5780E6AD5A9}">
  <sheetPr codeName="Sheet10">
    <outlinePr summaryBelow="0" summaryRight="0"/>
    <pageSetUpPr autoPageBreaks="0"/>
  </sheetPr>
  <dimension ref="A5:IU160"/>
  <sheetViews>
    <sheetView topLeftCell="A10" workbookViewId="0">
      <selection activeCell="B83" sqref="B83"/>
    </sheetView>
  </sheetViews>
  <sheetFormatPr defaultRowHeight="11.25" x14ac:dyDescent="0.2"/>
  <cols>
    <col min="1" max="1" width="40.125" style="375" customWidth="1"/>
    <col min="2" max="7" width="13" style="375" customWidth="1"/>
    <col min="8" max="16384" width="9" style="375"/>
  </cols>
  <sheetData>
    <row r="5" spans="1:255" ht="15.75" x14ac:dyDescent="0.2">
      <c r="A5" s="399" t="s">
        <v>973</v>
      </c>
    </row>
    <row r="7" spans="1:255" x14ac:dyDescent="0.2">
      <c r="A7" s="396"/>
      <c r="B7" s="395" t="s">
        <v>727</v>
      </c>
      <c r="C7" s="375" t="s">
        <v>726</v>
      </c>
      <c r="D7" s="396" t="s">
        <v>716</v>
      </c>
      <c r="E7" s="395" t="s">
        <v>725</v>
      </c>
      <c r="F7" s="375" t="s">
        <v>724</v>
      </c>
    </row>
    <row r="8" spans="1:255" x14ac:dyDescent="0.2">
      <c r="A8" s="396"/>
      <c r="B8" s="395" t="s">
        <v>723</v>
      </c>
      <c r="C8" s="375" t="s">
        <v>722</v>
      </c>
      <c r="D8" s="396" t="s">
        <v>716</v>
      </c>
      <c r="E8" s="395" t="s">
        <v>715</v>
      </c>
      <c r="F8" s="397" t="s">
        <v>714</v>
      </c>
    </row>
    <row r="11" spans="1:255" x14ac:dyDescent="0.2">
      <c r="A11" s="385" t="s">
        <v>972</v>
      </c>
      <c r="B11" s="385"/>
      <c r="C11" s="385"/>
      <c r="D11" s="385"/>
      <c r="E11" s="385"/>
      <c r="F11" s="385"/>
      <c r="G11" s="385"/>
      <c r="H11" s="384"/>
      <c r="I11" s="384"/>
      <c r="J11" s="384"/>
      <c r="K11" s="384"/>
      <c r="L11" s="384"/>
      <c r="M11" s="384"/>
      <c r="N11" s="384"/>
      <c r="O11" s="384"/>
      <c r="P11" s="384"/>
      <c r="Q11" s="384"/>
      <c r="R11" s="384"/>
      <c r="S11" s="384"/>
      <c r="T11" s="384"/>
      <c r="U11" s="384"/>
      <c r="V11" s="384"/>
      <c r="W11" s="384"/>
      <c r="X11" s="384"/>
      <c r="Y11" s="384"/>
      <c r="Z11" s="384"/>
      <c r="AA11" s="384"/>
      <c r="AB11" s="384"/>
      <c r="AC11" s="384"/>
      <c r="AD11" s="384"/>
      <c r="AE11" s="384"/>
      <c r="AF11" s="384"/>
      <c r="AG11" s="384"/>
      <c r="AH11" s="384"/>
      <c r="AI11" s="384"/>
      <c r="AJ11" s="384"/>
      <c r="AK11" s="384"/>
      <c r="AL11" s="384"/>
      <c r="AM11" s="384"/>
      <c r="AN11" s="384"/>
      <c r="AO11" s="384"/>
      <c r="AP11" s="384"/>
      <c r="AQ11" s="384"/>
      <c r="AR11" s="384"/>
      <c r="AS11" s="384"/>
      <c r="AT11" s="384"/>
      <c r="AU11" s="384"/>
      <c r="AV11" s="384"/>
      <c r="AW11" s="384"/>
      <c r="AX11" s="384"/>
      <c r="AY11" s="384"/>
      <c r="AZ11" s="384"/>
      <c r="BA11" s="384"/>
      <c r="BB11" s="384"/>
      <c r="BC11" s="384"/>
      <c r="BD11" s="384"/>
      <c r="BE11" s="384"/>
      <c r="BF11" s="384"/>
      <c r="BG11" s="384"/>
      <c r="BH11" s="384"/>
      <c r="BI11" s="384"/>
      <c r="BJ11" s="384"/>
      <c r="BK11" s="384"/>
      <c r="BL11" s="384"/>
      <c r="BM11" s="384"/>
      <c r="BN11" s="384"/>
      <c r="BO11" s="384"/>
      <c r="BP11" s="384"/>
      <c r="BQ11" s="384"/>
      <c r="BR11" s="384"/>
      <c r="BS11" s="384"/>
      <c r="BT11" s="384"/>
      <c r="BU11" s="384"/>
      <c r="BV11" s="384"/>
      <c r="BW11" s="384"/>
      <c r="BX11" s="384"/>
      <c r="BY11" s="384"/>
      <c r="BZ11" s="384"/>
      <c r="CA11" s="384"/>
      <c r="CB11" s="384"/>
      <c r="CC11" s="384"/>
      <c r="CD11" s="384"/>
      <c r="CE11" s="384"/>
      <c r="CF11" s="384"/>
      <c r="CG11" s="384"/>
      <c r="CH11" s="384"/>
      <c r="CI11" s="384"/>
      <c r="CJ11" s="384"/>
      <c r="CK11" s="384"/>
      <c r="CL11" s="384"/>
      <c r="CM11" s="384"/>
      <c r="CN11" s="384"/>
      <c r="CO11" s="384"/>
      <c r="CP11" s="384"/>
      <c r="CQ11" s="384"/>
      <c r="CR11" s="384"/>
      <c r="CS11" s="384"/>
      <c r="CT11" s="384"/>
      <c r="CU11" s="384"/>
      <c r="CV11" s="384"/>
      <c r="CW11" s="384"/>
      <c r="CX11" s="384"/>
      <c r="CY11" s="384"/>
      <c r="CZ11" s="384"/>
      <c r="DA11" s="384"/>
      <c r="DB11" s="384"/>
      <c r="DC11" s="384"/>
      <c r="DD11" s="384"/>
      <c r="DE11" s="384"/>
      <c r="DF11" s="384"/>
      <c r="DG11" s="384"/>
      <c r="DH11" s="384"/>
      <c r="DI11" s="384"/>
      <c r="DJ11" s="384"/>
      <c r="DK11" s="384"/>
      <c r="DL11" s="384"/>
      <c r="DM11" s="384"/>
      <c r="DN11" s="384"/>
      <c r="DO11" s="384"/>
      <c r="DP11" s="384"/>
      <c r="DQ11" s="384"/>
      <c r="DR11" s="384"/>
      <c r="DS11" s="384"/>
      <c r="DT11" s="384"/>
      <c r="DU11" s="384"/>
      <c r="DV11" s="384"/>
      <c r="DW11" s="384"/>
      <c r="DX11" s="384"/>
      <c r="DY11" s="384"/>
      <c r="DZ11" s="384"/>
      <c r="EA11" s="384"/>
      <c r="EB11" s="384"/>
      <c r="EC11" s="384"/>
      <c r="ED11" s="384"/>
      <c r="EE11" s="384"/>
      <c r="EF11" s="384"/>
      <c r="EG11" s="384"/>
      <c r="EH11" s="384"/>
      <c r="EI11" s="384"/>
      <c r="EJ11" s="384"/>
      <c r="EK11" s="384"/>
      <c r="EL11" s="384"/>
      <c r="EM11" s="384"/>
      <c r="EN11" s="384"/>
      <c r="EO11" s="384"/>
      <c r="EP11" s="384"/>
      <c r="EQ11" s="384"/>
      <c r="ER11" s="384"/>
      <c r="ES11" s="384"/>
      <c r="ET11" s="384"/>
      <c r="EU11" s="384"/>
      <c r="EV11" s="384"/>
      <c r="EW11" s="384"/>
      <c r="EX11" s="384"/>
      <c r="EY11" s="384"/>
      <c r="EZ11" s="384"/>
      <c r="FA11" s="384"/>
      <c r="FB11" s="384"/>
      <c r="FC11" s="384"/>
      <c r="FD11" s="384"/>
      <c r="FE11" s="384"/>
      <c r="FF11" s="384"/>
      <c r="FG11" s="384"/>
      <c r="FH11" s="384"/>
      <c r="FI11" s="384"/>
      <c r="FJ11" s="384"/>
      <c r="FK11" s="384"/>
      <c r="FL11" s="384"/>
      <c r="FM11" s="384"/>
      <c r="FN11" s="384"/>
      <c r="FO11" s="384"/>
      <c r="FP11" s="384"/>
      <c r="FQ11" s="384"/>
      <c r="FR11" s="384"/>
      <c r="FS11" s="384"/>
      <c r="FT11" s="384"/>
      <c r="FU11" s="384"/>
      <c r="FV11" s="384"/>
      <c r="FW11" s="384"/>
      <c r="FX11" s="384"/>
      <c r="FY11" s="384"/>
      <c r="FZ11" s="384"/>
      <c r="GA11" s="384"/>
      <c r="GB11" s="384"/>
      <c r="GC11" s="384"/>
      <c r="GD11" s="384"/>
      <c r="GE11" s="384"/>
      <c r="GF11" s="384"/>
      <c r="GG11" s="384"/>
      <c r="GH11" s="384"/>
      <c r="GI11" s="384"/>
      <c r="GJ11" s="384"/>
      <c r="GK11" s="384"/>
      <c r="GL11" s="384"/>
      <c r="GM11" s="384"/>
      <c r="GN11" s="384"/>
      <c r="GO11" s="384"/>
      <c r="GP11" s="384"/>
      <c r="GQ11" s="384"/>
      <c r="GR11" s="384"/>
      <c r="GS11" s="384"/>
      <c r="GT11" s="384"/>
      <c r="GU11" s="384"/>
      <c r="GV11" s="384"/>
      <c r="GW11" s="384"/>
      <c r="GX11" s="384"/>
      <c r="GY11" s="384"/>
      <c r="GZ11" s="384"/>
      <c r="HA11" s="384"/>
      <c r="HB11" s="384"/>
      <c r="HC11" s="384"/>
      <c r="HD11" s="384"/>
      <c r="HE11" s="384"/>
      <c r="HF11" s="384"/>
      <c r="HG11" s="384"/>
      <c r="HH11" s="384"/>
      <c r="HI11" s="384"/>
      <c r="HJ11" s="384"/>
      <c r="HK11" s="384"/>
      <c r="HL11" s="384"/>
      <c r="HM11" s="384"/>
      <c r="HN11" s="384"/>
      <c r="HO11" s="384"/>
      <c r="HP11" s="384"/>
      <c r="HQ11" s="384"/>
      <c r="HR11" s="384"/>
      <c r="HS11" s="384"/>
      <c r="HT11" s="384"/>
      <c r="HU11" s="384"/>
      <c r="HV11" s="384"/>
      <c r="HW11" s="384"/>
      <c r="HX11" s="384"/>
      <c r="HY11" s="384"/>
      <c r="HZ11" s="384"/>
      <c r="IA11" s="384"/>
      <c r="IB11" s="384"/>
      <c r="IC11" s="384"/>
      <c r="ID11" s="384"/>
      <c r="IE11" s="384"/>
      <c r="IF11" s="384"/>
      <c r="IG11" s="384"/>
      <c r="IH11" s="384"/>
      <c r="II11" s="384"/>
      <c r="IJ11" s="384"/>
      <c r="IK11" s="384"/>
      <c r="IL11" s="384"/>
      <c r="IM11" s="384"/>
      <c r="IN11" s="384"/>
      <c r="IO11" s="384"/>
      <c r="IP11" s="384"/>
      <c r="IQ11" s="384"/>
      <c r="IR11" s="384"/>
      <c r="IS11" s="384"/>
      <c r="IT11" s="384"/>
      <c r="IU11" s="384"/>
    </row>
    <row r="12" spans="1:255" ht="45" x14ac:dyDescent="0.2">
      <c r="A12" s="383" t="s">
        <v>712</v>
      </c>
      <c r="B12" s="382" t="s">
        <v>711</v>
      </c>
      <c r="C12" s="382" t="s">
        <v>855</v>
      </c>
      <c r="D12" s="382" t="s">
        <v>971</v>
      </c>
      <c r="E12" s="382" t="s">
        <v>970</v>
      </c>
      <c r="F12" s="382" t="s">
        <v>707</v>
      </c>
      <c r="G12" s="382" t="s">
        <v>706</v>
      </c>
    </row>
    <row r="13" spans="1:255" x14ac:dyDescent="0.2">
      <c r="A13" s="381" t="s">
        <v>969</v>
      </c>
      <c r="B13" s="378"/>
      <c r="C13" s="378"/>
      <c r="D13" s="378"/>
      <c r="E13" s="378"/>
      <c r="F13" s="378"/>
      <c r="G13" s="378"/>
    </row>
    <row r="14" spans="1:255" x14ac:dyDescent="0.2">
      <c r="A14" s="378" t="s">
        <v>968</v>
      </c>
      <c r="B14" s="401">
        <v>0.156749</v>
      </c>
      <c r="C14" s="401">
        <v>0.18079400000000001</v>
      </c>
      <c r="D14" s="401">
        <v>0.18022199999999999</v>
      </c>
      <c r="E14" s="401">
        <v>0.16985</v>
      </c>
      <c r="F14" s="401">
        <v>0.12363300000000001</v>
      </c>
      <c r="G14" s="379" t="s">
        <v>625</v>
      </c>
    </row>
    <row r="15" spans="1:255" x14ac:dyDescent="0.2">
      <c r="A15" s="378" t="s">
        <v>967</v>
      </c>
      <c r="B15" s="401">
        <v>0.26639400000000002</v>
      </c>
      <c r="C15" s="401">
        <v>0.27043600000000001</v>
      </c>
      <c r="D15" s="401">
        <v>0.27302999999999999</v>
      </c>
      <c r="E15" s="401">
        <v>0.25819599999999998</v>
      </c>
      <c r="F15" s="401">
        <v>0.237429</v>
      </c>
      <c r="G15" s="401">
        <v>0.219497</v>
      </c>
    </row>
    <row r="16" spans="1:255" x14ac:dyDescent="0.2">
      <c r="A16" s="378" t="s">
        <v>966</v>
      </c>
      <c r="B16" s="401">
        <v>0.42388199999999998</v>
      </c>
      <c r="C16" s="401">
        <v>0.49746200000000002</v>
      </c>
      <c r="D16" s="401">
        <v>0.481431</v>
      </c>
      <c r="E16" s="401">
        <v>0.50845499999999999</v>
      </c>
      <c r="F16" s="401">
        <v>1.36232</v>
      </c>
      <c r="G16" s="379" t="s">
        <v>625</v>
      </c>
    </row>
    <row r="17" spans="1:7" x14ac:dyDescent="0.2">
      <c r="A17" s="378" t="s">
        <v>965</v>
      </c>
      <c r="B17" s="401">
        <v>0.42412899999999998</v>
      </c>
      <c r="C17" s="401">
        <v>0.497276</v>
      </c>
      <c r="D17" s="401">
        <v>0.48157499999999998</v>
      </c>
      <c r="E17" s="401">
        <v>0.50902999999999998</v>
      </c>
      <c r="F17" s="401">
        <v>1.365127</v>
      </c>
      <c r="G17" s="401">
        <v>0.87514400000000003</v>
      </c>
    </row>
    <row r="18" spans="1:7" x14ac:dyDescent="0.2">
      <c r="A18" s="378"/>
      <c r="B18" s="378"/>
      <c r="C18" s="378"/>
      <c r="D18" s="378"/>
      <c r="E18" s="378"/>
      <c r="F18" s="378"/>
      <c r="G18" s="378"/>
    </row>
    <row r="19" spans="1:7" x14ac:dyDescent="0.2">
      <c r="A19" s="381" t="s">
        <v>964</v>
      </c>
      <c r="B19" s="378"/>
      <c r="C19" s="378"/>
      <c r="D19" s="378"/>
      <c r="E19" s="378"/>
      <c r="F19" s="378"/>
      <c r="G19" s="378"/>
    </row>
    <row r="20" spans="1:7" x14ac:dyDescent="0.2">
      <c r="A20" s="378" t="s">
        <v>963</v>
      </c>
      <c r="B20" s="401">
        <v>0.30099999999999999</v>
      </c>
      <c r="C20" s="401">
        <v>0.31123400000000001</v>
      </c>
      <c r="D20" s="401">
        <v>0.31631700000000001</v>
      </c>
      <c r="E20" s="401">
        <v>0.306394</v>
      </c>
      <c r="F20" s="401">
        <v>0.29740800000000001</v>
      </c>
      <c r="G20" s="401">
        <v>0.29269899999999999</v>
      </c>
    </row>
    <row r="21" spans="1:7" x14ac:dyDescent="0.2">
      <c r="A21" s="378" t="s">
        <v>962</v>
      </c>
      <c r="B21" s="401">
        <v>6.7358000000000001E-2</v>
      </c>
      <c r="C21" s="401">
        <v>6.2448999999999998E-2</v>
      </c>
      <c r="D21" s="401">
        <v>6.6096000000000002E-2</v>
      </c>
      <c r="E21" s="401">
        <v>6.4800999999999997E-2</v>
      </c>
      <c r="F21" s="401">
        <v>7.1012000000000006E-2</v>
      </c>
      <c r="G21" s="401">
        <v>7.2247000000000006E-2</v>
      </c>
    </row>
    <row r="22" spans="1:7" x14ac:dyDescent="0.2">
      <c r="A22" s="378" t="s">
        <v>961</v>
      </c>
      <c r="B22" s="401">
        <v>0.21528700000000001</v>
      </c>
      <c r="C22" s="401">
        <v>0.223606</v>
      </c>
      <c r="D22" s="401">
        <v>0.22911500000000001</v>
      </c>
      <c r="E22" s="401">
        <v>0.22173300000000001</v>
      </c>
      <c r="F22" s="401">
        <v>0.20696200000000001</v>
      </c>
      <c r="G22" s="401">
        <v>0.202071</v>
      </c>
    </row>
    <row r="23" spans="1:7" x14ac:dyDescent="0.2">
      <c r="A23" s="378" t="s">
        <v>960</v>
      </c>
      <c r="B23" s="401">
        <v>0.17031399999999999</v>
      </c>
      <c r="C23" s="401">
        <v>0.177485</v>
      </c>
      <c r="D23" s="401">
        <v>0.183478</v>
      </c>
      <c r="E23" s="401">
        <v>0.17663499999999999</v>
      </c>
      <c r="F23" s="401">
        <v>0.16167799999999999</v>
      </c>
      <c r="G23" s="401">
        <v>0.14827199999999999</v>
      </c>
    </row>
    <row r="24" spans="1:7" x14ac:dyDescent="0.2">
      <c r="A24" s="378" t="s">
        <v>959</v>
      </c>
      <c r="B24" s="401">
        <v>0.16978499999999999</v>
      </c>
      <c r="C24" s="401">
        <v>0.174876</v>
      </c>
      <c r="D24" s="401">
        <v>0.18078900000000001</v>
      </c>
      <c r="E24" s="401">
        <v>0.174066</v>
      </c>
      <c r="F24" s="401">
        <v>0.15413299999999999</v>
      </c>
      <c r="G24" s="401">
        <v>0.14827199999999999</v>
      </c>
    </row>
    <row r="25" spans="1:7" x14ac:dyDescent="0.2">
      <c r="A25" s="378" t="s">
        <v>958</v>
      </c>
      <c r="B25" s="401">
        <v>0.12571199999999999</v>
      </c>
      <c r="C25" s="401">
        <v>0.14399300000000001</v>
      </c>
      <c r="D25" s="401">
        <v>0.132244</v>
      </c>
      <c r="E25" s="401">
        <v>0.12886600000000001</v>
      </c>
      <c r="F25" s="401">
        <v>0.18276999999999999</v>
      </c>
      <c r="G25" s="401">
        <v>0.119797</v>
      </c>
    </row>
    <row r="26" spans="1:7" x14ac:dyDescent="0.2">
      <c r="A26" s="378" t="s">
        <v>957</v>
      </c>
      <c r="B26" s="401">
        <v>0.12573699999999999</v>
      </c>
      <c r="C26" s="401">
        <v>0.14389399999999999</v>
      </c>
      <c r="D26" s="401">
        <v>0.132187</v>
      </c>
      <c r="E26" s="401">
        <v>0.128857</v>
      </c>
      <c r="F26" s="401">
        <v>0.182782</v>
      </c>
      <c r="G26" s="401">
        <v>0.119813</v>
      </c>
    </row>
    <row r="27" spans="1:7" x14ac:dyDescent="0.2">
      <c r="A27" s="378" t="s">
        <v>956</v>
      </c>
      <c r="B27" s="401">
        <v>0.12573699999999999</v>
      </c>
      <c r="C27" s="401">
        <v>0.14389399999999999</v>
      </c>
      <c r="D27" s="401">
        <v>0.132187</v>
      </c>
      <c r="E27" s="401">
        <v>0.128857</v>
      </c>
      <c r="F27" s="401">
        <v>0.182782</v>
      </c>
      <c r="G27" s="401">
        <v>0.119813</v>
      </c>
    </row>
    <row r="28" spans="1:7" x14ac:dyDescent="0.2">
      <c r="A28" s="378" t="s">
        <v>955</v>
      </c>
      <c r="B28" s="401">
        <v>0.116745</v>
      </c>
      <c r="C28" s="401">
        <v>0.116651</v>
      </c>
      <c r="D28" s="401">
        <v>0.12284399999999999</v>
      </c>
      <c r="E28" s="401">
        <v>0.121156</v>
      </c>
      <c r="F28" s="401">
        <v>0.104628</v>
      </c>
      <c r="G28" s="401">
        <v>9.7470000000000001E-2</v>
      </c>
    </row>
    <row r="29" spans="1:7" x14ac:dyDescent="0.2">
      <c r="A29" s="378" t="s">
        <v>954</v>
      </c>
      <c r="B29" s="401">
        <v>-5.7750999999999997E-2</v>
      </c>
      <c r="C29" s="401">
        <v>0.128634</v>
      </c>
      <c r="D29" s="401">
        <v>0.11866</v>
      </c>
      <c r="E29" s="401">
        <v>9.2795000000000002E-2</v>
      </c>
      <c r="F29" s="401">
        <v>8.1084000000000003E-2</v>
      </c>
      <c r="G29" s="379" t="s">
        <v>625</v>
      </c>
    </row>
    <row r="30" spans="1:7" x14ac:dyDescent="0.2">
      <c r="A30" s="378" t="s">
        <v>953</v>
      </c>
      <c r="B30" s="401">
        <v>-5.5315000000000003E-2</v>
      </c>
      <c r="C30" s="401">
        <v>0.13093299999999999</v>
      </c>
      <c r="D30" s="401">
        <v>0.121044</v>
      </c>
      <c r="E30" s="401">
        <v>9.5377000000000003E-2</v>
      </c>
      <c r="F30" s="401">
        <v>8.5389999999999994E-2</v>
      </c>
      <c r="G30" s="379" t="s">
        <v>625</v>
      </c>
    </row>
    <row r="31" spans="1:7" x14ac:dyDescent="0.2">
      <c r="A31" s="378"/>
      <c r="B31" s="378"/>
      <c r="C31" s="378"/>
      <c r="D31" s="378"/>
      <c r="E31" s="378"/>
      <c r="F31" s="378"/>
      <c r="G31" s="378"/>
    </row>
    <row r="32" spans="1:7" x14ac:dyDescent="0.2">
      <c r="A32" s="381" t="s">
        <v>952</v>
      </c>
      <c r="B32" s="378"/>
      <c r="C32" s="378"/>
      <c r="D32" s="378"/>
      <c r="E32" s="378"/>
      <c r="F32" s="378"/>
      <c r="G32" s="378"/>
    </row>
    <row r="33" spans="1:7" x14ac:dyDescent="0.2">
      <c r="A33" s="378" t="s">
        <v>951</v>
      </c>
      <c r="B33" s="380">
        <v>1.477152</v>
      </c>
      <c r="C33" s="380">
        <v>1.6541520000000001</v>
      </c>
      <c r="D33" s="380">
        <v>1.5949759999999999</v>
      </c>
      <c r="E33" s="380">
        <v>1.5612470000000001</v>
      </c>
      <c r="F33" s="380">
        <v>1.283396</v>
      </c>
      <c r="G33" s="379" t="s">
        <v>625</v>
      </c>
    </row>
    <row r="34" spans="1:7" x14ac:dyDescent="0.2">
      <c r="A34" s="378" t="s">
        <v>950</v>
      </c>
      <c r="B34" s="380">
        <v>4.8955419999999998</v>
      </c>
      <c r="C34" s="380">
        <v>5.0379759999999996</v>
      </c>
      <c r="D34" s="380">
        <v>4.9444790000000003</v>
      </c>
      <c r="E34" s="380">
        <v>4.7362929999999999</v>
      </c>
      <c r="F34" s="380">
        <v>4.5571770000000003</v>
      </c>
      <c r="G34" s="379" t="s">
        <v>625</v>
      </c>
    </row>
    <row r="35" spans="1:7" x14ac:dyDescent="0.2">
      <c r="A35" s="378" t="s">
        <v>949</v>
      </c>
      <c r="B35" s="380">
        <v>27.587721999999999</v>
      </c>
      <c r="C35" s="380">
        <v>28.389185000000001</v>
      </c>
      <c r="D35" s="380">
        <v>25.538782000000001</v>
      </c>
      <c r="E35" s="380">
        <v>24.409102000000001</v>
      </c>
      <c r="F35" s="380">
        <v>28.580107999999999</v>
      </c>
      <c r="G35" s="379" t="s">
        <v>625</v>
      </c>
    </row>
    <row r="36" spans="1:7" x14ac:dyDescent="0.2">
      <c r="A36" s="378" t="s">
        <v>948</v>
      </c>
      <c r="B36" s="380">
        <v>10.441850000000001</v>
      </c>
      <c r="C36" s="380">
        <v>11.01122</v>
      </c>
      <c r="D36" s="380">
        <v>10.855748</v>
      </c>
      <c r="E36" s="380">
        <v>11.323682</v>
      </c>
      <c r="F36" s="380">
        <v>12.564802999999999</v>
      </c>
      <c r="G36" s="379" t="s">
        <v>625</v>
      </c>
    </row>
    <row r="37" spans="1:7" x14ac:dyDescent="0.2">
      <c r="A37" s="378"/>
      <c r="B37" s="378"/>
      <c r="C37" s="378"/>
      <c r="D37" s="378"/>
      <c r="E37" s="378"/>
      <c r="F37" s="378"/>
      <c r="G37" s="378"/>
    </row>
    <row r="38" spans="1:7" x14ac:dyDescent="0.2">
      <c r="A38" s="381" t="s">
        <v>947</v>
      </c>
      <c r="B38" s="378"/>
      <c r="C38" s="378"/>
      <c r="D38" s="378"/>
      <c r="E38" s="378"/>
      <c r="F38" s="378"/>
      <c r="G38" s="378"/>
    </row>
    <row r="39" spans="1:7" x14ac:dyDescent="0.2">
      <c r="A39" s="378" t="s">
        <v>946</v>
      </c>
      <c r="B39" s="380">
        <v>1.371869</v>
      </c>
      <c r="C39" s="380">
        <v>1.088511</v>
      </c>
      <c r="D39" s="380">
        <v>1.0464279999999999</v>
      </c>
      <c r="E39" s="380">
        <v>1.251782</v>
      </c>
      <c r="F39" s="380">
        <v>2.1980569999999999</v>
      </c>
      <c r="G39" s="379" t="s">
        <v>625</v>
      </c>
    </row>
    <row r="40" spans="1:7" x14ac:dyDescent="0.2">
      <c r="A40" s="378" t="s">
        <v>945</v>
      </c>
      <c r="B40" s="380">
        <v>0.81442700000000001</v>
      </c>
      <c r="C40" s="380">
        <v>0.63879799999999998</v>
      </c>
      <c r="D40" s="380">
        <v>0.66684200000000005</v>
      </c>
      <c r="E40" s="380">
        <v>0.85988100000000001</v>
      </c>
      <c r="F40" s="380">
        <v>1.8624080000000001</v>
      </c>
      <c r="G40" s="379" t="s">
        <v>625</v>
      </c>
    </row>
    <row r="41" spans="1:7" x14ac:dyDescent="0.2">
      <c r="A41" s="378" t="s">
        <v>944</v>
      </c>
      <c r="B41" s="380">
        <v>0.200019</v>
      </c>
      <c r="C41" s="380">
        <v>1.027685</v>
      </c>
      <c r="D41" s="380">
        <v>1.0332319999999999</v>
      </c>
      <c r="E41" s="380">
        <v>1.007368</v>
      </c>
      <c r="F41" s="380">
        <v>2.1001720000000001</v>
      </c>
      <c r="G41" s="379" t="s">
        <v>625</v>
      </c>
    </row>
    <row r="42" spans="1:7" x14ac:dyDescent="0.2">
      <c r="A42" s="378" t="s">
        <v>943</v>
      </c>
      <c r="B42" s="388">
        <v>13.194272</v>
      </c>
      <c r="C42" s="388">
        <v>12.821536</v>
      </c>
      <c r="D42" s="388">
        <v>14.526876</v>
      </c>
      <c r="E42" s="388">
        <v>14.912352</v>
      </c>
      <c r="F42" s="388">
        <v>12.735996</v>
      </c>
      <c r="G42" s="388" t="s">
        <v>625</v>
      </c>
    </row>
    <row r="43" spans="1:7" x14ac:dyDescent="0.2">
      <c r="A43" s="378" t="s">
        <v>942</v>
      </c>
      <c r="B43" s="388">
        <v>34.859552000000001</v>
      </c>
      <c r="C43" s="388">
        <v>33.057023999999998</v>
      </c>
      <c r="D43" s="388">
        <v>34.175407</v>
      </c>
      <c r="E43" s="388">
        <v>32.144840000000002</v>
      </c>
      <c r="F43" s="388">
        <v>28.969667999999999</v>
      </c>
      <c r="G43" s="388" t="s">
        <v>625</v>
      </c>
    </row>
    <row r="44" spans="1:7" x14ac:dyDescent="0.2">
      <c r="A44" s="378" t="s">
        <v>941</v>
      </c>
      <c r="B44" s="388">
        <v>16.260971999999999</v>
      </c>
      <c r="C44" s="388">
        <v>16.524144</v>
      </c>
      <c r="D44" s="388">
        <v>17.919671000000001</v>
      </c>
      <c r="E44" s="388">
        <v>17.751552</v>
      </c>
      <c r="F44" s="388">
        <v>20.514676000000001</v>
      </c>
      <c r="G44" s="388" t="s">
        <v>625</v>
      </c>
    </row>
    <row r="45" spans="1:7" x14ac:dyDescent="0.2">
      <c r="A45" s="378" t="s">
        <v>940</v>
      </c>
      <c r="B45" s="388">
        <v>31.792852</v>
      </c>
      <c r="C45" s="388">
        <v>29.354416000000001</v>
      </c>
      <c r="D45" s="388">
        <v>30.782612</v>
      </c>
      <c r="E45" s="388">
        <v>29.30564</v>
      </c>
      <c r="F45" s="388">
        <v>21.190988000000001</v>
      </c>
      <c r="G45" s="388" t="s">
        <v>625</v>
      </c>
    </row>
    <row r="46" spans="1:7" x14ac:dyDescent="0.2">
      <c r="A46" s="378"/>
      <c r="B46" s="378"/>
      <c r="C46" s="378"/>
      <c r="D46" s="378"/>
      <c r="E46" s="378"/>
      <c r="F46" s="378"/>
      <c r="G46" s="378"/>
    </row>
    <row r="47" spans="1:7" x14ac:dyDescent="0.2">
      <c r="A47" s="381" t="s">
        <v>939</v>
      </c>
      <c r="B47" s="378"/>
      <c r="C47" s="378"/>
      <c r="D47" s="378"/>
      <c r="E47" s="378"/>
      <c r="F47" s="378"/>
      <c r="G47" s="378"/>
    </row>
    <row r="48" spans="1:7" x14ac:dyDescent="0.2">
      <c r="A48" s="378" t="s">
        <v>938</v>
      </c>
      <c r="B48" s="401">
        <v>0.38839899999999999</v>
      </c>
      <c r="C48" s="401">
        <v>0.403364</v>
      </c>
      <c r="D48" s="401">
        <v>0.60862000000000005</v>
      </c>
      <c r="E48" s="401">
        <v>0.72065199999999996</v>
      </c>
      <c r="F48" s="401">
        <v>8.0742469999999997</v>
      </c>
      <c r="G48" s="401">
        <v>8.0742469999999997</v>
      </c>
    </row>
    <row r="49" spans="1:7" x14ac:dyDescent="0.2">
      <c r="A49" s="378" t="s">
        <v>937</v>
      </c>
      <c r="B49" s="401">
        <v>0.27974500000000002</v>
      </c>
      <c r="C49" s="401">
        <v>0.28742600000000001</v>
      </c>
      <c r="D49" s="401">
        <v>0.37834899999999999</v>
      </c>
      <c r="E49" s="401">
        <v>0.418825</v>
      </c>
      <c r="F49" s="401">
        <v>0.88979799999999998</v>
      </c>
      <c r="G49" s="401">
        <v>0.88979799999999998</v>
      </c>
    </row>
    <row r="50" spans="1:7" x14ac:dyDescent="0.2">
      <c r="A50" s="378" t="s">
        <v>936</v>
      </c>
      <c r="B50" s="401">
        <v>0.38839899999999999</v>
      </c>
      <c r="C50" s="401">
        <v>0.403364</v>
      </c>
      <c r="D50" s="401">
        <v>0.54073300000000002</v>
      </c>
      <c r="E50" s="401">
        <v>0.72065199999999996</v>
      </c>
      <c r="F50" s="401">
        <v>7.776662</v>
      </c>
      <c r="G50" s="379" t="s">
        <v>625</v>
      </c>
    </row>
    <row r="51" spans="1:7" x14ac:dyDescent="0.2">
      <c r="A51" s="378" t="s">
        <v>935</v>
      </c>
      <c r="B51" s="401">
        <v>0.27974500000000002</v>
      </c>
      <c r="C51" s="401">
        <v>0.28742600000000001</v>
      </c>
      <c r="D51" s="401">
        <v>0.33614699999999997</v>
      </c>
      <c r="E51" s="401">
        <v>0.418825</v>
      </c>
      <c r="F51" s="401">
        <v>0.85700299999999996</v>
      </c>
      <c r="G51" s="379" t="s">
        <v>625</v>
      </c>
    </row>
    <row r="52" spans="1:7" x14ac:dyDescent="0.2">
      <c r="A52" s="378" t="s">
        <v>934</v>
      </c>
      <c r="B52" s="401">
        <v>0.50955499999999998</v>
      </c>
      <c r="C52" s="401">
        <v>0.531277</v>
      </c>
      <c r="D52" s="401">
        <v>0.588422</v>
      </c>
      <c r="E52" s="401">
        <v>0.62013399999999996</v>
      </c>
      <c r="F52" s="401">
        <v>0.95132499999999998</v>
      </c>
      <c r="G52" s="379" t="s">
        <v>625</v>
      </c>
    </row>
    <row r="53" spans="1:7" x14ac:dyDescent="0.2">
      <c r="A53" s="378"/>
      <c r="B53" s="378"/>
      <c r="C53" s="378"/>
      <c r="D53" s="378"/>
      <c r="E53" s="378"/>
      <c r="F53" s="378"/>
      <c r="G53" s="378"/>
    </row>
    <row r="54" spans="1:7" x14ac:dyDescent="0.2">
      <c r="A54" s="378" t="s">
        <v>933</v>
      </c>
      <c r="B54" s="380">
        <v>43.566302</v>
      </c>
      <c r="C54" s="380">
        <v>47.533332999999999</v>
      </c>
      <c r="D54" s="380">
        <v>47.400984000000001</v>
      </c>
      <c r="E54" s="380">
        <v>42.127566999999999</v>
      </c>
      <c r="F54" s="380">
        <v>22.372871</v>
      </c>
      <c r="G54" s="380">
        <v>14.986405</v>
      </c>
    </row>
    <row r="55" spans="1:7" x14ac:dyDescent="0.2">
      <c r="A55" s="378" t="s">
        <v>932</v>
      </c>
      <c r="B55" s="380">
        <v>55.241809000000003</v>
      </c>
      <c r="C55" s="380">
        <v>60.778722999999999</v>
      </c>
      <c r="D55" s="380">
        <v>60.071339999999999</v>
      </c>
      <c r="E55" s="380">
        <v>53.663783000000002</v>
      </c>
      <c r="F55" s="380">
        <v>30.041103</v>
      </c>
      <c r="G55" s="380">
        <v>20.424130000000002</v>
      </c>
    </row>
    <row r="56" spans="1:7" x14ac:dyDescent="0.2">
      <c r="A56" s="378" t="s">
        <v>931</v>
      </c>
      <c r="B56" s="380">
        <v>37.131045</v>
      </c>
      <c r="C56" s="380">
        <v>42.286524</v>
      </c>
      <c r="D56" s="380">
        <v>42.355473000000003</v>
      </c>
      <c r="E56" s="380">
        <v>37.237836999999999</v>
      </c>
      <c r="F56" s="380">
        <v>18.435701000000002</v>
      </c>
      <c r="G56" s="380">
        <v>20.424130000000002</v>
      </c>
    </row>
    <row r="57" spans="1:7" x14ac:dyDescent="0.2">
      <c r="A57" s="378" t="s">
        <v>930</v>
      </c>
      <c r="B57" s="380">
        <v>0.57845199999999997</v>
      </c>
      <c r="C57" s="380">
        <v>0.54785399999999995</v>
      </c>
      <c r="D57" s="380">
        <v>0.73409999999999997</v>
      </c>
      <c r="E57" s="380">
        <v>0.79223900000000003</v>
      </c>
      <c r="F57" s="380">
        <v>1.855688</v>
      </c>
      <c r="G57" s="380">
        <v>1.8585670000000001</v>
      </c>
    </row>
    <row r="58" spans="1:7" x14ac:dyDescent="0.2">
      <c r="A58" s="378" t="s">
        <v>929</v>
      </c>
      <c r="B58" s="380">
        <v>5.7751999999999998E-2</v>
      </c>
      <c r="C58" s="380">
        <v>0.171789</v>
      </c>
      <c r="D58" s="380">
        <v>0.27068999999999999</v>
      </c>
      <c r="E58" s="380">
        <v>0.25014599999999998</v>
      </c>
      <c r="F58" s="380">
        <v>0.10865900000000001</v>
      </c>
      <c r="G58" s="380">
        <v>0.10882699999999999</v>
      </c>
    </row>
    <row r="59" spans="1:7" x14ac:dyDescent="0.2">
      <c r="A59" s="378" t="s">
        <v>928</v>
      </c>
      <c r="B59" s="380">
        <v>0.86059399999999997</v>
      </c>
      <c r="C59" s="380">
        <v>0.78743399999999997</v>
      </c>
      <c r="D59" s="380">
        <v>1.0411490000000001</v>
      </c>
      <c r="E59" s="380">
        <v>1.1417040000000001</v>
      </c>
      <c r="F59" s="380">
        <v>3.0238559999999999</v>
      </c>
      <c r="G59" s="380">
        <v>1.8585670000000001</v>
      </c>
    </row>
    <row r="60" spans="1:7" x14ac:dyDescent="0.2">
      <c r="A60" s="378" t="s">
        <v>927</v>
      </c>
      <c r="B60" s="380">
        <v>8.5919999999999996E-2</v>
      </c>
      <c r="C60" s="380">
        <v>0.24691299999999999</v>
      </c>
      <c r="D60" s="380">
        <v>0.383911</v>
      </c>
      <c r="E60" s="380">
        <v>0.360487</v>
      </c>
      <c r="F60" s="380">
        <v>0.17706</v>
      </c>
      <c r="G60" s="380">
        <v>0.10882699999999999</v>
      </c>
    </row>
    <row r="61" spans="1:7" x14ac:dyDescent="0.2">
      <c r="A61" s="378"/>
      <c r="B61" s="378"/>
      <c r="C61" s="378"/>
      <c r="D61" s="378"/>
      <c r="E61" s="378"/>
      <c r="F61" s="378"/>
      <c r="G61" s="378"/>
    </row>
    <row r="62" spans="1:7" x14ac:dyDescent="0.2">
      <c r="A62" s="378" t="s">
        <v>926</v>
      </c>
      <c r="B62" s="402">
        <v>9.4433799999999994</v>
      </c>
      <c r="C62" s="402">
        <v>9.606484</v>
      </c>
      <c r="D62" s="402">
        <v>9.0679309999999997</v>
      </c>
      <c r="E62" s="402">
        <v>8.6605799999999995</v>
      </c>
      <c r="F62" s="402">
        <v>4.0105740000000001</v>
      </c>
      <c r="G62" s="402" t="s">
        <v>625</v>
      </c>
    </row>
    <row r="63" spans="1:7" x14ac:dyDescent="0.2">
      <c r="A63" s="378"/>
      <c r="B63" s="378"/>
      <c r="C63" s="378"/>
      <c r="D63" s="378"/>
      <c r="E63" s="378"/>
      <c r="F63" s="378"/>
      <c r="G63" s="378"/>
    </row>
    <row r="64" spans="1:7" x14ac:dyDescent="0.2">
      <c r="A64" s="381" t="s">
        <v>925</v>
      </c>
      <c r="B64" s="378"/>
      <c r="C64" s="378"/>
      <c r="D64" s="378"/>
      <c r="E64" s="378"/>
      <c r="F64" s="378"/>
      <c r="G64" s="378"/>
    </row>
    <row r="65" spans="1:7" x14ac:dyDescent="0.2">
      <c r="A65" s="378" t="s">
        <v>701</v>
      </c>
      <c r="B65" s="401">
        <v>0.10634399999999999</v>
      </c>
      <c r="C65" s="401">
        <v>0.16506100000000001</v>
      </c>
      <c r="D65" s="401">
        <v>0.11236400000000001</v>
      </c>
      <c r="E65" s="401">
        <v>5.0238999999999999E-2</v>
      </c>
      <c r="F65" s="401">
        <v>0.104199</v>
      </c>
      <c r="G65" s="401">
        <v>0.112237</v>
      </c>
    </row>
    <row r="66" spans="1:7" x14ac:dyDescent="0.2">
      <c r="A66" s="378" t="s">
        <v>699</v>
      </c>
      <c r="B66" s="401">
        <v>0.17921100000000001</v>
      </c>
      <c r="C66" s="401">
        <v>0.20467299999999999</v>
      </c>
      <c r="D66" s="401">
        <v>0.13053100000000001</v>
      </c>
      <c r="E66" s="401">
        <v>1.7292999999999999E-2</v>
      </c>
      <c r="F66" s="401">
        <v>7.1815000000000004E-2</v>
      </c>
      <c r="G66" s="401">
        <v>7.3968000000000006E-2</v>
      </c>
    </row>
    <row r="67" spans="1:7" x14ac:dyDescent="0.2">
      <c r="A67" s="378" t="s">
        <v>921</v>
      </c>
      <c r="B67" s="401">
        <v>0.23685700000000001</v>
      </c>
      <c r="C67" s="401">
        <v>0.21008099999999999</v>
      </c>
      <c r="D67" s="401">
        <v>0.139769</v>
      </c>
      <c r="E67" s="401">
        <v>1.6400999999999999E-2</v>
      </c>
      <c r="F67" s="401">
        <v>3.0641000000000002E-2</v>
      </c>
      <c r="G67" s="401">
        <v>2.5367000000000001E-2</v>
      </c>
    </row>
    <row r="68" spans="1:7" x14ac:dyDescent="0.2">
      <c r="A68" s="378" t="s">
        <v>920</v>
      </c>
      <c r="B68" s="401">
        <v>0.26469500000000001</v>
      </c>
      <c r="C68" s="401">
        <v>0.214114</v>
      </c>
      <c r="D68" s="401">
        <v>0.149922</v>
      </c>
      <c r="E68" s="401">
        <v>1.1070999999999999E-2</v>
      </c>
      <c r="F68" s="401">
        <v>1.0697E-2</v>
      </c>
      <c r="G68" s="401">
        <v>-5.4203000000000001E-2</v>
      </c>
    </row>
    <row r="69" spans="1:7" x14ac:dyDescent="0.2">
      <c r="A69" s="378" t="s">
        <v>919</v>
      </c>
      <c r="B69" s="401">
        <v>0.26516499999999998</v>
      </c>
      <c r="C69" s="401">
        <v>0.199992</v>
      </c>
      <c r="D69" s="401">
        <v>0.14998</v>
      </c>
      <c r="E69" s="401">
        <v>1.1183999999999999E-2</v>
      </c>
      <c r="F69" s="401">
        <v>-2.2249999999999999E-2</v>
      </c>
      <c r="G69" s="401">
        <v>-4.0278000000000001E-2</v>
      </c>
    </row>
    <row r="70" spans="1:7" x14ac:dyDescent="0.2">
      <c r="A70" s="378" t="s">
        <v>676</v>
      </c>
      <c r="B70" s="401">
        <v>233.96590900000001</v>
      </c>
      <c r="C70" s="401">
        <v>0.33447700000000002</v>
      </c>
      <c r="D70" s="401">
        <v>2.1599E-2</v>
      </c>
      <c r="E70" s="401">
        <v>2.3413E-2</v>
      </c>
      <c r="F70" s="401">
        <v>0.56608499999999995</v>
      </c>
      <c r="G70" s="401">
        <v>-0.30915999999999999</v>
      </c>
    </row>
    <row r="71" spans="1:7" x14ac:dyDescent="0.2">
      <c r="A71" s="378" t="s">
        <v>671</v>
      </c>
      <c r="B71" s="401">
        <v>248.16867400000001</v>
      </c>
      <c r="C71" s="401">
        <v>0.33330100000000001</v>
      </c>
      <c r="D71" s="401">
        <v>2.1867999999999999E-2</v>
      </c>
      <c r="E71" s="401">
        <v>2.3778000000000001E-2</v>
      </c>
      <c r="F71" s="401">
        <v>0.56629799999999997</v>
      </c>
      <c r="G71" s="401">
        <v>-0.309006</v>
      </c>
    </row>
    <row r="72" spans="1:7" x14ac:dyDescent="0.2">
      <c r="A72" s="378" t="s">
        <v>918</v>
      </c>
      <c r="B72" s="401">
        <v>0.242202</v>
      </c>
      <c r="C72" s="401">
        <v>0.16411500000000001</v>
      </c>
      <c r="D72" s="401">
        <v>0.171427</v>
      </c>
      <c r="E72" s="401">
        <v>3.5802E-2</v>
      </c>
      <c r="F72" s="401">
        <v>-4.6432000000000001E-2</v>
      </c>
      <c r="G72" s="401">
        <v>-0.109191</v>
      </c>
    </row>
    <row r="73" spans="1:7" x14ac:dyDescent="0.2">
      <c r="A73" s="378" t="s">
        <v>917</v>
      </c>
      <c r="B73" s="401">
        <v>242.77031400000001</v>
      </c>
      <c r="C73" s="401">
        <v>0.34814800000000001</v>
      </c>
      <c r="D73" s="401">
        <v>4.3956000000000002E-2</v>
      </c>
      <c r="E73" s="401">
        <v>3.6842E-2</v>
      </c>
      <c r="F73" s="401">
        <v>0.64466999999999997</v>
      </c>
      <c r="G73" s="401">
        <v>-0.25536900000000001</v>
      </c>
    </row>
    <row r="74" spans="1:7" x14ac:dyDescent="0.2">
      <c r="A74" s="378"/>
      <c r="B74" s="378"/>
      <c r="C74" s="378"/>
      <c r="D74" s="378"/>
      <c r="E74" s="378"/>
      <c r="F74" s="378"/>
      <c r="G74" s="378"/>
    </row>
    <row r="75" spans="1:7" x14ac:dyDescent="0.2">
      <c r="A75" s="378" t="s">
        <v>916</v>
      </c>
      <c r="B75" s="401">
        <v>0.123975</v>
      </c>
      <c r="C75" s="401">
        <v>0.139461</v>
      </c>
      <c r="D75" s="401">
        <v>6.9262000000000004E-2</v>
      </c>
      <c r="E75" s="401">
        <v>0.13215399999999999</v>
      </c>
      <c r="F75" s="401">
        <v>-0.20369999999999999</v>
      </c>
      <c r="G75" s="379" t="s">
        <v>625</v>
      </c>
    </row>
    <row r="76" spans="1:7" x14ac:dyDescent="0.2">
      <c r="A76" s="378" t="s">
        <v>915</v>
      </c>
      <c r="B76" s="401">
        <v>-1.8269000000000001E-2</v>
      </c>
      <c r="C76" s="401">
        <v>0.197543</v>
      </c>
      <c r="D76" s="401">
        <v>5.5189000000000002E-2</v>
      </c>
      <c r="E76" s="401">
        <v>-1.0519000000000001E-2</v>
      </c>
      <c r="F76" s="401">
        <v>2.6759000000000002E-2</v>
      </c>
      <c r="G76" s="379" t="s">
        <v>625</v>
      </c>
    </row>
    <row r="77" spans="1:7" x14ac:dyDescent="0.2">
      <c r="A77" s="378" t="s">
        <v>914</v>
      </c>
      <c r="B77" s="401">
        <v>9.9515000000000006E-2</v>
      </c>
      <c r="C77" s="401">
        <v>0.16177800000000001</v>
      </c>
      <c r="D77" s="401">
        <v>0.108969</v>
      </c>
      <c r="E77" s="401">
        <v>8.5071999999999995E-2</v>
      </c>
      <c r="F77" s="401">
        <v>0.20522399999999999</v>
      </c>
      <c r="G77" s="379" t="s">
        <v>625</v>
      </c>
    </row>
    <row r="78" spans="1:7" x14ac:dyDescent="0.2">
      <c r="A78" s="378" t="s">
        <v>913</v>
      </c>
      <c r="B78" s="401">
        <v>-6.6322000000000006E-2</v>
      </c>
      <c r="C78" s="401">
        <v>0.154693</v>
      </c>
      <c r="D78" s="401">
        <v>0.15271799999999999</v>
      </c>
      <c r="E78" s="401">
        <v>3.7100000000000002E-3</v>
      </c>
      <c r="F78" s="401">
        <v>0.68154400000000004</v>
      </c>
      <c r="G78" s="379" t="s">
        <v>625</v>
      </c>
    </row>
    <row r="79" spans="1:7" x14ac:dyDescent="0.2">
      <c r="A79" s="378"/>
      <c r="B79" s="378"/>
      <c r="C79" s="378"/>
      <c r="D79" s="378"/>
      <c r="E79" s="378"/>
      <c r="F79" s="378"/>
      <c r="G79" s="378"/>
    </row>
    <row r="80" spans="1:7" x14ac:dyDescent="0.2">
      <c r="A80" s="378" t="s">
        <v>912</v>
      </c>
      <c r="B80" s="401">
        <v>0.23928099999999999</v>
      </c>
      <c r="C80" s="401">
        <v>-0.10141799999999999</v>
      </c>
      <c r="D80" s="401">
        <v>-1.9907999999999999E-2</v>
      </c>
      <c r="E80" s="401">
        <v>-4.8957000000000001E-2</v>
      </c>
      <c r="F80" s="401" t="s">
        <v>858</v>
      </c>
      <c r="G80" s="401">
        <v>0.40717100000000001</v>
      </c>
    </row>
    <row r="81" spans="1:7" x14ac:dyDescent="0.2">
      <c r="A81" s="378" t="s">
        <v>911</v>
      </c>
      <c r="B81" s="401">
        <v>0.176733</v>
      </c>
      <c r="C81" s="401">
        <v>0.10356600000000001</v>
      </c>
      <c r="D81" s="401">
        <v>1.1344E-2</v>
      </c>
      <c r="E81" s="401">
        <v>-7.3743000000000003E-2</v>
      </c>
      <c r="F81" s="401">
        <v>-0.78541700000000003</v>
      </c>
      <c r="G81" s="401">
        <v>-0.79668300000000003</v>
      </c>
    </row>
    <row r="82" spans="1:7" x14ac:dyDescent="0.2">
      <c r="A82" s="378" t="s">
        <v>837</v>
      </c>
      <c r="B82" s="401">
        <v>-0.79101200000000005</v>
      </c>
      <c r="C82" s="401">
        <v>5.1683110000000001</v>
      </c>
      <c r="D82" s="401">
        <v>0.25307400000000002</v>
      </c>
      <c r="E82" s="401">
        <v>-9.4958000000000001E-2</v>
      </c>
      <c r="F82" s="401">
        <v>1.807704</v>
      </c>
      <c r="G82" s="379" t="s">
        <v>625</v>
      </c>
    </row>
    <row r="83" spans="1:7" x14ac:dyDescent="0.2">
      <c r="A83" s="378" t="s">
        <v>910</v>
      </c>
      <c r="B83" s="401">
        <v>8.4250000000000002E-3</v>
      </c>
      <c r="C83" s="401">
        <v>0.12300800000000001</v>
      </c>
      <c r="D83" s="401">
        <v>0.104778</v>
      </c>
      <c r="E83" s="401">
        <v>5.4919000000000003E-2</v>
      </c>
      <c r="F83" s="401">
        <v>0.30077599999999999</v>
      </c>
      <c r="G83" s="379" t="s">
        <v>625</v>
      </c>
    </row>
    <row r="84" spans="1:7" x14ac:dyDescent="0.2">
      <c r="A84" s="378" t="s">
        <v>909</v>
      </c>
      <c r="B84" s="401" t="s">
        <v>858</v>
      </c>
      <c r="C84" s="401" t="s">
        <v>858</v>
      </c>
      <c r="D84" s="401">
        <v>2.6114999999999999E-2</v>
      </c>
      <c r="E84" s="401">
        <v>-0.17868800000000001</v>
      </c>
      <c r="F84" s="401">
        <v>-3.5146999999999998E-2</v>
      </c>
      <c r="G84" s="379" t="s">
        <v>625</v>
      </c>
    </row>
    <row r="85" spans="1:7" x14ac:dyDescent="0.2">
      <c r="A85" s="378" t="s">
        <v>908</v>
      </c>
      <c r="B85" s="401" t="s">
        <v>858</v>
      </c>
      <c r="C85" s="401" t="s">
        <v>858</v>
      </c>
      <c r="D85" s="401">
        <v>2.8347000000000001E-2</v>
      </c>
      <c r="E85" s="401">
        <v>-0.172456</v>
      </c>
      <c r="F85" s="401">
        <v>-1.1422E-2</v>
      </c>
      <c r="G85" s="379" t="s">
        <v>625</v>
      </c>
    </row>
    <row r="86" spans="1:7" x14ac:dyDescent="0.2">
      <c r="A86" s="378" t="s">
        <v>907</v>
      </c>
      <c r="B86" s="401">
        <v>0.235955</v>
      </c>
      <c r="C86" s="401">
        <v>0.23636299999999999</v>
      </c>
      <c r="D86" s="401">
        <v>0.25</v>
      </c>
      <c r="E86" s="401">
        <v>0.235294</v>
      </c>
      <c r="F86" s="401">
        <v>0.25714199999999998</v>
      </c>
      <c r="G86" s="401">
        <v>0.25454500000000002</v>
      </c>
    </row>
    <row r="87" spans="1:7" x14ac:dyDescent="0.2">
      <c r="A87" s="378"/>
      <c r="B87" s="378"/>
      <c r="C87" s="378"/>
      <c r="D87" s="378"/>
      <c r="E87" s="378"/>
      <c r="F87" s="378"/>
      <c r="G87" s="378"/>
    </row>
    <row r="88" spans="1:7" x14ac:dyDescent="0.2">
      <c r="A88" s="381" t="s">
        <v>924</v>
      </c>
      <c r="B88" s="378"/>
      <c r="C88" s="378"/>
      <c r="D88" s="378"/>
      <c r="E88" s="378"/>
      <c r="F88" s="378"/>
      <c r="G88" s="378"/>
    </row>
    <row r="89" spans="1:7" x14ac:dyDescent="0.2">
      <c r="A89" s="378" t="s">
        <v>701</v>
      </c>
      <c r="B89" s="401">
        <v>0.11303100000000001</v>
      </c>
      <c r="C89" s="401">
        <v>0.135323</v>
      </c>
      <c r="D89" s="401">
        <v>0.138408</v>
      </c>
      <c r="E89" s="401">
        <v>8.0854999999999996E-2</v>
      </c>
      <c r="F89" s="401">
        <v>7.6882000000000006E-2</v>
      </c>
      <c r="G89" s="401">
        <v>7.9923999999999995E-2</v>
      </c>
    </row>
    <row r="90" spans="1:7" x14ac:dyDescent="0.2">
      <c r="A90" s="378" t="s">
        <v>699</v>
      </c>
      <c r="B90" s="401">
        <v>0.18169399999999999</v>
      </c>
      <c r="C90" s="401">
        <v>0.19187399999999999</v>
      </c>
      <c r="D90" s="401">
        <v>0.167014</v>
      </c>
      <c r="E90" s="401">
        <v>7.2417999999999996E-2</v>
      </c>
      <c r="F90" s="401">
        <v>4.4198000000000001E-2</v>
      </c>
      <c r="G90" s="401">
        <v>3.8610999999999999E-2</v>
      </c>
    </row>
    <row r="91" spans="1:7" x14ac:dyDescent="0.2">
      <c r="A91" s="378" t="s">
        <v>921</v>
      </c>
      <c r="B91" s="401">
        <v>0.223027</v>
      </c>
      <c r="C91" s="401">
        <v>0.22339700000000001</v>
      </c>
      <c r="D91" s="401">
        <v>0.174399</v>
      </c>
      <c r="E91" s="401">
        <v>7.6318999999999998E-2</v>
      </c>
      <c r="F91" s="401">
        <v>2.3496E-2</v>
      </c>
      <c r="G91" s="401">
        <v>1.5431E-2</v>
      </c>
    </row>
    <row r="92" spans="1:7" x14ac:dyDescent="0.2">
      <c r="A92" s="378" t="s">
        <v>920</v>
      </c>
      <c r="B92" s="401">
        <v>0.25056899999999999</v>
      </c>
      <c r="C92" s="401">
        <v>0.239147</v>
      </c>
      <c r="D92" s="401">
        <v>0.18158199999999999</v>
      </c>
      <c r="E92" s="401">
        <v>7.8264E-2</v>
      </c>
      <c r="F92" s="401">
        <v>1.0884E-2</v>
      </c>
      <c r="G92" s="401">
        <v>-2.7774E-2</v>
      </c>
    </row>
    <row r="93" spans="1:7" x14ac:dyDescent="0.2">
      <c r="A93" s="378" t="s">
        <v>919</v>
      </c>
      <c r="B93" s="401">
        <v>0.250197</v>
      </c>
      <c r="C93" s="401">
        <v>0.23214799999999999</v>
      </c>
      <c r="D93" s="401">
        <v>0.17471999999999999</v>
      </c>
      <c r="E93" s="401">
        <v>7.8352000000000005E-2</v>
      </c>
      <c r="F93" s="401">
        <v>-5.6730000000000001E-3</v>
      </c>
      <c r="G93" s="401">
        <v>-2.0671999999999999E-2</v>
      </c>
    </row>
    <row r="94" spans="1:7" x14ac:dyDescent="0.2">
      <c r="A94" s="378" t="s">
        <v>676</v>
      </c>
      <c r="B94" s="401">
        <v>0.22198499999999999</v>
      </c>
      <c r="C94" s="401">
        <v>16.707536000000001</v>
      </c>
      <c r="D94" s="401">
        <v>0.167605</v>
      </c>
      <c r="E94" s="401">
        <v>2.2506000000000002E-2</v>
      </c>
      <c r="F94" s="401">
        <v>0.26599800000000001</v>
      </c>
      <c r="G94" s="401">
        <v>2.4943E-2</v>
      </c>
    </row>
    <row r="95" spans="1:7" x14ac:dyDescent="0.2">
      <c r="A95" s="378" t="s">
        <v>671</v>
      </c>
      <c r="B95" s="401">
        <v>0.2225</v>
      </c>
      <c r="C95" s="401">
        <v>17.226817</v>
      </c>
      <c r="D95" s="401">
        <v>0.167244</v>
      </c>
      <c r="E95" s="401">
        <v>2.2823E-2</v>
      </c>
      <c r="F95" s="401">
        <v>0.26630999999999999</v>
      </c>
      <c r="G95" s="401">
        <v>2.5152999999999998E-2</v>
      </c>
    </row>
    <row r="96" spans="1:7" x14ac:dyDescent="0.2">
      <c r="A96" s="378" t="s">
        <v>918</v>
      </c>
      <c r="B96" s="401">
        <v>0.23063700000000001</v>
      </c>
      <c r="C96" s="401">
        <v>0.20252600000000001</v>
      </c>
      <c r="D96" s="401">
        <v>0.167766</v>
      </c>
      <c r="E96" s="401">
        <v>0.10152899999999999</v>
      </c>
      <c r="F96" s="401">
        <v>-6.1659999999999996E-3</v>
      </c>
      <c r="G96" s="401">
        <v>-4.0281999999999998E-2</v>
      </c>
    </row>
    <row r="97" spans="1:7" x14ac:dyDescent="0.2">
      <c r="A97" s="378" t="s">
        <v>917</v>
      </c>
      <c r="B97" s="401">
        <v>0.228161</v>
      </c>
      <c r="C97" s="401">
        <v>17.128388999999999</v>
      </c>
      <c r="D97" s="401">
        <v>0.18634200000000001</v>
      </c>
      <c r="E97" s="401">
        <v>4.0392999999999998E-2</v>
      </c>
      <c r="F97" s="401">
        <v>0.30585699999999999</v>
      </c>
      <c r="G97" s="401">
        <v>7.324E-2</v>
      </c>
    </row>
    <row r="98" spans="1:7" x14ac:dyDescent="0.2">
      <c r="A98" s="378"/>
      <c r="B98" s="378"/>
      <c r="C98" s="378"/>
      <c r="D98" s="378"/>
      <c r="E98" s="378"/>
      <c r="F98" s="378"/>
      <c r="G98" s="378"/>
    </row>
    <row r="99" spans="1:7" x14ac:dyDescent="0.2">
      <c r="A99" s="378" t="s">
        <v>916</v>
      </c>
      <c r="B99" s="401">
        <v>0.139571</v>
      </c>
      <c r="C99" s="401">
        <v>0.131692</v>
      </c>
      <c r="D99" s="401">
        <v>0.10380399999999999</v>
      </c>
      <c r="E99" s="401">
        <v>0.100259</v>
      </c>
      <c r="F99" s="401">
        <v>-5.0508999999999998E-2</v>
      </c>
      <c r="G99" s="379" t="s">
        <v>625</v>
      </c>
    </row>
    <row r="100" spans="1:7" x14ac:dyDescent="0.2">
      <c r="A100" s="378" t="s">
        <v>915</v>
      </c>
      <c r="B100" s="401">
        <v>-6.2613000000000002E-2</v>
      </c>
      <c r="C100" s="401">
        <v>8.4280999999999995E-2</v>
      </c>
      <c r="D100" s="401">
        <v>0.124115</v>
      </c>
      <c r="E100" s="401">
        <v>2.1807E-2</v>
      </c>
      <c r="F100" s="401">
        <v>7.9480000000000002E-3</v>
      </c>
      <c r="G100" s="379" t="s">
        <v>625</v>
      </c>
    </row>
    <row r="101" spans="1:7" x14ac:dyDescent="0.2">
      <c r="A101" s="378" t="s">
        <v>914</v>
      </c>
      <c r="B101" s="401">
        <v>0.150426</v>
      </c>
      <c r="C101" s="401">
        <v>0.130219</v>
      </c>
      <c r="D101" s="401">
        <v>0.13506699999999999</v>
      </c>
      <c r="E101" s="401">
        <v>9.6955E-2</v>
      </c>
      <c r="F101" s="401">
        <v>0.143571</v>
      </c>
      <c r="G101" s="379" t="s">
        <v>625</v>
      </c>
    </row>
    <row r="102" spans="1:7" x14ac:dyDescent="0.2">
      <c r="A102" s="378" t="s">
        <v>913</v>
      </c>
      <c r="B102" s="401">
        <v>0.14379500000000001</v>
      </c>
      <c r="C102" s="401">
        <v>3.8322000000000002E-2</v>
      </c>
      <c r="D102" s="401">
        <v>0.15370500000000001</v>
      </c>
      <c r="E102" s="401">
        <v>7.5636999999999996E-2</v>
      </c>
      <c r="F102" s="401">
        <v>0.299147</v>
      </c>
      <c r="G102" s="379" t="s">
        <v>625</v>
      </c>
    </row>
    <row r="103" spans="1:7" x14ac:dyDescent="0.2">
      <c r="A103" s="378"/>
      <c r="B103" s="378"/>
      <c r="C103" s="378"/>
      <c r="D103" s="378"/>
      <c r="E103" s="378"/>
      <c r="F103" s="378"/>
      <c r="G103" s="378"/>
    </row>
    <row r="104" spans="1:7" x14ac:dyDescent="0.2">
      <c r="A104" s="378" t="s">
        <v>912</v>
      </c>
      <c r="B104" s="401">
        <v>-4.7548E-2</v>
      </c>
      <c r="C104" s="401">
        <v>5.5271000000000001E-2</v>
      </c>
      <c r="D104" s="401">
        <v>-6.1546999999999998E-2</v>
      </c>
      <c r="E104" s="401">
        <v>-3.4542000000000003E-2</v>
      </c>
      <c r="F104" s="401" t="s">
        <v>858</v>
      </c>
      <c r="G104" s="401">
        <v>-0.43982900000000003</v>
      </c>
    </row>
    <row r="105" spans="1:7" x14ac:dyDescent="0.2">
      <c r="A105" s="378" t="s">
        <v>911</v>
      </c>
      <c r="B105" s="401">
        <v>1.5827000000000001E-2</v>
      </c>
      <c r="C105" s="401">
        <v>0.13956199999999999</v>
      </c>
      <c r="D105" s="401">
        <v>5.6448999999999999E-2</v>
      </c>
      <c r="E105" s="401">
        <v>-3.2134000000000003E-2</v>
      </c>
      <c r="F105" s="401">
        <v>-0.554176</v>
      </c>
      <c r="G105" s="401">
        <v>-0.55082699999999996</v>
      </c>
    </row>
    <row r="106" spans="1:7" x14ac:dyDescent="0.2">
      <c r="A106" s="378" t="s">
        <v>837</v>
      </c>
      <c r="B106" s="401">
        <v>-0.410717</v>
      </c>
      <c r="C106" s="401">
        <v>0.13538700000000001</v>
      </c>
      <c r="D106" s="401">
        <v>1.7801709999999999</v>
      </c>
      <c r="E106" s="401">
        <v>6.4934000000000006E-2</v>
      </c>
      <c r="F106" s="401">
        <v>0.59408000000000005</v>
      </c>
      <c r="G106" s="379" t="s">
        <v>625</v>
      </c>
    </row>
    <row r="107" spans="1:7" x14ac:dyDescent="0.2">
      <c r="A107" s="378" t="s">
        <v>910</v>
      </c>
      <c r="B107" s="401">
        <v>0.16442000000000001</v>
      </c>
      <c r="C107" s="401">
        <v>6.4175999999999997E-2</v>
      </c>
      <c r="D107" s="401">
        <v>0.113856</v>
      </c>
      <c r="E107" s="401">
        <v>7.9561000000000007E-2</v>
      </c>
      <c r="F107" s="401">
        <v>0.17141500000000001</v>
      </c>
      <c r="G107" s="379" t="s">
        <v>625</v>
      </c>
    </row>
    <row r="108" spans="1:7" x14ac:dyDescent="0.2">
      <c r="A108" s="378" t="s">
        <v>909</v>
      </c>
      <c r="B108" s="401" t="s">
        <v>858</v>
      </c>
      <c r="C108" s="401">
        <v>-0.22473399999999999</v>
      </c>
      <c r="D108" s="401" t="s">
        <v>858</v>
      </c>
      <c r="E108" s="401">
        <v>-8.1978999999999996E-2</v>
      </c>
      <c r="F108" s="401">
        <v>-0.109806</v>
      </c>
      <c r="G108" s="379" t="s">
        <v>625</v>
      </c>
    </row>
    <row r="109" spans="1:7" x14ac:dyDescent="0.2">
      <c r="A109" s="378" t="s">
        <v>908</v>
      </c>
      <c r="B109" s="401" t="s">
        <v>858</v>
      </c>
      <c r="C109" s="401">
        <v>-0.21950500000000001</v>
      </c>
      <c r="D109" s="401" t="s">
        <v>858</v>
      </c>
      <c r="E109" s="401">
        <v>-7.7502000000000001E-2</v>
      </c>
      <c r="F109" s="401">
        <v>-9.5516000000000004E-2</v>
      </c>
      <c r="G109" s="379" t="s">
        <v>625</v>
      </c>
    </row>
    <row r="110" spans="1:7" x14ac:dyDescent="0.2">
      <c r="A110" s="378" t="s">
        <v>907</v>
      </c>
      <c r="B110" s="401">
        <v>0.23603299999999999</v>
      </c>
      <c r="C110" s="401">
        <v>0.23615900000000001</v>
      </c>
      <c r="D110" s="401">
        <v>0.24316299999999999</v>
      </c>
      <c r="E110" s="401">
        <v>0.24262500000000001</v>
      </c>
      <c r="F110" s="401">
        <v>0.246171</v>
      </c>
      <c r="G110" s="401">
        <v>0.23827799999999999</v>
      </c>
    </row>
    <row r="111" spans="1:7" x14ac:dyDescent="0.2">
      <c r="A111" s="378"/>
      <c r="B111" s="378"/>
      <c r="C111" s="378"/>
      <c r="D111" s="378"/>
      <c r="E111" s="378"/>
      <c r="F111" s="378"/>
      <c r="G111" s="378"/>
    </row>
    <row r="112" spans="1:7" x14ac:dyDescent="0.2">
      <c r="A112" s="381" t="s">
        <v>923</v>
      </c>
      <c r="B112" s="378"/>
      <c r="C112" s="378"/>
      <c r="D112" s="378"/>
      <c r="E112" s="378"/>
      <c r="F112" s="378"/>
      <c r="G112" s="378"/>
    </row>
    <row r="113" spans="1:7" x14ac:dyDescent="0.2">
      <c r="A113" s="378" t="s">
        <v>701</v>
      </c>
      <c r="B113" s="401">
        <v>0.120217</v>
      </c>
      <c r="C113" s="401">
        <v>0.130111</v>
      </c>
      <c r="D113" s="401">
        <v>0.12761800000000001</v>
      </c>
      <c r="E113" s="401">
        <v>0.108225</v>
      </c>
      <c r="F113" s="401">
        <v>8.8581999999999994E-2</v>
      </c>
      <c r="G113" s="401">
        <v>8.6056999999999995E-2</v>
      </c>
    </row>
    <row r="114" spans="1:7" x14ac:dyDescent="0.2">
      <c r="A114" s="378" t="s">
        <v>699</v>
      </c>
      <c r="B114" s="401">
        <v>0.15778600000000001</v>
      </c>
      <c r="C114" s="401">
        <v>0.189305</v>
      </c>
      <c r="D114" s="401">
        <v>0.17106499999999999</v>
      </c>
      <c r="E114" s="401">
        <v>0.11480600000000001</v>
      </c>
      <c r="F114" s="401">
        <v>7.2217000000000003E-2</v>
      </c>
      <c r="G114" s="401">
        <v>6.3644000000000006E-2</v>
      </c>
    </row>
    <row r="115" spans="1:7" x14ac:dyDescent="0.2">
      <c r="A115" s="378" t="s">
        <v>921</v>
      </c>
      <c r="B115" s="401">
        <v>0.195081</v>
      </c>
      <c r="C115" s="401">
        <v>0.218697</v>
      </c>
      <c r="D115" s="401">
        <v>0.19486000000000001</v>
      </c>
      <c r="E115" s="401">
        <v>0.11917700000000001</v>
      </c>
      <c r="F115" s="401">
        <v>6.0872999999999997E-2</v>
      </c>
      <c r="G115" s="401">
        <v>4.7273000000000003E-2</v>
      </c>
    </row>
    <row r="116" spans="1:7" x14ac:dyDescent="0.2">
      <c r="A116" s="378" t="s">
        <v>920</v>
      </c>
      <c r="B116" s="401">
        <v>0.224219</v>
      </c>
      <c r="C116" s="401">
        <v>0.23829800000000001</v>
      </c>
      <c r="D116" s="401">
        <v>0.20866100000000001</v>
      </c>
      <c r="E116" s="401">
        <v>0.121769</v>
      </c>
      <c r="F116" s="401">
        <v>5.5253999999999998E-2</v>
      </c>
      <c r="G116" s="401">
        <v>1.9963000000000002E-2</v>
      </c>
    </row>
    <row r="117" spans="1:7" x14ac:dyDescent="0.2">
      <c r="A117" s="378" t="s">
        <v>919</v>
      </c>
      <c r="B117" s="401">
        <v>0.22353799999999999</v>
      </c>
      <c r="C117" s="401">
        <v>0.233233</v>
      </c>
      <c r="D117" s="401">
        <v>0.204127</v>
      </c>
      <c r="E117" s="401">
        <v>0.117463</v>
      </c>
      <c r="F117" s="401">
        <v>4.3716999999999999E-2</v>
      </c>
      <c r="G117" s="401">
        <v>2.4820999999999999E-2</v>
      </c>
    </row>
    <row r="118" spans="1:7" x14ac:dyDescent="0.2">
      <c r="A118" s="378" t="s">
        <v>676</v>
      </c>
      <c r="B118" s="401">
        <v>0.18328900000000001</v>
      </c>
      <c r="C118" s="401">
        <v>0.25838800000000001</v>
      </c>
      <c r="D118" s="401">
        <v>5.8422510000000001</v>
      </c>
      <c r="E118" s="401">
        <v>0.11741500000000001</v>
      </c>
      <c r="F118" s="401">
        <v>0.178643</v>
      </c>
      <c r="G118" s="401">
        <v>7.1373000000000006E-2</v>
      </c>
    </row>
    <row r="119" spans="1:7" x14ac:dyDescent="0.2">
      <c r="A119" s="378" t="s">
        <v>671</v>
      </c>
      <c r="B119" s="401">
        <v>0.18409400000000001</v>
      </c>
      <c r="C119" s="401">
        <v>0.25837100000000002</v>
      </c>
      <c r="D119" s="401">
        <v>5.9759849999999997</v>
      </c>
      <c r="E119" s="401">
        <v>0.117317</v>
      </c>
      <c r="F119" s="401">
        <v>0.17893999999999999</v>
      </c>
      <c r="G119" s="401">
        <v>7.1507000000000001E-2</v>
      </c>
    </row>
    <row r="120" spans="1:7" x14ac:dyDescent="0.2">
      <c r="A120" s="378" t="s">
        <v>918</v>
      </c>
      <c r="B120" s="401">
        <v>0.21285899999999999</v>
      </c>
      <c r="C120" s="401">
        <v>0.20805100000000001</v>
      </c>
      <c r="D120" s="401">
        <v>0.19206899999999999</v>
      </c>
      <c r="E120" s="401">
        <v>0.12200800000000001</v>
      </c>
      <c r="F120" s="401">
        <v>4.9819000000000002E-2</v>
      </c>
      <c r="G120" s="401">
        <v>2.0267E-2</v>
      </c>
    </row>
    <row r="121" spans="1:7" x14ac:dyDescent="0.2">
      <c r="A121" s="378" t="s">
        <v>917</v>
      </c>
      <c r="B121" s="401">
        <v>0.18563099999999999</v>
      </c>
      <c r="C121" s="401">
        <v>0.26692100000000002</v>
      </c>
      <c r="D121" s="401">
        <v>6.000572</v>
      </c>
      <c r="E121" s="401">
        <v>0.13425500000000001</v>
      </c>
      <c r="F121" s="401">
        <v>0.21196799999999999</v>
      </c>
      <c r="G121" s="401">
        <v>0.113007</v>
      </c>
    </row>
    <row r="122" spans="1:7" x14ac:dyDescent="0.2">
      <c r="A122" s="378"/>
      <c r="B122" s="378"/>
      <c r="C122" s="378"/>
      <c r="D122" s="378"/>
      <c r="E122" s="378"/>
      <c r="F122" s="378"/>
      <c r="G122" s="378"/>
    </row>
    <row r="123" spans="1:7" x14ac:dyDescent="0.2">
      <c r="A123" s="378" t="s">
        <v>916</v>
      </c>
      <c r="B123" s="401">
        <v>0.17749699999999999</v>
      </c>
      <c r="C123" s="401">
        <v>0.13953399999999999</v>
      </c>
      <c r="D123" s="401">
        <v>0.110487</v>
      </c>
      <c r="E123" s="401">
        <v>0.113174</v>
      </c>
      <c r="F123" s="401">
        <v>-1.2154999999999999E-2</v>
      </c>
      <c r="G123" s="379" t="s">
        <v>625</v>
      </c>
    </row>
    <row r="124" spans="1:7" x14ac:dyDescent="0.2">
      <c r="A124" s="378" t="s">
        <v>915</v>
      </c>
      <c r="B124" s="401">
        <v>4.1436000000000001E-2</v>
      </c>
      <c r="C124" s="401">
        <v>1.7129999999999999E-2</v>
      </c>
      <c r="D124" s="401">
        <v>7.4496000000000007E-2</v>
      </c>
      <c r="E124" s="401">
        <v>7.7315999999999996E-2</v>
      </c>
      <c r="F124" s="401">
        <v>2.3456000000000001E-2</v>
      </c>
      <c r="G124" s="379" t="s">
        <v>625</v>
      </c>
    </row>
    <row r="125" spans="1:7" x14ac:dyDescent="0.2">
      <c r="A125" s="378" t="s">
        <v>914</v>
      </c>
      <c r="B125" s="401">
        <v>0.14325399999999999</v>
      </c>
      <c r="C125" s="401">
        <v>0.154198</v>
      </c>
      <c r="D125" s="401">
        <v>0.12309100000000001</v>
      </c>
      <c r="E125" s="401">
        <v>0.11815100000000001</v>
      </c>
      <c r="F125" s="401">
        <v>0.13191900000000001</v>
      </c>
      <c r="G125" s="379" t="s">
        <v>625</v>
      </c>
    </row>
    <row r="126" spans="1:7" x14ac:dyDescent="0.2">
      <c r="A126" s="378" t="s">
        <v>913</v>
      </c>
      <c r="B126" s="401">
        <v>0.134683</v>
      </c>
      <c r="C126" s="401">
        <v>0.14741599999999999</v>
      </c>
      <c r="D126" s="401">
        <v>7.5134000000000006E-2</v>
      </c>
      <c r="E126" s="401">
        <v>0.101369</v>
      </c>
      <c r="F126" s="401">
        <v>0.24837999999999999</v>
      </c>
      <c r="G126" s="379" t="s">
        <v>625</v>
      </c>
    </row>
    <row r="127" spans="1:7" x14ac:dyDescent="0.2">
      <c r="A127" s="378"/>
      <c r="B127" s="378"/>
      <c r="C127" s="378"/>
      <c r="D127" s="378"/>
      <c r="E127" s="378"/>
      <c r="F127" s="378"/>
      <c r="G127" s="378"/>
    </row>
    <row r="128" spans="1:7" x14ac:dyDescent="0.2">
      <c r="A128" s="378" t="s">
        <v>912</v>
      </c>
      <c r="B128" s="401">
        <v>1.5851000000000001E-2</v>
      </c>
      <c r="C128" s="401">
        <v>-6.5853999999999996E-2</v>
      </c>
      <c r="D128" s="401">
        <v>2.9592E-2</v>
      </c>
      <c r="E128" s="401">
        <v>-5.7369000000000003E-2</v>
      </c>
      <c r="F128" s="401" t="s">
        <v>858</v>
      </c>
      <c r="G128" s="401">
        <v>-0.33066800000000002</v>
      </c>
    </row>
    <row r="129" spans="1:7" x14ac:dyDescent="0.2">
      <c r="A129" s="378" t="s">
        <v>911</v>
      </c>
      <c r="B129" s="401">
        <v>6.3339000000000006E-2</v>
      </c>
      <c r="C129" s="401">
        <v>4.4269000000000003E-2</v>
      </c>
      <c r="D129" s="401">
        <v>9.5112000000000002E-2</v>
      </c>
      <c r="E129" s="401">
        <v>1.1136E-2</v>
      </c>
      <c r="F129" s="401">
        <v>-0.41421000000000002</v>
      </c>
      <c r="G129" s="401">
        <v>-0.419597</v>
      </c>
    </row>
    <row r="130" spans="1:7" x14ac:dyDescent="0.2">
      <c r="A130" s="378" t="s">
        <v>837</v>
      </c>
      <c r="B130" s="401">
        <v>-0.27762599999999998</v>
      </c>
      <c r="C130" s="401">
        <v>0.28905500000000001</v>
      </c>
      <c r="D130" s="401">
        <v>0.17333399999999999</v>
      </c>
      <c r="E130" s="401">
        <v>0.91251099999999996</v>
      </c>
      <c r="F130" s="401">
        <v>0.47117999999999999</v>
      </c>
      <c r="G130" s="379" t="s">
        <v>625</v>
      </c>
    </row>
    <row r="131" spans="1:7" x14ac:dyDescent="0.2">
      <c r="A131" s="378" t="s">
        <v>910</v>
      </c>
      <c r="B131" s="401">
        <v>0.29714400000000002</v>
      </c>
      <c r="C131" s="401">
        <v>0.150449</v>
      </c>
      <c r="D131" s="401">
        <v>7.7542E-2</v>
      </c>
      <c r="E131" s="401">
        <v>9.3853000000000006E-2</v>
      </c>
      <c r="F131" s="401">
        <v>0.14876800000000001</v>
      </c>
      <c r="G131" s="379" t="s">
        <v>625</v>
      </c>
    </row>
    <row r="132" spans="1:7" x14ac:dyDescent="0.2">
      <c r="A132" s="378" t="s">
        <v>909</v>
      </c>
      <c r="B132" s="401" t="s">
        <v>858</v>
      </c>
      <c r="C132" s="401">
        <v>0.52880700000000003</v>
      </c>
      <c r="D132" s="401">
        <v>-0.14879800000000001</v>
      </c>
      <c r="E132" s="401" t="s">
        <v>858</v>
      </c>
      <c r="F132" s="401">
        <v>-6.6627000000000006E-2</v>
      </c>
      <c r="G132" s="379" t="s">
        <v>625</v>
      </c>
    </row>
    <row r="133" spans="1:7" x14ac:dyDescent="0.2">
      <c r="A133" s="378" t="s">
        <v>908</v>
      </c>
      <c r="B133" s="401" t="s">
        <v>858</v>
      </c>
      <c r="C133" s="401">
        <v>0.52296900000000002</v>
      </c>
      <c r="D133" s="401">
        <v>-0.14435500000000001</v>
      </c>
      <c r="E133" s="401" t="s">
        <v>858</v>
      </c>
      <c r="F133" s="401">
        <v>-5.5981000000000003E-2</v>
      </c>
      <c r="G133" s="379" t="s">
        <v>625</v>
      </c>
    </row>
    <row r="134" spans="1:7" x14ac:dyDescent="0.2">
      <c r="A134" s="378" t="s">
        <v>907</v>
      </c>
      <c r="B134" s="401">
        <v>0.25237599999999999</v>
      </c>
      <c r="C134" s="401">
        <v>0.23614299999999999</v>
      </c>
      <c r="D134" s="401">
        <v>0.240756</v>
      </c>
      <c r="E134" s="401">
        <v>0.240534</v>
      </c>
      <c r="F134" s="401">
        <v>0.247446</v>
      </c>
      <c r="G134" s="401">
        <v>0.242173</v>
      </c>
    </row>
    <row r="135" spans="1:7" x14ac:dyDescent="0.2">
      <c r="A135" s="378"/>
      <c r="B135" s="378"/>
      <c r="C135" s="378"/>
      <c r="D135" s="378"/>
      <c r="E135" s="378"/>
      <c r="F135" s="378"/>
      <c r="G135" s="378"/>
    </row>
    <row r="136" spans="1:7" x14ac:dyDescent="0.2">
      <c r="A136" s="381" t="s">
        <v>922</v>
      </c>
      <c r="B136" s="378"/>
      <c r="C136" s="378"/>
      <c r="D136" s="378"/>
      <c r="E136" s="378"/>
      <c r="F136" s="378"/>
      <c r="G136" s="378"/>
    </row>
    <row r="137" spans="1:7" x14ac:dyDescent="0.2">
      <c r="A137" s="378" t="s">
        <v>701</v>
      </c>
      <c r="B137" s="401">
        <v>0.10969</v>
      </c>
      <c r="C137" s="401">
        <v>0.12345200000000001</v>
      </c>
      <c r="D137" s="401">
        <v>0.12745899999999999</v>
      </c>
      <c r="E137" s="401">
        <v>0.11014500000000001</v>
      </c>
      <c r="F137" s="401">
        <v>0.107043</v>
      </c>
      <c r="G137" s="401">
        <v>0.105445</v>
      </c>
    </row>
    <row r="138" spans="1:7" x14ac:dyDescent="0.2">
      <c r="A138" s="378" t="s">
        <v>699</v>
      </c>
      <c r="B138" s="401">
        <v>-1.9019000000000001E-2</v>
      </c>
      <c r="C138" s="401">
        <v>-1.0612999999999999E-2</v>
      </c>
      <c r="D138" s="401">
        <v>0.161468</v>
      </c>
      <c r="E138" s="401">
        <v>0.141094</v>
      </c>
      <c r="F138" s="401">
        <v>0.11856700000000001</v>
      </c>
      <c r="G138" s="401">
        <v>0.11031100000000001</v>
      </c>
    </row>
    <row r="139" spans="1:7" x14ac:dyDescent="0.2">
      <c r="A139" s="378" t="s">
        <v>921</v>
      </c>
      <c r="B139" s="401">
        <v>0.215281</v>
      </c>
      <c r="C139" s="401">
        <v>0.172627</v>
      </c>
      <c r="D139" s="401">
        <v>0.18676499999999999</v>
      </c>
      <c r="E139" s="401">
        <v>0.15961500000000001</v>
      </c>
      <c r="F139" s="401">
        <v>0.123117</v>
      </c>
      <c r="G139" s="401">
        <v>0.108475</v>
      </c>
    </row>
    <row r="140" spans="1:7" x14ac:dyDescent="0.2">
      <c r="A140" s="378" t="s">
        <v>920</v>
      </c>
      <c r="B140" s="401">
        <v>0.29330600000000001</v>
      </c>
      <c r="C140" s="401">
        <v>0.19545599999999999</v>
      </c>
      <c r="D140" s="401">
        <v>0.206983</v>
      </c>
      <c r="E140" s="401">
        <v>0.17161499999999999</v>
      </c>
      <c r="F140" s="401">
        <v>0.12528700000000001</v>
      </c>
      <c r="G140" s="401">
        <v>9.4980999999999996E-2</v>
      </c>
    </row>
    <row r="141" spans="1:7" x14ac:dyDescent="0.2">
      <c r="A141" s="378" t="s">
        <v>919</v>
      </c>
      <c r="B141" s="401">
        <v>0.29307</v>
      </c>
      <c r="C141" s="401">
        <v>0.19212599999999999</v>
      </c>
      <c r="D141" s="401">
        <v>0.20377200000000001</v>
      </c>
      <c r="E141" s="401">
        <v>0.16877600000000001</v>
      </c>
      <c r="F141" s="401">
        <v>0.11536</v>
      </c>
      <c r="G141" s="401">
        <v>9.5690999999999998E-2</v>
      </c>
    </row>
    <row r="142" spans="1:7" x14ac:dyDescent="0.2">
      <c r="A142" s="378" t="s">
        <v>676</v>
      </c>
      <c r="B142" s="401">
        <v>0.394926</v>
      </c>
      <c r="C142" s="401">
        <v>0.23814199999999999</v>
      </c>
      <c r="D142" s="401">
        <v>0.17699100000000001</v>
      </c>
      <c r="E142" s="401">
        <v>0.15812399999999999</v>
      </c>
      <c r="F142" s="401">
        <v>2.4841169999999999</v>
      </c>
      <c r="G142" s="401">
        <v>0.91658600000000001</v>
      </c>
    </row>
    <row r="143" spans="1:7" x14ac:dyDescent="0.2">
      <c r="A143" s="378" t="s">
        <v>671</v>
      </c>
      <c r="B143" s="401">
        <v>0.39547900000000002</v>
      </c>
      <c r="C143" s="401">
        <v>0.238678</v>
      </c>
      <c r="D143" s="401">
        <v>0.17732500000000001</v>
      </c>
      <c r="E143" s="401">
        <v>0.15825800000000001</v>
      </c>
      <c r="F143" s="401">
        <v>2.5251649999999999</v>
      </c>
      <c r="G143" s="401">
        <v>0.91762100000000002</v>
      </c>
    </row>
    <row r="144" spans="1:7" x14ac:dyDescent="0.2">
      <c r="A144" s="378" t="s">
        <v>918</v>
      </c>
      <c r="B144" s="401">
        <v>0.28085700000000002</v>
      </c>
      <c r="C144" s="401">
        <v>0.185087</v>
      </c>
      <c r="D144" s="401">
        <v>0.19461700000000001</v>
      </c>
      <c r="E144" s="401">
        <v>0.16425899999999999</v>
      </c>
      <c r="F144" s="401">
        <v>0.10842499999999999</v>
      </c>
      <c r="G144" s="401">
        <v>8.2586999999999994E-2</v>
      </c>
    </row>
    <row r="145" spans="1:7" x14ac:dyDescent="0.2">
      <c r="A145" s="378" t="s">
        <v>917</v>
      </c>
      <c r="B145" s="401">
        <v>0.390183</v>
      </c>
      <c r="C145" s="401">
        <v>0.24032600000000001</v>
      </c>
      <c r="D145" s="401">
        <v>0.185915</v>
      </c>
      <c r="E145" s="401">
        <v>0.17092399999999999</v>
      </c>
      <c r="F145" s="401">
        <v>2.5763370000000001</v>
      </c>
      <c r="G145" s="401">
        <v>0.96297999999999995</v>
      </c>
    </row>
    <row r="146" spans="1:7" x14ac:dyDescent="0.2">
      <c r="A146" s="378"/>
      <c r="B146" s="378"/>
      <c r="C146" s="378"/>
      <c r="D146" s="378"/>
      <c r="E146" s="378"/>
      <c r="F146" s="378"/>
      <c r="G146" s="378"/>
    </row>
    <row r="147" spans="1:7" x14ac:dyDescent="0.2">
      <c r="A147" s="378" t="s">
        <v>916</v>
      </c>
      <c r="B147" s="401">
        <v>0.18416399999999999</v>
      </c>
      <c r="C147" s="401">
        <v>0.18889400000000001</v>
      </c>
      <c r="D147" s="401">
        <v>0.14744699999999999</v>
      </c>
      <c r="E147" s="401">
        <v>0.12365900000000001</v>
      </c>
      <c r="F147" s="401">
        <v>4.3048999999999997E-2</v>
      </c>
      <c r="G147" s="379" t="s">
        <v>625</v>
      </c>
    </row>
    <row r="148" spans="1:7" x14ac:dyDescent="0.2">
      <c r="A148" s="378" t="s">
        <v>915</v>
      </c>
      <c r="B148" s="401">
        <v>0.104093</v>
      </c>
      <c r="C148" s="401">
        <v>0.19181100000000001</v>
      </c>
      <c r="D148" s="401">
        <v>7.3751999999999998E-2</v>
      </c>
      <c r="E148" s="401">
        <v>1.8998000000000001E-2</v>
      </c>
      <c r="F148" s="401">
        <v>4.7364999999999997E-2</v>
      </c>
      <c r="G148" s="379" t="s">
        <v>625</v>
      </c>
    </row>
    <row r="149" spans="1:7" x14ac:dyDescent="0.2">
      <c r="A149" s="378" t="s">
        <v>914</v>
      </c>
      <c r="B149" s="401">
        <v>6.7678000000000002E-2</v>
      </c>
      <c r="C149" s="401">
        <v>0.11089</v>
      </c>
      <c r="D149" s="401">
        <v>0.13997200000000001</v>
      </c>
      <c r="E149" s="401">
        <v>0.13095100000000001</v>
      </c>
      <c r="F149" s="401">
        <v>0.13123799999999999</v>
      </c>
      <c r="G149" s="379" t="s">
        <v>625</v>
      </c>
    </row>
    <row r="150" spans="1:7" x14ac:dyDescent="0.2">
      <c r="A150" s="378" t="s">
        <v>913</v>
      </c>
      <c r="B150" s="401">
        <v>0.140323</v>
      </c>
      <c r="C150" s="401">
        <v>0.142231</v>
      </c>
      <c r="D150" s="401">
        <v>0.14225399999999999</v>
      </c>
      <c r="E150" s="401">
        <v>0.118147</v>
      </c>
      <c r="F150" s="401">
        <v>0.159687</v>
      </c>
      <c r="G150" s="379" t="s">
        <v>625</v>
      </c>
    </row>
    <row r="151" spans="1:7" x14ac:dyDescent="0.2">
      <c r="A151" s="378"/>
      <c r="B151" s="378"/>
      <c r="C151" s="378"/>
      <c r="D151" s="378"/>
      <c r="E151" s="378"/>
      <c r="F151" s="378"/>
      <c r="G151" s="378"/>
    </row>
    <row r="152" spans="1:7" x14ac:dyDescent="0.2">
      <c r="A152" s="378" t="s">
        <v>912</v>
      </c>
      <c r="B152" s="401">
        <v>8.7891999999999998E-2</v>
      </c>
      <c r="C152" s="401">
        <v>2.1812999999999999E-2</v>
      </c>
      <c r="D152" s="401">
        <v>-1.5845999999999999E-2</v>
      </c>
      <c r="E152" s="401">
        <v>-5.3453000000000001E-2</v>
      </c>
      <c r="F152" s="401" t="s">
        <v>858</v>
      </c>
      <c r="G152" s="401">
        <v>-0.20782</v>
      </c>
    </row>
    <row r="153" spans="1:7" x14ac:dyDescent="0.2">
      <c r="A153" s="378" t="s">
        <v>911</v>
      </c>
      <c r="B153" s="401">
        <v>0.115983</v>
      </c>
      <c r="C153" s="401">
        <v>9.6252000000000004E-2</v>
      </c>
      <c r="D153" s="401">
        <v>6.0578E-2</v>
      </c>
      <c r="E153" s="401">
        <v>1.3010000000000001E-2</v>
      </c>
      <c r="F153" s="401">
        <v>-0.235565</v>
      </c>
      <c r="G153" s="401">
        <v>-0.248751</v>
      </c>
    </row>
    <row r="154" spans="1:7" x14ac:dyDescent="0.2">
      <c r="A154" s="378" t="s">
        <v>837</v>
      </c>
      <c r="B154" s="401">
        <v>-0.15236</v>
      </c>
      <c r="C154" s="401">
        <v>0.17069999999999999</v>
      </c>
      <c r="D154" s="401">
        <v>0.23847199999999999</v>
      </c>
      <c r="E154" s="401">
        <v>0.194241</v>
      </c>
      <c r="F154" s="401">
        <v>0.326347</v>
      </c>
      <c r="G154" s="379" t="s">
        <v>625</v>
      </c>
    </row>
    <row r="155" spans="1:7" x14ac:dyDescent="0.2">
      <c r="A155" s="378" t="s">
        <v>910</v>
      </c>
      <c r="B155" s="401">
        <v>0.21107200000000001</v>
      </c>
      <c r="C155" s="401">
        <v>0.23938899999999999</v>
      </c>
      <c r="D155" s="401">
        <v>0.22046299999999999</v>
      </c>
      <c r="E155" s="401">
        <v>0.12155199999999999</v>
      </c>
      <c r="F155" s="401">
        <v>0.114153</v>
      </c>
      <c r="G155" s="379" t="s">
        <v>625</v>
      </c>
    </row>
    <row r="156" spans="1:7" x14ac:dyDescent="0.2">
      <c r="A156" s="378" t="s">
        <v>909</v>
      </c>
      <c r="B156" s="401" t="s">
        <v>858</v>
      </c>
      <c r="C156" s="401">
        <v>0.13316</v>
      </c>
      <c r="D156" s="401">
        <v>0.21518100000000001</v>
      </c>
      <c r="E156" s="401">
        <v>0.246673</v>
      </c>
      <c r="F156" s="401">
        <v>-0.13341</v>
      </c>
      <c r="G156" s="379" t="s">
        <v>625</v>
      </c>
    </row>
    <row r="157" spans="1:7" x14ac:dyDescent="0.2">
      <c r="A157" s="378" t="s">
        <v>908</v>
      </c>
      <c r="B157" s="401" t="s">
        <v>858</v>
      </c>
      <c r="C157" s="401">
        <v>0.13369200000000001</v>
      </c>
      <c r="D157" s="401">
        <v>0.21477299999999999</v>
      </c>
      <c r="E157" s="401">
        <v>0.24623800000000001</v>
      </c>
      <c r="F157" s="401">
        <v>-0.12514400000000001</v>
      </c>
      <c r="G157" s="379" t="s">
        <v>625</v>
      </c>
    </row>
    <row r="158" spans="1:7" x14ac:dyDescent="0.2">
      <c r="A158" s="378" t="s">
        <v>907</v>
      </c>
      <c r="B158" s="379" t="s">
        <v>625</v>
      </c>
      <c r="C158" s="401">
        <v>0.30451</v>
      </c>
      <c r="D158" s="401">
        <v>0.24868299999999999</v>
      </c>
      <c r="E158" s="401">
        <v>0.238732</v>
      </c>
      <c r="F158" s="401">
        <v>0.242919</v>
      </c>
      <c r="G158" s="401">
        <v>0.24038399999999999</v>
      </c>
    </row>
    <row r="159" spans="1:7" x14ac:dyDescent="0.2">
      <c r="A159" s="378"/>
      <c r="B159" s="378"/>
      <c r="C159" s="378"/>
      <c r="D159" s="378"/>
      <c r="E159" s="378"/>
      <c r="F159" s="378"/>
      <c r="G159" s="378"/>
    </row>
    <row r="160" spans="1:7" ht="67.5" x14ac:dyDescent="0.2">
      <c r="A160" s="400" t="s">
        <v>617</v>
      </c>
      <c r="B160" s="377"/>
      <c r="C160" s="377"/>
      <c r="D160" s="377"/>
      <c r="E160" s="377"/>
      <c r="F160" s="377"/>
      <c r="G160" s="377"/>
    </row>
  </sheetData>
  <pageMargins left="0.2" right="0.2" top="0.5" bottom="0.5" header="0.5" footer="0.5"/>
  <pageSetup fitToWidth="0" fitToHeight="0" orientation="landscape" horizontalDpi="0" verticalDpi="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4"/>
  <dimension ref="A1:C4"/>
  <sheetViews>
    <sheetView workbookViewId="0">
      <selection activeCell="A2" sqref="A2:C4"/>
    </sheetView>
  </sheetViews>
  <sheetFormatPr defaultRowHeight="14.25" x14ac:dyDescent="0.2"/>
  <cols>
    <col min="1" max="1" width="22.75" bestFit="1" customWidth="1"/>
    <col min="2" max="2" width="9" bestFit="1" customWidth="1"/>
    <col min="3" max="3" width="19.125" customWidth="1"/>
  </cols>
  <sheetData>
    <row r="1" spans="1:3" ht="41.45" customHeight="1" x14ac:dyDescent="0.2">
      <c r="A1" s="420" t="s">
        <v>184</v>
      </c>
      <c r="B1" s="420"/>
      <c r="C1" s="420"/>
    </row>
    <row r="2" spans="1:3" x14ac:dyDescent="0.2">
      <c r="A2" t="s">
        <v>0</v>
      </c>
      <c r="B2" s="15">
        <v>205.7</v>
      </c>
      <c r="C2" t="s">
        <v>37</v>
      </c>
    </row>
    <row r="3" spans="1:3" x14ac:dyDescent="0.2">
      <c r="A3" t="s">
        <v>15</v>
      </c>
      <c r="B3" s="15">
        <v>33.799999999999997</v>
      </c>
    </row>
    <row r="4" spans="1:3" x14ac:dyDescent="0.2">
      <c r="A4" t="s">
        <v>537</v>
      </c>
      <c r="B4" s="13">
        <f>B3*B2</f>
        <v>6952.6599999999989</v>
      </c>
      <c r="C4" t="e">
        <f ca="1">getformula(B4)&amp;", million $"</f>
        <v>#NAME?</v>
      </c>
    </row>
  </sheetData>
  <mergeCells count="1">
    <mergeCell ref="A1:C1"/>
  </mergeCells>
  <printOptions headings="1" gridLines="1"/>
  <pageMargins left="0.7" right="0.7" top="0.75" bottom="0.75" header="0.3" footer="0.3"/>
  <pageSetup orientation="portrait" verticalDpi="4"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A1:J9"/>
  <sheetViews>
    <sheetView workbookViewId="0">
      <selection activeCell="A3" sqref="A3:B9"/>
    </sheetView>
  </sheetViews>
  <sheetFormatPr defaultRowHeight="14.25" x14ac:dyDescent="0.2"/>
  <cols>
    <col min="1" max="1" width="20.625" customWidth="1"/>
    <col min="4" max="4" width="26.875" bestFit="1" customWidth="1"/>
    <col min="7" max="7" width="18.25" customWidth="1"/>
  </cols>
  <sheetData>
    <row r="1" spans="1:10" ht="35.450000000000003" customHeight="1" x14ac:dyDescent="0.2">
      <c r="A1" s="420" t="s">
        <v>90</v>
      </c>
      <c r="B1" s="421"/>
      <c r="C1" s="421"/>
      <c r="D1" s="421"/>
      <c r="G1" s="421" t="s">
        <v>89</v>
      </c>
      <c r="H1" s="421"/>
      <c r="I1" s="421"/>
      <c r="J1" s="421"/>
    </row>
    <row r="2" spans="1:10" ht="15" x14ac:dyDescent="0.25">
      <c r="B2" s="82">
        <v>2011</v>
      </c>
      <c r="C2" s="82">
        <v>2010</v>
      </c>
      <c r="G2" s="137"/>
      <c r="H2" s="85">
        <v>2010</v>
      </c>
      <c r="I2" s="85">
        <v>2011</v>
      </c>
      <c r="J2" s="138"/>
    </row>
    <row r="3" spans="1:10" x14ac:dyDescent="0.2">
      <c r="A3" t="s">
        <v>84</v>
      </c>
      <c r="B3" s="13">
        <v>825000</v>
      </c>
      <c r="C3" s="13">
        <v>188000</v>
      </c>
      <c r="G3" s="138" t="s">
        <v>84</v>
      </c>
      <c r="H3" s="139">
        <v>5498</v>
      </c>
      <c r="I3" s="139">
        <v>5065</v>
      </c>
      <c r="J3" s="138"/>
    </row>
    <row r="4" spans="1:10" x14ac:dyDescent="0.2">
      <c r="A4" t="s">
        <v>85</v>
      </c>
      <c r="B4" s="13">
        <v>0</v>
      </c>
      <c r="C4" s="13">
        <v>0</v>
      </c>
      <c r="G4" s="138" t="s">
        <v>85</v>
      </c>
      <c r="H4" s="139">
        <v>16387</v>
      </c>
      <c r="I4" s="139">
        <v>9772</v>
      </c>
      <c r="J4" s="138"/>
    </row>
    <row r="5" spans="1:10" x14ac:dyDescent="0.2">
      <c r="B5" s="13"/>
      <c r="C5" s="13"/>
      <c r="G5" s="138"/>
      <c r="H5" s="139"/>
      <c r="I5" s="139"/>
      <c r="J5" s="138"/>
    </row>
    <row r="6" spans="1:10" ht="42.75" x14ac:dyDescent="0.2">
      <c r="A6" s="18" t="s">
        <v>88</v>
      </c>
      <c r="B6" s="13">
        <v>588000</v>
      </c>
      <c r="C6" s="13">
        <v>1315000</v>
      </c>
      <c r="G6" s="18" t="s">
        <v>86</v>
      </c>
      <c r="H6" s="139">
        <v>38</v>
      </c>
      <c r="I6" s="139">
        <v>247</v>
      </c>
      <c r="J6" s="138"/>
    </row>
    <row r="7" spans="1:10" x14ac:dyDescent="0.2">
      <c r="A7" t="s">
        <v>87</v>
      </c>
      <c r="B7" s="13">
        <v>7304000</v>
      </c>
      <c r="C7" s="13">
        <v>6850000</v>
      </c>
      <c r="G7" s="138" t="s">
        <v>87</v>
      </c>
      <c r="H7" s="139">
        <v>2077</v>
      </c>
      <c r="I7" s="139">
        <v>7084</v>
      </c>
      <c r="J7" s="138"/>
    </row>
    <row r="8" spans="1:10" ht="15" x14ac:dyDescent="0.25">
      <c r="B8" s="13"/>
      <c r="C8" s="13"/>
      <c r="G8" s="137" t="s">
        <v>17</v>
      </c>
      <c r="H8" s="140">
        <f>SUM(H6:H7)-SUM(H3:H4)</f>
        <v>-19770</v>
      </c>
      <c r="I8" s="140">
        <f>SUM(I6:I7)-SUM(I3:I4)</f>
        <v>-7506</v>
      </c>
      <c r="J8" s="138" t="e">
        <f ca="1">getformula(I8)</f>
        <v>#NAME?</v>
      </c>
    </row>
    <row r="9" spans="1:10" x14ac:dyDescent="0.2">
      <c r="A9" t="s">
        <v>17</v>
      </c>
      <c r="B9" s="83">
        <f>SUM(B6:B7)-SUM(B3:B4)</f>
        <v>7067000</v>
      </c>
      <c r="C9" s="83">
        <f>SUM(C6:C7)-SUM(C3:C4)</f>
        <v>7977000</v>
      </c>
      <c r="D9" t="e">
        <f ca="1">getformula(C9)</f>
        <v>#NAME?</v>
      </c>
    </row>
  </sheetData>
  <mergeCells count="2">
    <mergeCell ref="A1:D1"/>
    <mergeCell ref="G1:J1"/>
  </mergeCells>
  <printOptions headings="1" gridLines="1"/>
  <pageMargins left="0.7" right="0.7" top="0.75" bottom="0.75" header="0.3" footer="0.3"/>
  <pageSetup paperSize="9" orientation="portrait" verticalDpi="4"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E5"/>
  <sheetViews>
    <sheetView workbookViewId="0">
      <selection activeCell="A2" sqref="A2:E5"/>
    </sheetView>
  </sheetViews>
  <sheetFormatPr defaultRowHeight="14.25" x14ac:dyDescent="0.2"/>
  <cols>
    <col min="1" max="1" width="17.75" customWidth="1"/>
    <col min="5" max="5" width="10.375" bestFit="1" customWidth="1"/>
  </cols>
  <sheetData>
    <row r="1" spans="1:5" ht="21.6" customHeight="1" x14ac:dyDescent="0.2">
      <c r="A1" s="420" t="s">
        <v>211</v>
      </c>
      <c r="B1" s="420"/>
      <c r="C1" s="420"/>
      <c r="D1" s="420"/>
      <c r="E1" s="420"/>
    </row>
    <row r="2" spans="1:5" ht="15" x14ac:dyDescent="0.25">
      <c r="B2" s="85">
        <v>2009</v>
      </c>
      <c r="C2" s="85">
        <v>2010</v>
      </c>
      <c r="D2" s="85">
        <v>2011</v>
      </c>
    </row>
    <row r="3" spans="1:5" x14ac:dyDescent="0.2">
      <c r="A3" t="s">
        <v>91</v>
      </c>
      <c r="B3" s="13">
        <v>250942</v>
      </c>
      <c r="C3" s="13">
        <v>411781</v>
      </c>
      <c r="D3" s="13">
        <v>551712</v>
      </c>
    </row>
    <row r="4" spans="1:5" x14ac:dyDescent="0.2">
      <c r="A4" t="s">
        <v>92</v>
      </c>
      <c r="B4" s="13">
        <v>104138</v>
      </c>
      <c r="C4" s="13">
        <v>165948</v>
      </c>
      <c r="D4" s="13">
        <v>209100</v>
      </c>
    </row>
    <row r="5" spans="1:5" ht="16.5" x14ac:dyDescent="0.3">
      <c r="A5" s="14" t="s">
        <v>210</v>
      </c>
      <c r="B5" s="84">
        <f>B4/B3</f>
        <v>0.41498832399518615</v>
      </c>
      <c r="C5" s="84">
        <f>C4/C3</f>
        <v>0.4030006241181599</v>
      </c>
      <c r="D5" s="84">
        <f>D4/D3</f>
        <v>0.37900208804593699</v>
      </c>
      <c r="E5" t="e">
        <f ca="1">getformula(D5)</f>
        <v>#NAME?</v>
      </c>
    </row>
  </sheetData>
  <mergeCells count="1">
    <mergeCell ref="A1:E1"/>
  </mergeCells>
  <printOptions headings="1" gridLines="1"/>
  <pageMargins left="0.7" right="0.7" top="0.75" bottom="0.75" header="0.3" footer="0.3"/>
  <pageSetup paperSize="9" orientation="portrait" verticalDpi="4"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O65"/>
  <sheetViews>
    <sheetView topLeftCell="A25" workbookViewId="0">
      <selection activeCell="K2" sqref="K2:M18"/>
    </sheetView>
  </sheetViews>
  <sheetFormatPr defaultRowHeight="14.25" x14ac:dyDescent="0.2"/>
  <cols>
    <col min="1" max="1" width="24.75" customWidth="1"/>
    <col min="5" max="5" width="26.875" bestFit="1" customWidth="1"/>
    <col min="11" max="15" width="12.25" customWidth="1"/>
  </cols>
  <sheetData>
    <row r="1" spans="1:15" ht="21" x14ac:dyDescent="0.35">
      <c r="A1" s="422" t="s">
        <v>212</v>
      </c>
      <c r="B1" s="422"/>
      <c r="C1" s="422"/>
      <c r="D1" s="422"/>
      <c r="E1" s="422"/>
      <c r="K1" s="422" t="s">
        <v>96</v>
      </c>
      <c r="L1" s="422"/>
      <c r="M1" s="422"/>
      <c r="N1" s="422"/>
      <c r="O1" s="422"/>
    </row>
    <row r="2" spans="1:15" ht="15" x14ac:dyDescent="0.25">
      <c r="B2" s="85">
        <v>2009</v>
      </c>
      <c r="C2" s="85">
        <v>2010</v>
      </c>
      <c r="D2" s="85">
        <v>2011</v>
      </c>
      <c r="K2" s="141"/>
      <c r="L2" s="85">
        <v>2009</v>
      </c>
      <c r="M2" s="85">
        <v>2010</v>
      </c>
      <c r="N2" s="85">
        <v>2011</v>
      </c>
      <c r="O2" s="141"/>
    </row>
    <row r="3" spans="1:15" x14ac:dyDescent="0.2">
      <c r="A3" t="s">
        <v>84</v>
      </c>
      <c r="B3" s="13">
        <v>1218000</v>
      </c>
      <c r="C3" s="13">
        <v>578000</v>
      </c>
      <c r="D3" s="13">
        <v>408000</v>
      </c>
      <c r="K3" s="138" t="s">
        <v>84</v>
      </c>
      <c r="L3" s="139">
        <v>9311000</v>
      </c>
      <c r="M3" s="139">
        <v>10900000</v>
      </c>
      <c r="N3" s="139">
        <v>13531000</v>
      </c>
      <c r="O3" s="138"/>
    </row>
    <row r="4" spans="1:15" x14ac:dyDescent="0.2">
      <c r="A4" t="s">
        <v>95</v>
      </c>
      <c r="B4" s="13">
        <v>0</v>
      </c>
      <c r="C4" s="13">
        <v>0</v>
      </c>
      <c r="D4" s="13">
        <v>0</v>
      </c>
      <c r="K4" s="138" t="s">
        <v>95</v>
      </c>
      <c r="L4" s="139">
        <v>293000</v>
      </c>
      <c r="M4" s="139">
        <v>1301000</v>
      </c>
      <c r="N4" s="139">
        <v>1441000</v>
      </c>
      <c r="O4" s="138"/>
    </row>
    <row r="5" spans="1:15" x14ac:dyDescent="0.2">
      <c r="B5" s="13"/>
      <c r="C5" s="13"/>
      <c r="D5" s="13"/>
      <c r="K5" s="138" t="s">
        <v>186</v>
      </c>
      <c r="L5" s="139">
        <f>L4+L3</f>
        <v>9604000</v>
      </c>
      <c r="M5" s="139">
        <f>M4+M3</f>
        <v>12201000</v>
      </c>
      <c r="N5" s="139">
        <f>N4+N3</f>
        <v>14972000</v>
      </c>
      <c r="O5" s="138" t="e">
        <f ca="1">getformula(N5)</f>
        <v>#NAME?</v>
      </c>
    </row>
    <row r="6" spans="1:15" ht="28.5" x14ac:dyDescent="0.2">
      <c r="A6" s="52" t="s">
        <v>86</v>
      </c>
      <c r="B6" s="13">
        <v>19000</v>
      </c>
      <c r="C6" s="13">
        <v>216000</v>
      </c>
      <c r="D6" s="13">
        <v>400000</v>
      </c>
      <c r="K6" s="138"/>
      <c r="L6" s="139"/>
      <c r="M6" s="139"/>
      <c r="N6" s="139"/>
      <c r="O6" s="138"/>
    </row>
    <row r="7" spans="1:15" x14ac:dyDescent="0.2">
      <c r="A7" t="s">
        <v>87</v>
      </c>
      <c r="B7" s="13">
        <v>3828000</v>
      </c>
      <c r="C7" s="13">
        <v>3517000</v>
      </c>
      <c r="D7" s="13">
        <v>3345000</v>
      </c>
      <c r="K7" s="142" t="s">
        <v>86</v>
      </c>
      <c r="L7" s="139">
        <v>1379000</v>
      </c>
      <c r="M7" s="139">
        <v>2400000</v>
      </c>
      <c r="N7" s="139">
        <v>1990000</v>
      </c>
      <c r="O7" s="138"/>
    </row>
    <row r="8" spans="1:15" x14ac:dyDescent="0.2">
      <c r="B8" s="13"/>
      <c r="C8" s="13"/>
      <c r="D8" s="13"/>
      <c r="K8" s="138" t="s">
        <v>87</v>
      </c>
      <c r="L8" s="139">
        <v>16095000</v>
      </c>
      <c r="M8" s="139">
        <v>15482000</v>
      </c>
      <c r="N8" s="139">
        <v>15525000</v>
      </c>
      <c r="O8" s="138"/>
    </row>
    <row r="9" spans="1:15" x14ac:dyDescent="0.2">
      <c r="A9" t="s">
        <v>17</v>
      </c>
      <c r="B9" s="13">
        <f>SUM(B6:B7)-SUM(B3:B4)</f>
        <v>2629000</v>
      </c>
      <c r="C9" s="13">
        <f>SUM(C6:C7)-SUM(C3:C4)</f>
        <v>3155000</v>
      </c>
      <c r="D9" s="13">
        <f>SUM(D6:D7)-SUM(D3:D4)</f>
        <v>3337000</v>
      </c>
      <c r="E9" t="e">
        <f ca="1">getformula(D9)</f>
        <v>#NAME?</v>
      </c>
      <c r="K9" s="138" t="s">
        <v>187</v>
      </c>
      <c r="L9" s="139">
        <f>L7+L8</f>
        <v>17474000</v>
      </c>
      <c r="M9" s="139">
        <f>M7+M8</f>
        <v>17882000</v>
      </c>
      <c r="N9" s="139">
        <f>N7+N8</f>
        <v>17515000</v>
      </c>
      <c r="O9" s="138" t="e">
        <f ca="1">getformula(N9)</f>
        <v>#NAME?</v>
      </c>
    </row>
    <row r="10" spans="1:15" x14ac:dyDescent="0.2">
      <c r="A10" t="s">
        <v>93</v>
      </c>
      <c r="B10" s="13">
        <v>190000</v>
      </c>
      <c r="C10" s="13">
        <v>195000</v>
      </c>
      <c r="D10" s="13">
        <v>159000</v>
      </c>
      <c r="K10" s="138"/>
      <c r="L10" s="139"/>
      <c r="M10" s="139"/>
      <c r="N10" s="139"/>
      <c r="O10" s="138"/>
    </row>
    <row r="11" spans="1:15" ht="16.5" x14ac:dyDescent="0.3">
      <c r="A11" s="86" t="s">
        <v>185</v>
      </c>
      <c r="B11" s="86"/>
      <c r="C11" s="87">
        <f>C10/AVERAGE(B9:C9)</f>
        <v>6.7427385892116179E-2</v>
      </c>
      <c r="D11" s="87">
        <f>D10/AVERAGE(C9:D9)</f>
        <v>4.8983364140480594E-2</v>
      </c>
      <c r="E11" t="e">
        <f ca="1">getformula(D11)</f>
        <v>#NAME?</v>
      </c>
      <c r="K11" s="138" t="s">
        <v>17</v>
      </c>
      <c r="L11" s="139">
        <f>L9-L5</f>
        <v>7870000</v>
      </c>
      <c r="M11" s="139">
        <f t="shared" ref="M11:N11" si="0">M9-M5</f>
        <v>5681000</v>
      </c>
      <c r="N11" s="139">
        <f t="shared" si="0"/>
        <v>2543000</v>
      </c>
      <c r="O11" s="138" t="e">
        <f ca="1">getformula(N11)</f>
        <v>#NAME?</v>
      </c>
    </row>
    <row r="12" spans="1:15" x14ac:dyDescent="0.2">
      <c r="K12" s="138" t="s">
        <v>19</v>
      </c>
      <c r="L12" s="139">
        <v>210000</v>
      </c>
      <c r="M12" s="139">
        <v>83000</v>
      </c>
      <c r="N12" s="139">
        <v>199000</v>
      </c>
      <c r="O12" s="138"/>
    </row>
    <row r="13" spans="1:15" x14ac:dyDescent="0.2">
      <c r="K13" s="138" t="s">
        <v>20</v>
      </c>
      <c r="L13" s="139">
        <v>460000</v>
      </c>
      <c r="M13" s="139">
        <v>715000</v>
      </c>
      <c r="N13" s="139">
        <v>749000</v>
      </c>
      <c r="O13" s="138"/>
    </row>
    <row r="14" spans="1:15" x14ac:dyDescent="0.2">
      <c r="K14" s="138" t="s">
        <v>18</v>
      </c>
      <c r="L14" s="139">
        <f>L13-L12</f>
        <v>250000</v>
      </c>
      <c r="M14" s="139">
        <f>M13-M12</f>
        <v>632000</v>
      </c>
      <c r="N14" s="139">
        <f>N13-N12</f>
        <v>550000</v>
      </c>
      <c r="O14" s="138" t="e">
        <f ca="1">getformula(N14)</f>
        <v>#NAME?</v>
      </c>
    </row>
    <row r="15" spans="1:15" ht="18.75" x14ac:dyDescent="0.35">
      <c r="K15" s="143" t="s">
        <v>94</v>
      </c>
      <c r="L15" s="143"/>
      <c r="M15" s="144">
        <f>M14/AVERAGE(L11:M11)</f>
        <v>9.327724891151945E-2</v>
      </c>
      <c r="N15" s="144">
        <f>N14/AVERAGE(M11:N11)</f>
        <v>0.13375486381322957</v>
      </c>
      <c r="O15" s="138" t="e">
        <f ca="1">getformula(N15)</f>
        <v>#NAME?</v>
      </c>
    </row>
    <row r="16" spans="1:15" x14ac:dyDescent="0.2">
      <c r="K16" s="138"/>
      <c r="L16" s="138"/>
      <c r="M16" s="138"/>
      <c r="N16" s="138"/>
      <c r="O16" s="138"/>
    </row>
    <row r="17" spans="11:15" x14ac:dyDescent="0.2">
      <c r="K17" s="143" t="s">
        <v>97</v>
      </c>
      <c r="L17" s="143"/>
      <c r="M17" s="144">
        <f>M12/AVERAGE(SUM(M3:M4),SUM(L3:L4))</f>
        <v>7.6129328135748683E-3</v>
      </c>
      <c r="N17" s="144">
        <f>N12/AVERAGE(SUM(N3:N4),SUM(M3:M4))</f>
        <v>1.4646892135575755E-2</v>
      </c>
      <c r="O17" s="138" t="e">
        <f ca="1">getformula(N17)</f>
        <v>#NAME?</v>
      </c>
    </row>
    <row r="18" spans="11:15" x14ac:dyDescent="0.2">
      <c r="K18" s="143" t="s">
        <v>98</v>
      </c>
      <c r="L18" s="143"/>
      <c r="M18" s="144">
        <f>M13/AVERAGE(SUM(M7:M8),SUM(L7:L8))</f>
        <v>4.0445751781875774E-2</v>
      </c>
      <c r="N18" s="144">
        <f>N13/AVERAGE(SUM(N7:N8),SUM(M7:M8))</f>
        <v>4.2319970618979012E-2</v>
      </c>
      <c r="O18" s="138" t="e">
        <f ca="1">getformula(N18)</f>
        <v>#NAME?</v>
      </c>
    </row>
    <row r="19" spans="11:15" x14ac:dyDescent="0.2">
      <c r="K19" s="138"/>
      <c r="L19" s="138"/>
      <c r="M19" s="138"/>
      <c r="N19" s="139"/>
      <c r="O19" s="138"/>
    </row>
    <row r="20" spans="11:15" x14ac:dyDescent="0.2">
      <c r="K20" s="138"/>
      <c r="L20" s="138"/>
      <c r="M20" s="139"/>
      <c r="N20" s="139"/>
      <c r="O20" s="138"/>
    </row>
    <row r="21" spans="11:15" x14ac:dyDescent="0.2">
      <c r="K21" s="138"/>
      <c r="L21" s="138"/>
      <c r="M21" s="138"/>
      <c r="N21" s="139"/>
      <c r="O21" s="138"/>
    </row>
    <row r="22" spans="11:15" x14ac:dyDescent="0.2">
      <c r="K22" s="138"/>
      <c r="L22" s="138"/>
      <c r="M22" s="138"/>
      <c r="N22" s="138"/>
      <c r="O22" s="138"/>
    </row>
    <row r="23" spans="11:15" x14ac:dyDescent="0.2">
      <c r="K23" s="138"/>
      <c r="L23" s="138"/>
      <c r="M23" s="138"/>
      <c r="N23" s="138"/>
      <c r="O23" s="138"/>
    </row>
    <row r="24" spans="11:15" x14ac:dyDescent="0.2">
      <c r="K24" s="138"/>
      <c r="L24" s="138"/>
      <c r="M24" s="138"/>
      <c r="N24" s="138"/>
      <c r="O24" s="138"/>
    </row>
    <row r="25" spans="11:15" x14ac:dyDescent="0.2">
      <c r="K25" s="138"/>
      <c r="L25" s="138"/>
      <c r="M25" s="138"/>
      <c r="N25" s="138"/>
      <c r="O25" s="138"/>
    </row>
    <row r="26" spans="11:15" x14ac:dyDescent="0.2">
      <c r="K26" s="138"/>
      <c r="L26" s="138"/>
      <c r="M26" s="138"/>
      <c r="N26" s="138"/>
      <c r="O26" s="138"/>
    </row>
    <row r="27" spans="11:15" x14ac:dyDescent="0.2">
      <c r="K27" s="138"/>
      <c r="L27" s="138"/>
      <c r="M27" s="138"/>
      <c r="N27" s="138"/>
      <c r="O27" s="138"/>
    </row>
    <row r="28" spans="11:15" x14ac:dyDescent="0.2">
      <c r="K28" s="138"/>
      <c r="L28" s="138"/>
      <c r="M28" s="138"/>
      <c r="N28" s="138"/>
      <c r="O28" s="138"/>
    </row>
    <row r="29" spans="11:15" x14ac:dyDescent="0.2">
      <c r="K29" s="138"/>
      <c r="L29" s="138"/>
      <c r="M29" s="138"/>
      <c r="N29" s="138"/>
      <c r="O29" s="138"/>
    </row>
    <row r="30" spans="11:15" x14ac:dyDescent="0.2">
      <c r="K30" s="138"/>
      <c r="L30" s="138"/>
      <c r="M30" s="138"/>
      <c r="N30" s="138"/>
      <c r="O30" s="138"/>
    </row>
    <row r="31" spans="11:15" x14ac:dyDescent="0.2">
      <c r="K31" s="138"/>
      <c r="L31" s="138"/>
      <c r="M31" s="138"/>
      <c r="N31" s="138"/>
      <c r="O31" s="138"/>
    </row>
    <row r="32" spans="11:15" x14ac:dyDescent="0.2">
      <c r="K32" s="138"/>
      <c r="L32" s="138"/>
      <c r="M32" s="138"/>
      <c r="N32" s="138"/>
      <c r="O32" s="138"/>
    </row>
    <row r="33" spans="11:15" x14ac:dyDescent="0.2">
      <c r="K33" s="138"/>
      <c r="L33" s="138"/>
      <c r="M33" s="138"/>
      <c r="N33" s="138"/>
      <c r="O33" s="138"/>
    </row>
    <row r="34" spans="11:15" x14ac:dyDescent="0.2">
      <c r="K34" s="138"/>
      <c r="L34" s="138"/>
      <c r="M34" s="138"/>
      <c r="N34" s="138"/>
      <c r="O34" s="138"/>
    </row>
    <row r="35" spans="11:15" x14ac:dyDescent="0.2">
      <c r="K35" s="138"/>
      <c r="L35" s="138"/>
      <c r="M35" s="138"/>
      <c r="N35" s="138"/>
      <c r="O35" s="138"/>
    </row>
    <row r="36" spans="11:15" x14ac:dyDescent="0.2">
      <c r="K36" s="138"/>
      <c r="L36" s="138"/>
      <c r="M36" s="138"/>
      <c r="N36" s="138"/>
      <c r="O36" s="138"/>
    </row>
    <row r="37" spans="11:15" x14ac:dyDescent="0.2">
      <c r="K37" s="138"/>
      <c r="L37" s="138"/>
      <c r="M37" s="138"/>
      <c r="N37" s="138"/>
      <c r="O37" s="138"/>
    </row>
    <row r="38" spans="11:15" x14ac:dyDescent="0.2">
      <c r="K38" s="138"/>
      <c r="L38" s="138"/>
      <c r="M38" s="138"/>
      <c r="N38" s="138"/>
      <c r="O38" s="138"/>
    </row>
    <row r="39" spans="11:15" x14ac:dyDescent="0.2">
      <c r="K39" s="138"/>
      <c r="L39" s="138"/>
      <c r="M39" s="138"/>
      <c r="N39" s="138"/>
      <c r="O39" s="138"/>
    </row>
    <row r="40" spans="11:15" x14ac:dyDescent="0.2">
      <c r="K40" s="138"/>
      <c r="L40" s="138"/>
      <c r="M40" s="138"/>
      <c r="N40" s="138"/>
      <c r="O40" s="138"/>
    </row>
    <row r="41" spans="11:15" x14ac:dyDescent="0.2">
      <c r="K41" s="138"/>
      <c r="L41" s="138"/>
      <c r="M41" s="138"/>
      <c r="N41" s="138"/>
      <c r="O41" s="138"/>
    </row>
    <row r="42" spans="11:15" x14ac:dyDescent="0.2">
      <c r="K42" s="138"/>
      <c r="L42" s="138"/>
      <c r="M42" s="138"/>
      <c r="N42" s="138"/>
      <c r="O42" s="138"/>
    </row>
    <row r="43" spans="11:15" x14ac:dyDescent="0.2">
      <c r="K43" s="138"/>
      <c r="L43" s="138"/>
      <c r="M43" s="138"/>
      <c r="N43" s="138"/>
      <c r="O43" s="138"/>
    </row>
    <row r="44" spans="11:15" x14ac:dyDescent="0.2">
      <c r="K44" s="138"/>
      <c r="L44" s="138"/>
      <c r="M44" s="138"/>
      <c r="N44" s="138"/>
      <c r="O44" s="138"/>
    </row>
    <row r="45" spans="11:15" x14ac:dyDescent="0.2">
      <c r="K45" s="138"/>
      <c r="L45" s="138"/>
      <c r="M45" s="138"/>
      <c r="N45" s="138"/>
      <c r="O45" s="138"/>
    </row>
    <row r="46" spans="11:15" x14ac:dyDescent="0.2">
      <c r="K46" s="138"/>
      <c r="L46" s="138"/>
      <c r="M46" s="138"/>
      <c r="N46" s="138"/>
      <c r="O46" s="138"/>
    </row>
    <row r="47" spans="11:15" x14ac:dyDescent="0.2">
      <c r="K47" s="138"/>
      <c r="L47" s="138"/>
      <c r="M47" s="138"/>
      <c r="N47" s="138"/>
      <c r="O47" s="138"/>
    </row>
    <row r="48" spans="11:15" x14ac:dyDescent="0.2">
      <c r="K48" s="138"/>
      <c r="L48" s="138"/>
      <c r="M48" s="138"/>
      <c r="N48" s="138"/>
      <c r="O48" s="138"/>
    </row>
    <row r="49" spans="11:15" x14ac:dyDescent="0.2">
      <c r="K49" s="138"/>
      <c r="L49" s="138"/>
      <c r="M49" s="138"/>
      <c r="N49" s="138"/>
      <c r="O49" s="138"/>
    </row>
    <row r="50" spans="11:15" x14ac:dyDescent="0.2">
      <c r="K50" s="138"/>
      <c r="L50" s="138"/>
      <c r="M50" s="138"/>
      <c r="N50" s="138"/>
      <c r="O50" s="138"/>
    </row>
    <row r="51" spans="11:15" x14ac:dyDescent="0.2">
      <c r="K51" s="138"/>
      <c r="L51" s="138"/>
      <c r="M51" s="138"/>
      <c r="N51" s="138"/>
      <c r="O51" s="138"/>
    </row>
    <row r="52" spans="11:15" x14ac:dyDescent="0.2">
      <c r="K52" s="138"/>
      <c r="L52" s="138"/>
      <c r="M52" s="138"/>
      <c r="N52" s="138"/>
      <c r="O52" s="138"/>
    </row>
    <row r="53" spans="11:15" x14ac:dyDescent="0.2">
      <c r="K53" s="138"/>
      <c r="L53" s="138"/>
      <c r="M53" s="138"/>
      <c r="N53" s="138"/>
      <c r="O53" s="138"/>
    </row>
    <row r="54" spans="11:15" x14ac:dyDescent="0.2">
      <c r="K54" s="138"/>
      <c r="L54" s="138"/>
      <c r="M54" s="138"/>
      <c r="N54" s="138"/>
      <c r="O54" s="138"/>
    </row>
    <row r="55" spans="11:15" x14ac:dyDescent="0.2">
      <c r="K55" s="138"/>
      <c r="L55" s="138"/>
      <c r="M55" s="138"/>
      <c r="N55" s="138"/>
      <c r="O55" s="138"/>
    </row>
    <row r="56" spans="11:15" x14ac:dyDescent="0.2">
      <c r="K56" s="138"/>
      <c r="L56" s="138"/>
      <c r="M56" s="138"/>
      <c r="N56" s="138"/>
      <c r="O56" s="138"/>
    </row>
    <row r="57" spans="11:15" x14ac:dyDescent="0.2">
      <c r="K57" s="138"/>
      <c r="L57" s="138"/>
      <c r="M57" s="138"/>
      <c r="N57" s="138"/>
      <c r="O57" s="138"/>
    </row>
    <row r="58" spans="11:15" x14ac:dyDescent="0.2">
      <c r="K58" s="138"/>
      <c r="L58" s="138"/>
      <c r="M58" s="138"/>
      <c r="N58" s="138"/>
      <c r="O58" s="138"/>
    </row>
    <row r="59" spans="11:15" x14ac:dyDescent="0.2">
      <c r="K59" s="138"/>
      <c r="L59" s="138"/>
      <c r="M59" s="138"/>
      <c r="N59" s="138"/>
      <c r="O59" s="138"/>
    </row>
    <row r="60" spans="11:15" x14ac:dyDescent="0.2">
      <c r="K60" s="138"/>
      <c r="L60" s="138"/>
      <c r="M60" s="138"/>
      <c r="N60" s="138"/>
      <c r="O60" s="138"/>
    </row>
    <row r="61" spans="11:15" x14ac:dyDescent="0.2">
      <c r="K61" s="138"/>
      <c r="L61" s="138"/>
      <c r="M61" s="138"/>
      <c r="N61" s="138"/>
      <c r="O61" s="138"/>
    </row>
    <row r="62" spans="11:15" x14ac:dyDescent="0.2">
      <c r="K62" s="138"/>
      <c r="L62" s="138"/>
      <c r="M62" s="138"/>
      <c r="N62" s="138"/>
      <c r="O62" s="138"/>
    </row>
    <row r="63" spans="11:15" x14ac:dyDescent="0.2">
      <c r="K63" s="138"/>
      <c r="L63" s="138"/>
      <c r="M63" s="138"/>
      <c r="N63" s="138"/>
      <c r="O63" s="138"/>
    </row>
    <row r="64" spans="11:15" x14ac:dyDescent="0.2">
      <c r="K64" s="138"/>
      <c r="L64" s="138"/>
      <c r="M64" s="138"/>
      <c r="N64" s="138"/>
      <c r="O64" s="138"/>
    </row>
    <row r="65" spans="11:15" x14ac:dyDescent="0.2">
      <c r="K65" s="138"/>
      <c r="L65" s="138"/>
      <c r="M65" s="138"/>
      <c r="N65" s="138"/>
      <c r="O65" s="138"/>
    </row>
  </sheetData>
  <mergeCells count="2">
    <mergeCell ref="A1:E1"/>
    <mergeCell ref="K1:O1"/>
  </mergeCells>
  <printOptions headings="1" gridLines="1"/>
  <pageMargins left="0.7" right="0.7" top="0.75" bottom="0.75" header="0.3" footer="0.3"/>
  <pageSetup paperSize="9" orientation="portrait" verticalDpi="4"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8"/>
  <dimension ref="A1:AA1007"/>
  <sheetViews>
    <sheetView zoomScale="55" zoomScaleNormal="55" workbookViewId="0">
      <selection activeCell="Y1" sqref="Y1:AA1"/>
    </sheetView>
  </sheetViews>
  <sheetFormatPr defaultColWidth="8.75" defaultRowHeight="14.25" x14ac:dyDescent="0.2"/>
  <cols>
    <col min="1" max="1" width="35.75" style="108" bestFit="1" customWidth="1"/>
    <col min="2" max="3" width="8.75" style="108"/>
    <col min="4" max="4" width="10.125" style="111" customWidth="1"/>
    <col min="5" max="5" width="9.5" style="111" customWidth="1"/>
    <col min="6" max="16384" width="8.75" style="108"/>
  </cols>
  <sheetData>
    <row r="1" spans="1:27" ht="21" x14ac:dyDescent="0.35">
      <c r="A1" s="423" t="s">
        <v>213</v>
      </c>
      <c r="B1" s="423"/>
      <c r="C1" s="423"/>
      <c r="D1" s="423"/>
      <c r="E1" s="423"/>
      <c r="F1" s="423"/>
      <c r="Y1" s="423" t="s">
        <v>526</v>
      </c>
      <c r="Z1" s="423"/>
      <c r="AA1" s="423"/>
    </row>
    <row r="2" spans="1:27" s="109" customFormat="1" ht="28.5" x14ac:dyDescent="0.2">
      <c r="B2" s="109" t="s">
        <v>39</v>
      </c>
      <c r="C2" s="109" t="s">
        <v>214</v>
      </c>
      <c r="D2" s="110" t="s">
        <v>215</v>
      </c>
      <c r="E2" s="110" t="s">
        <v>525</v>
      </c>
      <c r="F2" s="109" t="s">
        <v>216</v>
      </c>
      <c r="Y2" s="108" t="s">
        <v>527</v>
      </c>
      <c r="Z2" s="108">
        <v>7</v>
      </c>
      <c r="AA2" s="108"/>
    </row>
    <row r="3" spans="1:27" x14ac:dyDescent="0.2">
      <c r="A3" s="108" t="s">
        <v>229</v>
      </c>
      <c r="B3" s="108">
        <v>103.88</v>
      </c>
      <c r="C3" s="16">
        <v>5.6250000000000001E-2</v>
      </c>
      <c r="D3" s="111">
        <v>41148</v>
      </c>
      <c r="E3" s="112">
        <f>(D3-DATE(2012,8,17))/365</f>
        <v>2.7397260273972601E-2</v>
      </c>
      <c r="F3" s="16">
        <v>3.64E-3</v>
      </c>
      <c r="H3" s="16"/>
      <c r="Y3" s="108" t="s">
        <v>528</v>
      </c>
      <c r="Z3" s="16">
        <f>0.000008*Z2^3 - 0.0004*Z2^2 + 0.008*Z2 + 0.0005</f>
        <v>3.9643999999999999E-2</v>
      </c>
      <c r="AA3" s="108" t="e">
        <f ca="1">getformula(Z3)</f>
        <v>#NAME?</v>
      </c>
    </row>
    <row r="4" spans="1:27" x14ac:dyDescent="0.2">
      <c r="A4" s="108" t="s">
        <v>230</v>
      </c>
      <c r="B4" s="108">
        <v>105.42</v>
      </c>
      <c r="C4" s="16">
        <v>5.6500000000000002E-2</v>
      </c>
      <c r="D4" s="111">
        <v>41148</v>
      </c>
      <c r="E4" s="112">
        <f t="shared" ref="E4:E67" si="0">(D4-DATE(2012,8,17))/365</f>
        <v>2.7397260273972601E-2</v>
      </c>
      <c r="F4" s="16">
        <v>-1.6150000000000001E-2</v>
      </c>
      <c r="H4" s="16"/>
    </row>
    <row r="5" spans="1:27" x14ac:dyDescent="0.2">
      <c r="A5" s="108" t="s">
        <v>231</v>
      </c>
      <c r="B5" s="108">
        <v>104.68</v>
      </c>
      <c r="C5" s="16">
        <v>5.7000000000000002E-2</v>
      </c>
      <c r="D5" s="111">
        <v>41153</v>
      </c>
      <c r="E5" s="112">
        <f t="shared" si="0"/>
        <v>4.1095890410958902E-2</v>
      </c>
      <c r="F5" s="16">
        <v>-5.1900000000000002E-3</v>
      </c>
      <c r="H5" s="16"/>
    </row>
    <row r="6" spans="1:27" x14ac:dyDescent="0.2">
      <c r="A6" s="108" t="s">
        <v>232</v>
      </c>
      <c r="B6" s="108">
        <v>104.85</v>
      </c>
      <c r="C6" s="16">
        <v>5.1249999999999997E-2</v>
      </c>
      <c r="D6" s="111">
        <v>41153</v>
      </c>
      <c r="E6" s="112">
        <f t="shared" si="0"/>
        <v>4.1095890410958902E-2</v>
      </c>
      <c r="F6" s="16">
        <v>-1.2840000000000001E-2</v>
      </c>
      <c r="H6" s="16"/>
    </row>
    <row r="7" spans="1:27" x14ac:dyDescent="0.2">
      <c r="A7" s="108" t="s">
        <v>222</v>
      </c>
      <c r="B7" s="108">
        <v>102.91</v>
      </c>
      <c r="C7" s="16">
        <v>5.3749999999999999E-2</v>
      </c>
      <c r="D7" s="111">
        <v>41163</v>
      </c>
      <c r="E7" s="112">
        <f t="shared" si="0"/>
        <v>6.8493150684931503E-2</v>
      </c>
      <c r="F7" s="16">
        <v>1.5969999999999998E-2</v>
      </c>
      <c r="H7" s="16"/>
    </row>
    <row r="8" spans="1:27" x14ac:dyDescent="0.2">
      <c r="A8" s="108" t="s">
        <v>222</v>
      </c>
      <c r="B8" s="108">
        <v>102.81</v>
      </c>
      <c r="C8" s="16">
        <v>4.8750000000000002E-2</v>
      </c>
      <c r="D8" s="111">
        <v>41167</v>
      </c>
      <c r="E8" s="112">
        <f t="shared" si="0"/>
        <v>7.9452054794520555E-2</v>
      </c>
      <c r="F8" s="16">
        <v>1.286E-2</v>
      </c>
      <c r="H8" s="16"/>
    </row>
    <row r="9" spans="1:27" x14ac:dyDescent="0.2">
      <c r="A9" s="108" t="s">
        <v>233</v>
      </c>
      <c r="B9" s="108">
        <v>105.81</v>
      </c>
      <c r="C9" s="16">
        <v>5.5999999999999994E-2</v>
      </c>
      <c r="D9" s="111">
        <v>41167</v>
      </c>
      <c r="E9" s="112">
        <f t="shared" si="0"/>
        <v>7.9452054794520555E-2</v>
      </c>
      <c r="F9" s="16">
        <v>-1.6789999999999999E-2</v>
      </c>
      <c r="H9" s="16"/>
    </row>
    <row r="10" spans="1:27" x14ac:dyDescent="0.2">
      <c r="A10" s="108" t="s">
        <v>218</v>
      </c>
      <c r="B10" s="108">
        <v>105</v>
      </c>
      <c r="C10" s="16">
        <v>5.4000000000000006E-2</v>
      </c>
      <c r="D10" s="111">
        <v>41167</v>
      </c>
      <c r="E10" s="112">
        <f t="shared" si="0"/>
        <v>7.9452054794520555E-2</v>
      </c>
      <c r="F10" s="16">
        <v>-8.9899999999999997E-3</v>
      </c>
      <c r="H10" s="16"/>
    </row>
    <row r="11" spans="1:27" x14ac:dyDescent="0.2">
      <c r="A11" s="108" t="s">
        <v>218</v>
      </c>
      <c r="B11" s="108">
        <v>103.12</v>
      </c>
      <c r="C11" s="16">
        <v>3.85E-2</v>
      </c>
      <c r="D11" s="111">
        <v>41167</v>
      </c>
      <c r="E11" s="112">
        <f t="shared" si="0"/>
        <v>7.9452054794520555E-2</v>
      </c>
      <c r="F11" s="16">
        <v>-1.06E-3</v>
      </c>
      <c r="H11" s="16"/>
    </row>
    <row r="12" spans="1:27" x14ac:dyDescent="0.2">
      <c r="A12" s="108" t="s">
        <v>234</v>
      </c>
      <c r="B12" s="108">
        <v>103.97</v>
      </c>
      <c r="C12" s="16">
        <v>3.6249999999999998E-2</v>
      </c>
      <c r="D12" s="111">
        <v>41169</v>
      </c>
      <c r="E12" s="112">
        <f t="shared" si="0"/>
        <v>8.4931506849315067E-2</v>
      </c>
      <c r="F12" s="16">
        <v>-1.3309999999999999E-2</v>
      </c>
      <c r="H12" s="16"/>
    </row>
    <row r="13" spans="1:27" x14ac:dyDescent="0.2">
      <c r="A13" s="108" t="s">
        <v>235</v>
      </c>
      <c r="B13" s="108">
        <v>105.7</v>
      </c>
      <c r="C13" s="16">
        <v>4.7500000000000001E-2</v>
      </c>
      <c r="D13" s="111">
        <v>41197</v>
      </c>
      <c r="E13" s="112">
        <f t="shared" si="0"/>
        <v>0.16164383561643836</v>
      </c>
      <c r="F13" s="16">
        <v>-1.712E-2</v>
      </c>
      <c r="H13" s="16"/>
    </row>
    <row r="14" spans="1:27" x14ac:dyDescent="0.2">
      <c r="A14" s="108" t="s">
        <v>236</v>
      </c>
      <c r="B14" s="108">
        <v>106.07</v>
      </c>
      <c r="C14" s="16">
        <v>5.45E-2</v>
      </c>
      <c r="D14" s="111">
        <v>41197</v>
      </c>
      <c r="E14" s="112">
        <f t="shared" si="0"/>
        <v>0.16164383561643836</v>
      </c>
      <c r="F14" s="16">
        <v>-1.4410000000000001E-2</v>
      </c>
      <c r="H14" s="16"/>
    </row>
    <row r="15" spans="1:27" x14ac:dyDescent="0.2">
      <c r="A15" s="108" t="s">
        <v>218</v>
      </c>
      <c r="B15" s="108">
        <v>102.81</v>
      </c>
      <c r="C15" s="16">
        <v>3.6000000000000004E-2</v>
      </c>
      <c r="D15" s="111">
        <v>41197</v>
      </c>
      <c r="E15" s="112">
        <f t="shared" si="0"/>
        <v>0.16164383561643836</v>
      </c>
      <c r="F15" s="16">
        <v>3.7000000000000002E-3</v>
      </c>
      <c r="H15" s="16"/>
    </row>
    <row r="16" spans="1:27" x14ac:dyDescent="0.2">
      <c r="A16" s="108" t="s">
        <v>237</v>
      </c>
      <c r="B16" s="108">
        <v>105.36</v>
      </c>
      <c r="C16" s="16">
        <v>4.8750000000000002E-2</v>
      </c>
      <c r="D16" s="111">
        <v>41197</v>
      </c>
      <c r="E16" s="112">
        <f t="shared" si="0"/>
        <v>0.16164383561643836</v>
      </c>
      <c r="F16" s="16">
        <v>-1.218E-2</v>
      </c>
      <c r="H16" s="16"/>
    </row>
    <row r="17" spans="1:8" x14ac:dyDescent="0.2">
      <c r="A17" s="108" t="s">
        <v>229</v>
      </c>
      <c r="B17" s="108">
        <v>104.23</v>
      </c>
      <c r="C17" s="16">
        <v>5.2999999999999999E-2</v>
      </c>
      <c r="D17" s="111">
        <v>41199</v>
      </c>
      <c r="E17" s="112">
        <f t="shared" si="0"/>
        <v>0.16712328767123288</v>
      </c>
      <c r="F17" s="16">
        <v>4.6899999999999997E-3</v>
      </c>
      <c r="H17" s="16"/>
    </row>
    <row r="18" spans="1:8" x14ac:dyDescent="0.2">
      <c r="A18" s="108" t="s">
        <v>238</v>
      </c>
      <c r="B18" s="108">
        <v>107.18</v>
      </c>
      <c r="C18" s="16">
        <v>6.5000000000000002E-2</v>
      </c>
      <c r="D18" s="111">
        <v>41228</v>
      </c>
      <c r="E18" s="112">
        <f t="shared" si="0"/>
        <v>0.24657534246575341</v>
      </c>
      <c r="F18" s="16">
        <v>-9.6299999999999997E-3</v>
      </c>
      <c r="H18" s="16"/>
    </row>
    <row r="19" spans="1:8" x14ac:dyDescent="0.2">
      <c r="A19" s="108" t="s">
        <v>239</v>
      </c>
      <c r="B19" s="108">
        <v>105.69</v>
      </c>
      <c r="C19" s="16">
        <v>4.7500000000000001E-2</v>
      </c>
      <c r="D19" s="111">
        <v>41228</v>
      </c>
      <c r="E19" s="112">
        <f t="shared" si="0"/>
        <v>0.24657534246575341</v>
      </c>
      <c r="F19" s="16">
        <v>-1.155E-2</v>
      </c>
      <c r="H19" s="16"/>
    </row>
    <row r="20" spans="1:8" x14ac:dyDescent="0.2">
      <c r="A20" s="108" t="s">
        <v>240</v>
      </c>
      <c r="B20" s="108">
        <v>106.16</v>
      </c>
      <c r="C20" s="16">
        <v>5.1249999999999997E-2</v>
      </c>
      <c r="D20" s="111">
        <v>41228</v>
      </c>
      <c r="E20" s="112">
        <f t="shared" si="0"/>
        <v>0.24657534246575341</v>
      </c>
      <c r="F20" s="16">
        <v>-1.257E-2</v>
      </c>
      <c r="H20" s="16"/>
    </row>
    <row r="21" spans="1:8" x14ac:dyDescent="0.2">
      <c r="A21" s="108" t="s">
        <v>241</v>
      </c>
      <c r="B21" s="108">
        <v>106.5</v>
      </c>
      <c r="C21" s="16">
        <v>5.5E-2</v>
      </c>
      <c r="D21" s="111">
        <v>41228</v>
      </c>
      <c r="E21" s="112">
        <f t="shared" si="0"/>
        <v>0.24657534246575341</v>
      </c>
      <c r="F21" s="16">
        <v>-1.2430000000000002E-2</v>
      </c>
      <c r="H21" s="16"/>
    </row>
    <row r="22" spans="1:8" x14ac:dyDescent="0.2">
      <c r="A22" s="108" t="s">
        <v>217</v>
      </c>
      <c r="B22" s="108">
        <v>106.56</v>
      </c>
      <c r="C22" s="16">
        <v>5.6250000000000001E-2</v>
      </c>
      <c r="D22" s="111">
        <v>41243</v>
      </c>
      <c r="E22" s="112">
        <f t="shared" si="0"/>
        <v>0.28767123287671231</v>
      </c>
      <c r="F22" s="16">
        <v>-9.0699999999999999E-3</v>
      </c>
      <c r="H22" s="16"/>
    </row>
    <row r="23" spans="1:8" x14ac:dyDescent="0.2">
      <c r="A23" s="108" t="s">
        <v>242</v>
      </c>
      <c r="B23" s="108">
        <v>109.7</v>
      </c>
      <c r="C23" s="16">
        <v>8.5000000000000006E-2</v>
      </c>
      <c r="D23" s="111">
        <v>41244</v>
      </c>
      <c r="E23" s="112">
        <f t="shared" si="0"/>
        <v>0.29041095890410956</v>
      </c>
      <c r="F23" s="16">
        <v>-1.1209999999999999E-2</v>
      </c>
      <c r="H23" s="16"/>
    </row>
    <row r="24" spans="1:8" x14ac:dyDescent="0.2">
      <c r="A24" s="108" t="s">
        <v>243</v>
      </c>
      <c r="B24" s="108">
        <v>103.78</v>
      </c>
      <c r="C24" s="16">
        <v>2.9500000000000002E-2</v>
      </c>
      <c r="D24" s="111">
        <v>41244</v>
      </c>
      <c r="E24" s="112">
        <f t="shared" si="0"/>
        <v>0.29041095890410956</v>
      </c>
      <c r="F24" s="16">
        <v>-8.0700000000000008E-3</v>
      </c>
      <c r="H24" s="16"/>
    </row>
    <row r="25" spans="1:8" x14ac:dyDescent="0.2">
      <c r="A25" s="108" t="s">
        <v>244</v>
      </c>
      <c r="B25" s="108">
        <v>107.01</v>
      </c>
      <c r="C25" s="16">
        <v>5.1249999999999997E-2</v>
      </c>
      <c r="D25" s="111">
        <v>41246</v>
      </c>
      <c r="E25" s="112">
        <f t="shared" si="0"/>
        <v>0.29589041095890412</v>
      </c>
      <c r="F25" s="16">
        <v>-1.755E-2</v>
      </c>
      <c r="H25" s="16"/>
    </row>
    <row r="26" spans="1:8" x14ac:dyDescent="0.2">
      <c r="A26" s="108" t="s">
        <v>245</v>
      </c>
      <c r="B26" s="108">
        <v>102.84</v>
      </c>
      <c r="C26" s="16">
        <v>1.95E-2</v>
      </c>
      <c r="D26" s="111">
        <v>41260</v>
      </c>
      <c r="E26" s="112">
        <f t="shared" si="0"/>
        <v>0.33424657534246577</v>
      </c>
      <c r="F26" s="16">
        <v>-7.5700000000000003E-3</v>
      </c>
      <c r="H26" s="16"/>
    </row>
    <row r="27" spans="1:8" x14ac:dyDescent="0.2">
      <c r="A27" s="108" t="s">
        <v>219</v>
      </c>
      <c r="B27" s="108">
        <v>106.54</v>
      </c>
      <c r="C27" s="16">
        <v>5.7500000000000002E-2</v>
      </c>
      <c r="D27" s="111">
        <v>41276</v>
      </c>
      <c r="E27" s="112">
        <f t="shared" si="0"/>
        <v>0.37808219178082192</v>
      </c>
      <c r="F27" s="16">
        <v>-2.5900000000000003E-3</v>
      </c>
      <c r="H27" s="16"/>
    </row>
    <row r="28" spans="1:8" x14ac:dyDescent="0.2">
      <c r="A28" s="108" t="s">
        <v>234</v>
      </c>
      <c r="B28" s="108">
        <v>103.19</v>
      </c>
      <c r="C28" s="16">
        <v>2.75E-2</v>
      </c>
      <c r="D28" s="111">
        <v>41288</v>
      </c>
      <c r="E28" s="112">
        <f t="shared" si="0"/>
        <v>0.41095890410958902</v>
      </c>
      <c r="F28" s="16">
        <v>-9.2999999999999995E-4</v>
      </c>
      <c r="H28" s="16"/>
    </row>
    <row r="29" spans="1:8" x14ac:dyDescent="0.2">
      <c r="A29" s="108" t="s">
        <v>246</v>
      </c>
      <c r="B29" s="108">
        <v>106.74</v>
      </c>
      <c r="C29" s="16">
        <v>4.9500000000000002E-2</v>
      </c>
      <c r="D29" s="111">
        <v>41289</v>
      </c>
      <c r="E29" s="112">
        <f t="shared" si="0"/>
        <v>0.41369863013698632</v>
      </c>
      <c r="F29" s="16">
        <v>-1.0029999999999999E-2</v>
      </c>
      <c r="H29" s="16"/>
    </row>
    <row r="30" spans="1:8" x14ac:dyDescent="0.2">
      <c r="A30" s="108" t="s">
        <v>247</v>
      </c>
      <c r="B30" s="108">
        <v>105.74</v>
      </c>
      <c r="C30" s="16">
        <v>4.3749999999999997E-2</v>
      </c>
      <c r="D30" s="111">
        <v>41289</v>
      </c>
      <c r="E30" s="112">
        <f t="shared" si="0"/>
        <v>0.41369863013698632</v>
      </c>
      <c r="F30" s="16">
        <v>-7.1300000000000001E-3</v>
      </c>
      <c r="H30" s="16"/>
    </row>
    <row r="31" spans="1:8" x14ac:dyDescent="0.2">
      <c r="A31" s="108" t="s">
        <v>222</v>
      </c>
      <c r="B31" s="108">
        <v>102.67</v>
      </c>
      <c r="C31" s="16">
        <v>4.8750000000000002E-2</v>
      </c>
      <c r="D31" s="111">
        <v>41289</v>
      </c>
      <c r="E31" s="112">
        <f t="shared" si="0"/>
        <v>0.41369863013698632</v>
      </c>
      <c r="F31" s="16">
        <v>2.4500000000000001E-2</v>
      </c>
      <c r="H31" s="16"/>
    </row>
    <row r="32" spans="1:8" x14ac:dyDescent="0.2">
      <c r="A32" s="108" t="s">
        <v>248</v>
      </c>
      <c r="B32" s="108">
        <v>105.5</v>
      </c>
      <c r="C32" s="16">
        <v>4.8750000000000002E-2</v>
      </c>
      <c r="D32" s="111">
        <v>41289</v>
      </c>
      <c r="E32" s="112">
        <f t="shared" si="0"/>
        <v>0.41369863013698632</v>
      </c>
      <c r="F32" s="16">
        <v>-2.5000000000000001E-4</v>
      </c>
      <c r="H32" s="16"/>
    </row>
    <row r="33" spans="1:8" x14ac:dyDescent="0.2">
      <c r="A33" s="108" t="s">
        <v>249</v>
      </c>
      <c r="B33" s="108">
        <v>107.07</v>
      </c>
      <c r="C33" s="16">
        <v>5.0999999999999997E-2</v>
      </c>
      <c r="D33" s="111">
        <v>41289</v>
      </c>
      <c r="E33" s="112">
        <f t="shared" si="0"/>
        <v>0.41369863013698632</v>
      </c>
      <c r="F33" s="16">
        <v>-1.1379999999999999E-2</v>
      </c>
      <c r="H33" s="16"/>
    </row>
    <row r="34" spans="1:8" x14ac:dyDescent="0.2">
      <c r="A34" s="108" t="s">
        <v>218</v>
      </c>
      <c r="B34" s="108">
        <v>104.85</v>
      </c>
      <c r="C34" s="16">
        <v>5.0499999999999996E-2</v>
      </c>
      <c r="D34" s="111">
        <v>41289</v>
      </c>
      <c r="E34" s="112">
        <f t="shared" si="0"/>
        <v>0.41369863013698632</v>
      </c>
      <c r="F34" s="16">
        <v>7.0899999999999999E-3</v>
      </c>
      <c r="H34" s="16"/>
    </row>
    <row r="35" spans="1:8" x14ac:dyDescent="0.2">
      <c r="A35" s="108" t="s">
        <v>234</v>
      </c>
      <c r="B35" s="108">
        <v>105.75</v>
      </c>
      <c r="C35" s="16">
        <v>5.1500000000000004E-2</v>
      </c>
      <c r="D35" s="111">
        <v>41289</v>
      </c>
      <c r="E35" s="112">
        <f t="shared" si="0"/>
        <v>0.41369863013698632</v>
      </c>
      <c r="F35" s="16">
        <v>2.7E-4</v>
      </c>
      <c r="H35" s="16"/>
    </row>
    <row r="36" spans="1:8" x14ac:dyDescent="0.2">
      <c r="A36" s="108" t="s">
        <v>250</v>
      </c>
      <c r="B36" s="108">
        <v>105.93</v>
      </c>
      <c r="C36" s="16">
        <v>5.2499999999999998E-2</v>
      </c>
      <c r="D36" s="111">
        <v>41304</v>
      </c>
      <c r="E36" s="112">
        <f t="shared" si="0"/>
        <v>0.45479452054794522</v>
      </c>
      <c r="F36" s="16">
        <v>1.4599999999999999E-3</v>
      </c>
      <c r="H36" s="16"/>
    </row>
    <row r="37" spans="1:8" x14ac:dyDescent="0.2">
      <c r="A37" s="108" t="s">
        <v>251</v>
      </c>
      <c r="B37" s="108">
        <v>106.46</v>
      </c>
      <c r="C37" s="16">
        <v>4.8750000000000002E-2</v>
      </c>
      <c r="D37" s="111">
        <v>41306</v>
      </c>
      <c r="E37" s="112">
        <f t="shared" si="0"/>
        <v>0.46027397260273972</v>
      </c>
      <c r="F37" s="16">
        <v>-6.3600000000000002E-3</v>
      </c>
      <c r="H37" s="16"/>
    </row>
    <row r="38" spans="1:8" x14ac:dyDescent="0.2">
      <c r="A38" s="108" t="s">
        <v>252</v>
      </c>
      <c r="B38" s="108">
        <v>102.55</v>
      </c>
      <c r="C38" s="16">
        <v>5.45E-2</v>
      </c>
      <c r="D38" s="111">
        <v>41310</v>
      </c>
      <c r="E38" s="112">
        <f t="shared" si="0"/>
        <v>0.47123287671232877</v>
      </c>
      <c r="F38" s="16">
        <v>3.2259999999999997E-2</v>
      </c>
      <c r="H38" s="16"/>
    </row>
    <row r="39" spans="1:8" x14ac:dyDescent="0.2">
      <c r="A39" s="108" t="s">
        <v>253</v>
      </c>
      <c r="B39" s="108">
        <v>105.86</v>
      </c>
      <c r="C39" s="16">
        <v>4.2500000000000003E-2</v>
      </c>
      <c r="D39" s="111">
        <v>41313</v>
      </c>
      <c r="E39" s="112">
        <f t="shared" si="0"/>
        <v>0.47945205479452052</v>
      </c>
      <c r="F39" s="16">
        <v>-6.6300000000000005E-3</v>
      </c>
      <c r="H39" s="16"/>
    </row>
    <row r="40" spans="1:8" x14ac:dyDescent="0.2">
      <c r="A40" s="108" t="s">
        <v>254</v>
      </c>
      <c r="B40" s="108">
        <v>106.39</v>
      </c>
      <c r="C40" s="16">
        <v>4.2000000000000003E-2</v>
      </c>
      <c r="D40" s="111">
        <v>41317</v>
      </c>
      <c r="E40" s="112">
        <f t="shared" si="0"/>
        <v>0.49041095890410957</v>
      </c>
      <c r="F40" s="16">
        <v>-1.0880000000000001E-2</v>
      </c>
      <c r="H40" s="16"/>
    </row>
    <row r="41" spans="1:8" x14ac:dyDescent="0.2">
      <c r="A41" s="108" t="s">
        <v>238</v>
      </c>
      <c r="B41" s="108">
        <v>106.85</v>
      </c>
      <c r="C41" s="16">
        <v>0.05</v>
      </c>
      <c r="D41" s="111">
        <v>41320</v>
      </c>
      <c r="E41" s="112">
        <f t="shared" si="0"/>
        <v>0.49863013698630138</v>
      </c>
      <c r="F41" s="16">
        <v>-6.5100000000000002E-3</v>
      </c>
      <c r="H41" s="16"/>
    </row>
    <row r="42" spans="1:8" x14ac:dyDescent="0.2">
      <c r="A42" s="108" t="s">
        <v>255</v>
      </c>
      <c r="B42" s="108">
        <v>105.5</v>
      </c>
      <c r="C42" s="16">
        <v>0.05</v>
      </c>
      <c r="D42" s="111">
        <v>41320</v>
      </c>
      <c r="E42" s="112">
        <f t="shared" si="0"/>
        <v>0.49863013698630138</v>
      </c>
      <c r="F42" s="16">
        <v>4.2100000000000002E-3</v>
      </c>
      <c r="H42" s="16"/>
    </row>
    <row r="43" spans="1:8" x14ac:dyDescent="0.2">
      <c r="A43" s="108" t="s">
        <v>218</v>
      </c>
      <c r="B43" s="108">
        <v>104.38</v>
      </c>
      <c r="C43" s="16">
        <v>0.05</v>
      </c>
      <c r="D43" s="111">
        <v>41320</v>
      </c>
      <c r="E43" s="112">
        <f t="shared" si="0"/>
        <v>0.49863013698630138</v>
      </c>
      <c r="F43" s="16">
        <v>1.329E-2</v>
      </c>
      <c r="H43" s="16"/>
    </row>
    <row r="44" spans="1:8" x14ac:dyDescent="0.2">
      <c r="A44" s="108" t="s">
        <v>218</v>
      </c>
      <c r="B44" s="108">
        <v>105.11</v>
      </c>
      <c r="C44" s="16">
        <v>5.5E-2</v>
      </c>
      <c r="D44" s="111">
        <v>41320</v>
      </c>
      <c r="E44" s="112">
        <f t="shared" si="0"/>
        <v>0.49863013698630138</v>
      </c>
      <c r="F44" s="16">
        <v>1.23E-2</v>
      </c>
      <c r="H44" s="16"/>
    </row>
    <row r="45" spans="1:8" x14ac:dyDescent="0.2">
      <c r="A45" s="108" t="s">
        <v>256</v>
      </c>
      <c r="B45" s="108">
        <v>106.88</v>
      </c>
      <c r="C45" s="16">
        <v>4.8750000000000002E-2</v>
      </c>
      <c r="D45" s="111">
        <v>41320</v>
      </c>
      <c r="E45" s="112">
        <f t="shared" si="0"/>
        <v>0.49863013698630138</v>
      </c>
      <c r="F45" s="16">
        <v>-7.8799999999999999E-3</v>
      </c>
      <c r="H45" s="16"/>
    </row>
    <row r="46" spans="1:8" x14ac:dyDescent="0.2">
      <c r="A46" s="108" t="s">
        <v>241</v>
      </c>
      <c r="B46" s="108">
        <v>106.58</v>
      </c>
      <c r="C46" s="16">
        <v>4.8750000000000002E-2</v>
      </c>
      <c r="D46" s="111">
        <v>41320</v>
      </c>
      <c r="E46" s="112">
        <f t="shared" si="0"/>
        <v>0.49863013698630138</v>
      </c>
      <c r="F46" s="16">
        <v>-5.5700000000000003E-3</v>
      </c>
      <c r="H46" s="16"/>
    </row>
    <row r="47" spans="1:8" x14ac:dyDescent="0.2">
      <c r="A47" s="108" t="s">
        <v>257</v>
      </c>
      <c r="B47" s="108">
        <v>106.21</v>
      </c>
      <c r="C47" s="16">
        <v>4.3499999999999997E-2</v>
      </c>
      <c r="D47" s="111">
        <v>41320</v>
      </c>
      <c r="E47" s="112">
        <f t="shared" si="0"/>
        <v>0.49863013698630138</v>
      </c>
      <c r="F47" s="16">
        <v>-7.6899999999999998E-3</v>
      </c>
      <c r="H47" s="16"/>
    </row>
    <row r="48" spans="1:8" x14ac:dyDescent="0.2">
      <c r="A48" s="108" t="s">
        <v>258</v>
      </c>
      <c r="B48" s="108">
        <v>109.25</v>
      </c>
      <c r="C48" s="16">
        <v>7.1249999999999994E-2</v>
      </c>
      <c r="D48" s="111">
        <v>41334</v>
      </c>
      <c r="E48" s="112">
        <f t="shared" si="0"/>
        <v>0.53698630136986303</v>
      </c>
      <c r="F48" s="16">
        <v>-2.5999999999999999E-3</v>
      </c>
      <c r="H48" s="16"/>
    </row>
    <row r="49" spans="1:8" x14ac:dyDescent="0.2">
      <c r="A49" s="108" t="s">
        <v>259</v>
      </c>
      <c r="B49" s="108">
        <v>106.94</v>
      </c>
      <c r="C49" s="16">
        <v>4.8000000000000001E-2</v>
      </c>
      <c r="D49" s="111">
        <v>41334</v>
      </c>
      <c r="E49" s="112">
        <f t="shared" si="0"/>
        <v>0.53698630136986303</v>
      </c>
      <c r="F49" s="16">
        <v>-7.1500000000000001E-3</v>
      </c>
      <c r="H49" s="16"/>
    </row>
    <row r="50" spans="1:8" x14ac:dyDescent="0.2">
      <c r="A50" s="108" t="s">
        <v>226</v>
      </c>
      <c r="B50" s="108">
        <v>106.62</v>
      </c>
      <c r="C50" s="16">
        <v>4.4999999999999998E-2</v>
      </c>
      <c r="D50" s="111">
        <v>41334</v>
      </c>
      <c r="E50" s="112">
        <f t="shared" si="0"/>
        <v>0.53698630136986303</v>
      </c>
      <c r="F50" s="16">
        <v>-7.5700000000000003E-3</v>
      </c>
      <c r="H50" s="16"/>
    </row>
    <row r="51" spans="1:8" x14ac:dyDescent="0.2">
      <c r="A51" s="108" t="s">
        <v>260</v>
      </c>
      <c r="B51" s="108">
        <v>102.55</v>
      </c>
      <c r="C51" s="16">
        <v>5.2999999999999999E-2</v>
      </c>
      <c r="D51" s="111">
        <v>41334</v>
      </c>
      <c r="E51" s="112">
        <f t="shared" si="0"/>
        <v>0.53698630136986303</v>
      </c>
      <c r="F51" s="16">
        <v>3.1989999999999998E-2</v>
      </c>
      <c r="H51" s="16"/>
    </row>
    <row r="52" spans="1:8" x14ac:dyDescent="0.2">
      <c r="A52" s="108" t="s">
        <v>261</v>
      </c>
      <c r="B52" s="108">
        <v>106.91</v>
      </c>
      <c r="C52" s="16">
        <v>4.8750000000000002E-2</v>
      </c>
      <c r="D52" s="111">
        <v>41334</v>
      </c>
      <c r="E52" s="112">
        <f t="shared" si="0"/>
        <v>0.53698630136986303</v>
      </c>
      <c r="F52" s="16">
        <v>-6.2100000000000002E-3</v>
      </c>
      <c r="H52" s="16"/>
    </row>
    <row r="53" spans="1:8" x14ac:dyDescent="0.2">
      <c r="A53" s="108" t="s">
        <v>244</v>
      </c>
      <c r="B53" s="108">
        <v>106.18</v>
      </c>
      <c r="C53" s="16">
        <v>4.2500000000000003E-2</v>
      </c>
      <c r="D53" s="111">
        <v>41339</v>
      </c>
      <c r="E53" s="112">
        <f t="shared" si="0"/>
        <v>0.55068493150684927</v>
      </c>
      <c r="F53" s="16">
        <v>-6.0999999999999995E-3</v>
      </c>
      <c r="H53" s="16"/>
    </row>
    <row r="54" spans="1:8" x14ac:dyDescent="0.2">
      <c r="A54" s="108" t="s">
        <v>262</v>
      </c>
      <c r="B54" s="108">
        <v>106.68</v>
      </c>
      <c r="C54" s="16">
        <v>4.6249999999999999E-2</v>
      </c>
      <c r="D54" s="111">
        <v>41344</v>
      </c>
      <c r="E54" s="112">
        <f t="shared" si="0"/>
        <v>0.56438356164383563</v>
      </c>
      <c r="F54" s="16">
        <v>-5.7499999999999999E-3</v>
      </c>
      <c r="H54" s="16"/>
    </row>
    <row r="55" spans="1:8" x14ac:dyDescent="0.2">
      <c r="A55" s="108" t="s">
        <v>263</v>
      </c>
      <c r="B55" s="108">
        <v>108.94</v>
      </c>
      <c r="C55" s="16">
        <v>6.5000000000000002E-2</v>
      </c>
      <c r="D55" s="111">
        <v>41348</v>
      </c>
      <c r="E55" s="112">
        <f t="shared" si="0"/>
        <v>0.57534246575342463</v>
      </c>
      <c r="F55" s="16">
        <v>-4.0899999999999999E-3</v>
      </c>
      <c r="H55" s="16"/>
    </row>
    <row r="56" spans="1:8" x14ac:dyDescent="0.2">
      <c r="A56" s="108" t="s">
        <v>264</v>
      </c>
      <c r="B56" s="108">
        <v>106.76</v>
      </c>
      <c r="C56" s="16">
        <v>4.4000000000000004E-2</v>
      </c>
      <c r="D56" s="111">
        <v>41348</v>
      </c>
      <c r="E56" s="112">
        <f t="shared" si="0"/>
        <v>0.57534246575342463</v>
      </c>
      <c r="F56" s="16">
        <v>-8.0300000000000007E-3</v>
      </c>
      <c r="H56" s="16"/>
    </row>
    <row r="57" spans="1:8" x14ac:dyDescent="0.2">
      <c r="A57" s="108" t="s">
        <v>255</v>
      </c>
      <c r="B57" s="108">
        <v>105.83</v>
      </c>
      <c r="C57" s="16">
        <v>5.5E-2</v>
      </c>
      <c r="D57" s="111">
        <v>41348</v>
      </c>
      <c r="E57" s="112">
        <f t="shared" si="0"/>
        <v>0.57534246575342463</v>
      </c>
      <c r="F57" s="16">
        <v>9.41E-3</v>
      </c>
      <c r="H57" s="16"/>
    </row>
    <row r="58" spans="1:8" x14ac:dyDescent="0.2">
      <c r="A58" s="108" t="s">
        <v>218</v>
      </c>
      <c r="B58" s="108">
        <v>105.48</v>
      </c>
      <c r="C58" s="16">
        <v>5.6500000000000002E-2</v>
      </c>
      <c r="D58" s="111">
        <v>41348</v>
      </c>
      <c r="E58" s="112">
        <f t="shared" si="0"/>
        <v>0.57534246575342463</v>
      </c>
      <c r="F58" s="16">
        <v>1.3509999999999999E-2</v>
      </c>
      <c r="H58" s="16"/>
    </row>
    <row r="59" spans="1:8" x14ac:dyDescent="0.2">
      <c r="A59" s="108" t="s">
        <v>265</v>
      </c>
      <c r="B59" s="108">
        <v>107.46</v>
      </c>
      <c r="C59" s="16">
        <v>5.45E-2</v>
      </c>
      <c r="D59" s="111">
        <v>41348</v>
      </c>
      <c r="E59" s="112">
        <f t="shared" si="0"/>
        <v>0.57534246575342463</v>
      </c>
      <c r="F59" s="16">
        <v>-3.2400000000000003E-3</v>
      </c>
      <c r="H59" s="16"/>
    </row>
    <row r="60" spans="1:8" x14ac:dyDescent="0.2">
      <c r="A60" s="108" t="s">
        <v>266</v>
      </c>
      <c r="B60" s="108">
        <v>102.43</v>
      </c>
      <c r="C60" s="16">
        <v>5.1249999999999997E-2</v>
      </c>
      <c r="D60" s="111">
        <v>41348</v>
      </c>
      <c r="E60" s="112">
        <f t="shared" si="0"/>
        <v>0.57534246575342463</v>
      </c>
      <c r="F60" s="16">
        <v>3.184E-2</v>
      </c>
      <c r="H60" s="16"/>
    </row>
    <row r="61" spans="1:8" x14ac:dyDescent="0.2">
      <c r="A61" s="108" t="s">
        <v>267</v>
      </c>
      <c r="B61" s="108">
        <v>104.09</v>
      </c>
      <c r="C61" s="16">
        <v>2.5000000000000001E-2</v>
      </c>
      <c r="D61" s="111">
        <v>41359</v>
      </c>
      <c r="E61" s="112">
        <f t="shared" si="0"/>
        <v>0.60547945205479448</v>
      </c>
      <c r="F61" s="16">
        <v>-5.8499999999999993E-3</v>
      </c>
      <c r="H61" s="16"/>
    </row>
    <row r="62" spans="1:8" x14ac:dyDescent="0.2">
      <c r="A62" s="108" t="s">
        <v>268</v>
      </c>
      <c r="B62" s="108">
        <v>108.14</v>
      </c>
      <c r="C62" s="16">
        <v>5.5E-2</v>
      </c>
      <c r="D62" s="111">
        <v>41365</v>
      </c>
      <c r="E62" s="112">
        <f t="shared" si="0"/>
        <v>0.62191780821917808</v>
      </c>
      <c r="F62" s="16">
        <v>-5.7099999999999998E-3</v>
      </c>
      <c r="H62" s="16"/>
    </row>
    <row r="63" spans="1:8" x14ac:dyDescent="0.2">
      <c r="A63" s="108" t="s">
        <v>231</v>
      </c>
      <c r="B63" s="108">
        <v>105.13</v>
      </c>
      <c r="C63" s="16">
        <v>5.2499999999999998E-2</v>
      </c>
      <c r="D63" s="111">
        <v>41365</v>
      </c>
      <c r="E63" s="112">
        <f t="shared" si="0"/>
        <v>0.62191780821917808</v>
      </c>
      <c r="F63" s="16">
        <v>1.3509999999999999E-2</v>
      </c>
      <c r="H63" s="16"/>
    </row>
    <row r="64" spans="1:8" x14ac:dyDescent="0.2">
      <c r="A64" s="108" t="s">
        <v>269</v>
      </c>
      <c r="B64" s="108">
        <v>107.1</v>
      </c>
      <c r="C64" s="16">
        <v>4.4999999999999998E-2</v>
      </c>
      <c r="D64" s="111">
        <v>41367</v>
      </c>
      <c r="E64" s="112">
        <f t="shared" si="0"/>
        <v>0.62739726027397258</v>
      </c>
      <c r="F64" s="16">
        <v>-7.6500000000000005E-3</v>
      </c>
      <c r="H64" s="16"/>
    </row>
    <row r="65" spans="1:8" x14ac:dyDescent="0.2">
      <c r="A65" s="108" t="s">
        <v>253</v>
      </c>
      <c r="B65" s="108">
        <v>104.06</v>
      </c>
      <c r="C65" s="16">
        <v>0.02</v>
      </c>
      <c r="D65" s="111">
        <v>41369</v>
      </c>
      <c r="E65" s="112">
        <f t="shared" si="0"/>
        <v>0.63287671232876708</v>
      </c>
      <c r="F65" s="16">
        <v>-9.92E-3</v>
      </c>
      <c r="H65" s="16"/>
    </row>
    <row r="66" spans="1:8" x14ac:dyDescent="0.2">
      <c r="A66" s="108" t="s">
        <v>229</v>
      </c>
      <c r="B66" s="108">
        <v>105.21</v>
      </c>
      <c r="C66" s="16">
        <v>5.5E-2</v>
      </c>
      <c r="D66" s="111">
        <v>41375</v>
      </c>
      <c r="E66" s="112">
        <f t="shared" si="0"/>
        <v>0.64931506849315068</v>
      </c>
      <c r="F66" s="16">
        <v>1.6120000000000002E-2</v>
      </c>
      <c r="H66" s="16"/>
    </row>
    <row r="67" spans="1:8" x14ac:dyDescent="0.2">
      <c r="A67" s="108" t="s">
        <v>238</v>
      </c>
      <c r="B67" s="108">
        <v>108.26</v>
      </c>
      <c r="C67" s="16">
        <v>5.5999999999999994E-2</v>
      </c>
      <c r="D67" s="111">
        <v>41379</v>
      </c>
      <c r="E67" s="112">
        <f t="shared" si="0"/>
        <v>0.66027397260273968</v>
      </c>
      <c r="F67" s="16">
        <v>-3.9900000000000005E-3</v>
      </c>
      <c r="H67" s="16"/>
    </row>
    <row r="68" spans="1:8" x14ac:dyDescent="0.2">
      <c r="A68" s="108" t="s">
        <v>270</v>
      </c>
      <c r="B68" s="108">
        <v>107.33</v>
      </c>
      <c r="C68" s="16">
        <v>0.05</v>
      </c>
      <c r="D68" s="111">
        <v>41379</v>
      </c>
      <c r="E68" s="112">
        <f t="shared" ref="E68:E131" si="1">(D68-DATE(2012,8,17))/365</f>
        <v>0.66027397260273968</v>
      </c>
      <c r="F68" s="16">
        <v>-3.2200000000000002E-3</v>
      </c>
      <c r="H68" s="16"/>
    </row>
    <row r="69" spans="1:8" x14ac:dyDescent="0.2">
      <c r="A69" s="108" t="s">
        <v>271</v>
      </c>
      <c r="B69" s="108">
        <v>107.33</v>
      </c>
      <c r="C69" s="16">
        <v>4.7E-2</v>
      </c>
      <c r="D69" s="111">
        <v>41379</v>
      </c>
      <c r="E69" s="112">
        <f t="shared" si="1"/>
        <v>0.66027397260273968</v>
      </c>
      <c r="F69" s="16">
        <v>-6.11E-3</v>
      </c>
      <c r="H69" s="16"/>
    </row>
    <row r="70" spans="1:8" x14ac:dyDescent="0.2">
      <c r="A70" s="108" t="s">
        <v>218</v>
      </c>
      <c r="B70" s="108">
        <v>106.13</v>
      </c>
      <c r="C70" s="16">
        <v>0.06</v>
      </c>
      <c r="D70" s="111">
        <v>41379</v>
      </c>
      <c r="E70" s="112">
        <f t="shared" si="1"/>
        <v>0.66027397260273968</v>
      </c>
      <c r="F70" s="16">
        <v>1.468E-2</v>
      </c>
      <c r="H70" s="16"/>
    </row>
    <row r="71" spans="1:8" x14ac:dyDescent="0.2">
      <c r="A71" s="108" t="s">
        <v>272</v>
      </c>
      <c r="B71" s="108">
        <v>106.03</v>
      </c>
      <c r="C71" s="16">
        <v>4.6249999999999999E-2</v>
      </c>
      <c r="D71" s="111">
        <v>41379</v>
      </c>
      <c r="E71" s="112">
        <f t="shared" si="1"/>
        <v>0.66027397260273968</v>
      </c>
      <c r="F71" s="16">
        <v>2.2300000000000002E-3</v>
      </c>
      <c r="H71" s="16"/>
    </row>
    <row r="72" spans="1:8" x14ac:dyDescent="0.2">
      <c r="A72" s="108" t="s">
        <v>273</v>
      </c>
      <c r="B72" s="108">
        <v>107.46</v>
      </c>
      <c r="C72" s="16">
        <v>4.6500000000000007E-2</v>
      </c>
      <c r="D72" s="111">
        <v>41379</v>
      </c>
      <c r="E72" s="112">
        <f t="shared" si="1"/>
        <v>0.66027397260273968</v>
      </c>
      <c r="F72" s="16">
        <v>-7.4799999999999997E-3</v>
      </c>
      <c r="H72" s="16"/>
    </row>
    <row r="73" spans="1:8" x14ac:dyDescent="0.2">
      <c r="A73" s="108" t="s">
        <v>257</v>
      </c>
      <c r="B73" s="108">
        <v>108.01</v>
      </c>
      <c r="C73" s="16">
        <v>5.2499999999999998E-2</v>
      </c>
      <c r="D73" s="111">
        <v>41379</v>
      </c>
      <c r="E73" s="112">
        <f t="shared" si="1"/>
        <v>0.66027397260273968</v>
      </c>
      <c r="F73" s="16">
        <v>-5.5800000000000008E-3</v>
      </c>
      <c r="H73" s="16"/>
    </row>
    <row r="74" spans="1:8" x14ac:dyDescent="0.2">
      <c r="A74" s="108" t="s">
        <v>252</v>
      </c>
      <c r="B74" s="108">
        <v>103.16</v>
      </c>
      <c r="C74" s="16">
        <v>6.1500000000000006E-2</v>
      </c>
      <c r="D74" s="111">
        <v>41389</v>
      </c>
      <c r="E74" s="112">
        <f t="shared" si="1"/>
        <v>0.68767123287671228</v>
      </c>
      <c r="F74" s="16">
        <v>3.8089999999999999E-2</v>
      </c>
      <c r="H74" s="16"/>
    </row>
    <row r="75" spans="1:8" x14ac:dyDescent="0.2">
      <c r="A75" s="108" t="s">
        <v>274</v>
      </c>
      <c r="B75" s="108">
        <v>107.67</v>
      </c>
      <c r="C75" s="16">
        <v>5.3749999999999999E-2</v>
      </c>
      <c r="D75" s="111">
        <v>41394</v>
      </c>
      <c r="E75" s="112">
        <f t="shared" si="1"/>
        <v>0.70136986301369864</v>
      </c>
      <c r="F75" s="16">
        <v>-4.3999999999999996E-4</v>
      </c>
      <c r="H75" s="16"/>
    </row>
    <row r="76" spans="1:8" x14ac:dyDescent="0.2">
      <c r="A76" s="108" t="s">
        <v>275</v>
      </c>
      <c r="B76" s="108">
        <v>102.89</v>
      </c>
      <c r="C76" s="16">
        <v>4.9000000000000002E-2</v>
      </c>
      <c r="D76" s="111">
        <v>41395</v>
      </c>
      <c r="E76" s="112">
        <f t="shared" si="1"/>
        <v>0.70410958904109588</v>
      </c>
      <c r="F76" s="16">
        <v>2.7999999999999997E-2</v>
      </c>
      <c r="H76" s="16"/>
    </row>
    <row r="77" spans="1:8" x14ac:dyDescent="0.2">
      <c r="A77" s="108" t="s">
        <v>276</v>
      </c>
      <c r="B77" s="108">
        <v>107.25</v>
      </c>
      <c r="C77" s="16">
        <v>4.4999999999999998E-2</v>
      </c>
      <c r="D77" s="111">
        <v>41395</v>
      </c>
      <c r="E77" s="112">
        <f t="shared" si="1"/>
        <v>0.70410958904109588</v>
      </c>
      <c r="F77" s="16">
        <v>-5.8799999999999998E-3</v>
      </c>
      <c r="H77" s="16"/>
    </row>
    <row r="78" spans="1:8" x14ac:dyDescent="0.2">
      <c r="A78" s="108" t="s">
        <v>277</v>
      </c>
      <c r="B78" s="108">
        <v>107.57</v>
      </c>
      <c r="C78" s="16">
        <v>5.8749999999999997E-2</v>
      </c>
      <c r="D78" s="111">
        <v>41396</v>
      </c>
      <c r="E78" s="112">
        <f t="shared" si="1"/>
        <v>0.70684931506849313</v>
      </c>
      <c r="F78" s="16">
        <v>5.13E-3</v>
      </c>
      <c r="H78" s="16"/>
    </row>
    <row r="79" spans="1:8" x14ac:dyDescent="0.2">
      <c r="A79" s="108" t="s">
        <v>278</v>
      </c>
      <c r="B79" s="108">
        <v>106.65</v>
      </c>
      <c r="C79" s="16">
        <v>4.4999999999999998E-2</v>
      </c>
      <c r="D79" s="111">
        <v>41409</v>
      </c>
      <c r="E79" s="112">
        <f t="shared" si="1"/>
        <v>0.74246575342465748</v>
      </c>
      <c r="F79" s="16">
        <v>-6.3000000000000003E-4</v>
      </c>
      <c r="H79" s="16"/>
    </row>
    <row r="80" spans="1:8" x14ac:dyDescent="0.2">
      <c r="A80" s="108" t="s">
        <v>279</v>
      </c>
      <c r="B80" s="108">
        <v>102.5</v>
      </c>
      <c r="C80" s="16">
        <v>4.2500000000000003E-2</v>
      </c>
      <c r="D80" s="111">
        <v>41409</v>
      </c>
      <c r="E80" s="112">
        <f t="shared" si="1"/>
        <v>0.74246575342465748</v>
      </c>
      <c r="F80" s="16">
        <v>2.4900000000000002E-2</v>
      </c>
      <c r="H80" s="16"/>
    </row>
    <row r="81" spans="1:8" x14ac:dyDescent="0.2">
      <c r="A81" s="108" t="s">
        <v>238</v>
      </c>
      <c r="B81" s="108">
        <v>107.14</v>
      </c>
      <c r="C81" s="16">
        <v>4.5499999999999999E-2</v>
      </c>
      <c r="D81" s="111">
        <v>41409</v>
      </c>
      <c r="E81" s="112">
        <f t="shared" si="1"/>
        <v>0.74246575342465748</v>
      </c>
      <c r="F81" s="16">
        <v>-3.4000000000000002E-3</v>
      </c>
      <c r="H81" s="16"/>
    </row>
    <row r="82" spans="1:8" x14ac:dyDescent="0.2">
      <c r="A82" s="108" t="s">
        <v>238</v>
      </c>
      <c r="B82" s="108">
        <v>107.64</v>
      </c>
      <c r="C82" s="16">
        <v>4.7500000000000001E-2</v>
      </c>
      <c r="D82" s="111">
        <v>41409</v>
      </c>
      <c r="E82" s="112">
        <f t="shared" si="1"/>
        <v>0.74246575342465748</v>
      </c>
      <c r="F82" s="16">
        <v>-4.7399999999999994E-3</v>
      </c>
      <c r="H82" s="16"/>
    </row>
    <row r="83" spans="1:8" x14ac:dyDescent="0.2">
      <c r="A83" s="108" t="s">
        <v>238</v>
      </c>
      <c r="B83" s="108">
        <v>106.91</v>
      </c>
      <c r="C83" s="16">
        <v>4.4000000000000004E-2</v>
      </c>
      <c r="D83" s="111">
        <v>41409</v>
      </c>
      <c r="E83" s="112">
        <f t="shared" si="1"/>
        <v>0.74246575342465748</v>
      </c>
      <c r="F83" s="16">
        <v>-3.31E-3</v>
      </c>
      <c r="H83" s="16"/>
    </row>
    <row r="84" spans="1:8" x14ac:dyDescent="0.2">
      <c r="A84" s="108" t="s">
        <v>280</v>
      </c>
      <c r="B84" s="108">
        <v>108.02</v>
      </c>
      <c r="C84" s="16">
        <v>4.2500000000000003E-2</v>
      </c>
      <c r="D84" s="111">
        <v>41409</v>
      </c>
      <c r="E84" s="112">
        <f t="shared" si="1"/>
        <v>0.74246575342465748</v>
      </c>
      <c r="F84" s="16">
        <v>-1.1979999999999999E-2</v>
      </c>
      <c r="H84" s="16"/>
    </row>
    <row r="85" spans="1:8" x14ac:dyDescent="0.2">
      <c r="A85" s="108" t="s">
        <v>281</v>
      </c>
      <c r="B85" s="108">
        <v>108.28</v>
      </c>
      <c r="C85" s="16">
        <v>4.8499999999999995E-2</v>
      </c>
      <c r="D85" s="111">
        <v>41409</v>
      </c>
      <c r="E85" s="112">
        <f t="shared" si="1"/>
        <v>0.74246575342465748</v>
      </c>
      <c r="F85" s="16">
        <v>-7.92E-3</v>
      </c>
      <c r="H85" s="16"/>
    </row>
    <row r="86" spans="1:8" x14ac:dyDescent="0.2">
      <c r="A86" s="108" t="s">
        <v>220</v>
      </c>
      <c r="B86" s="108">
        <v>107.42</v>
      </c>
      <c r="C86" s="16">
        <v>5.3749999999999999E-2</v>
      </c>
      <c r="D86" s="111">
        <v>41409</v>
      </c>
      <c r="E86" s="112">
        <f t="shared" si="1"/>
        <v>0.74246575342465748</v>
      </c>
      <c r="F86" s="16">
        <v>2.6099999999999999E-3</v>
      </c>
      <c r="H86" s="16"/>
    </row>
    <row r="87" spans="1:8" x14ac:dyDescent="0.2">
      <c r="A87" s="108" t="s">
        <v>282</v>
      </c>
      <c r="B87" s="108">
        <v>108.15</v>
      </c>
      <c r="C87" s="16">
        <v>5.1249999999999997E-2</v>
      </c>
      <c r="D87" s="111">
        <v>41409</v>
      </c>
      <c r="E87" s="112">
        <f t="shared" si="1"/>
        <v>0.74246575342465748</v>
      </c>
      <c r="F87" s="16">
        <v>0</v>
      </c>
      <c r="H87" s="16"/>
    </row>
    <row r="88" spans="1:8" x14ac:dyDescent="0.2">
      <c r="A88" s="108" t="s">
        <v>283</v>
      </c>
      <c r="B88" s="108">
        <v>108.08</v>
      </c>
      <c r="C88" s="16">
        <v>4.8750000000000002E-2</v>
      </c>
      <c r="D88" s="111">
        <v>41410</v>
      </c>
      <c r="E88" s="112">
        <f t="shared" si="1"/>
        <v>0.74520547945205484</v>
      </c>
      <c r="F88" s="16">
        <v>-6.3299999999999997E-3</v>
      </c>
      <c r="H88" s="16"/>
    </row>
    <row r="89" spans="1:8" x14ac:dyDescent="0.2">
      <c r="A89" s="108" t="s">
        <v>265</v>
      </c>
      <c r="B89" s="108">
        <v>109.5</v>
      </c>
      <c r="C89" s="16">
        <v>5.2999999999999999E-2</v>
      </c>
      <c r="D89" s="111">
        <v>41424</v>
      </c>
      <c r="E89" s="112">
        <f t="shared" si="1"/>
        <v>0.78356164383561644</v>
      </c>
      <c r="F89" s="16">
        <v>-9.8300000000000002E-3</v>
      </c>
      <c r="H89" s="16"/>
    </row>
    <row r="90" spans="1:8" x14ac:dyDescent="0.2">
      <c r="A90" s="108" t="s">
        <v>284</v>
      </c>
      <c r="B90" s="108">
        <v>106.97</v>
      </c>
      <c r="C90" s="16">
        <v>3.95E-2</v>
      </c>
      <c r="D90" s="111">
        <v>41426</v>
      </c>
      <c r="E90" s="112">
        <f t="shared" si="1"/>
        <v>0.78904109589041094</v>
      </c>
      <c r="F90" s="16">
        <v>-6.6400000000000001E-3</v>
      </c>
      <c r="H90" s="16"/>
    </row>
    <row r="91" spans="1:8" x14ac:dyDescent="0.2">
      <c r="A91" s="108" t="s">
        <v>285</v>
      </c>
      <c r="B91" s="108">
        <v>107.14</v>
      </c>
      <c r="C91" s="16">
        <v>4.3749999999999997E-2</v>
      </c>
      <c r="D91" s="111">
        <v>41426</v>
      </c>
      <c r="E91" s="112">
        <f t="shared" si="1"/>
        <v>0.78904109589041094</v>
      </c>
      <c r="F91" s="16">
        <v>-3.6600000000000001E-3</v>
      </c>
      <c r="H91" s="16"/>
    </row>
    <row r="92" spans="1:8" x14ac:dyDescent="0.2">
      <c r="A92" s="108" t="s">
        <v>286</v>
      </c>
      <c r="B92" s="108">
        <v>104.19</v>
      </c>
      <c r="C92" s="16">
        <v>2.1000000000000001E-2</v>
      </c>
      <c r="D92" s="111">
        <v>41440</v>
      </c>
      <c r="E92" s="112">
        <f t="shared" si="1"/>
        <v>0.82739726027397265</v>
      </c>
      <c r="F92" s="16">
        <v>-6.0699999999999999E-3</v>
      </c>
      <c r="H92" s="16"/>
    </row>
    <row r="93" spans="1:8" x14ac:dyDescent="0.2">
      <c r="A93" s="108" t="s">
        <v>287</v>
      </c>
      <c r="B93" s="108">
        <v>106.5</v>
      </c>
      <c r="C93" s="16">
        <v>5.5E-2</v>
      </c>
      <c r="D93" s="111">
        <v>41440</v>
      </c>
      <c r="E93" s="112">
        <f t="shared" si="1"/>
        <v>0.82739726027397265</v>
      </c>
      <c r="F93" s="16">
        <v>1.2230000000000001E-2</v>
      </c>
      <c r="H93" s="16"/>
    </row>
    <row r="94" spans="1:8" x14ac:dyDescent="0.2">
      <c r="A94" s="108" t="s">
        <v>288</v>
      </c>
      <c r="B94" s="108">
        <v>107.26</v>
      </c>
      <c r="C94" s="16">
        <v>4.8000000000000001E-2</v>
      </c>
      <c r="D94" s="111">
        <v>41453</v>
      </c>
      <c r="E94" s="112">
        <f t="shared" si="1"/>
        <v>0.86301369863013699</v>
      </c>
      <c r="F94" s="16">
        <v>1.8E-3</v>
      </c>
      <c r="H94" s="16"/>
    </row>
    <row r="95" spans="1:8" x14ac:dyDescent="0.2">
      <c r="A95" s="108" t="s">
        <v>289</v>
      </c>
      <c r="B95" s="108">
        <v>107.4</v>
      </c>
      <c r="C95" s="16">
        <v>4.8750000000000002E-2</v>
      </c>
      <c r="D95" s="111">
        <v>41470</v>
      </c>
      <c r="E95" s="112">
        <f t="shared" si="1"/>
        <v>0.90958904109589045</v>
      </c>
      <c r="F95" s="16">
        <v>2.99E-3</v>
      </c>
      <c r="H95" s="16"/>
    </row>
    <row r="96" spans="1:8" x14ac:dyDescent="0.2">
      <c r="A96" s="108" t="s">
        <v>239</v>
      </c>
      <c r="B96" s="108">
        <v>109.67</v>
      </c>
      <c r="C96" s="16">
        <v>0.05</v>
      </c>
      <c r="D96" s="111">
        <v>41470</v>
      </c>
      <c r="E96" s="112">
        <f t="shared" si="1"/>
        <v>0.90958904109589045</v>
      </c>
      <c r="F96" s="16">
        <v>-9.0200000000000002E-3</v>
      </c>
      <c r="H96" s="16"/>
    </row>
    <row r="97" spans="1:8" x14ac:dyDescent="0.2">
      <c r="A97" s="108" t="s">
        <v>231</v>
      </c>
      <c r="B97" s="108">
        <v>104.6</v>
      </c>
      <c r="C97" s="16">
        <v>4.7500000000000001E-2</v>
      </c>
      <c r="D97" s="111">
        <v>41470</v>
      </c>
      <c r="E97" s="112">
        <f t="shared" si="1"/>
        <v>0.90958904109589045</v>
      </c>
      <c r="F97" s="16">
        <v>1.8589999999999999E-2</v>
      </c>
      <c r="H97" s="16"/>
    </row>
    <row r="98" spans="1:8" x14ac:dyDescent="0.2">
      <c r="A98" s="108" t="s">
        <v>223</v>
      </c>
      <c r="B98" s="108">
        <v>105.2</v>
      </c>
      <c r="C98" s="16">
        <v>4.7500000000000001E-2</v>
      </c>
      <c r="D98" s="111">
        <v>41470</v>
      </c>
      <c r="E98" s="112">
        <f t="shared" si="1"/>
        <v>0.90958904109589045</v>
      </c>
      <c r="F98" s="16">
        <v>1.49E-2</v>
      </c>
      <c r="H98" s="16"/>
    </row>
    <row r="99" spans="1:8" x14ac:dyDescent="0.2">
      <c r="A99" s="108" t="s">
        <v>290</v>
      </c>
      <c r="B99" s="108">
        <v>109.17</v>
      </c>
      <c r="C99" s="16">
        <v>5.9500000000000004E-2</v>
      </c>
      <c r="D99" s="111">
        <v>41470</v>
      </c>
      <c r="E99" s="112">
        <f t="shared" si="1"/>
        <v>0.90958904109589045</v>
      </c>
      <c r="F99" s="16">
        <v>2.8100000000000004E-3</v>
      </c>
      <c r="H99" s="16"/>
    </row>
    <row r="100" spans="1:8" x14ac:dyDescent="0.2">
      <c r="A100" s="108" t="s">
        <v>291</v>
      </c>
      <c r="B100" s="108">
        <v>109</v>
      </c>
      <c r="C100" s="16">
        <v>6.6250000000000003E-2</v>
      </c>
      <c r="D100" s="111">
        <v>41487</v>
      </c>
      <c r="E100" s="112">
        <f t="shared" si="1"/>
        <v>0.95616438356164379</v>
      </c>
      <c r="F100" s="16">
        <v>1.1559999999999999E-2</v>
      </c>
      <c r="H100" s="16"/>
    </row>
    <row r="101" spans="1:8" x14ac:dyDescent="0.2">
      <c r="A101" s="108" t="s">
        <v>292</v>
      </c>
      <c r="B101" s="108">
        <v>109.5</v>
      </c>
      <c r="C101" s="16">
        <v>5.4000000000000006E-2</v>
      </c>
      <c r="D101" s="111">
        <v>41487</v>
      </c>
      <c r="E101" s="112">
        <f t="shared" si="1"/>
        <v>0.95616438356164379</v>
      </c>
      <c r="F101" s="16">
        <v>-2.8199999999999996E-3</v>
      </c>
      <c r="H101" s="16"/>
    </row>
    <row r="102" spans="1:8" x14ac:dyDescent="0.2">
      <c r="A102" s="108" t="s">
        <v>293</v>
      </c>
      <c r="B102" s="108">
        <v>109.22</v>
      </c>
      <c r="C102" s="16">
        <v>4.8750000000000002E-2</v>
      </c>
      <c r="D102" s="111">
        <v>41487</v>
      </c>
      <c r="E102" s="112">
        <f t="shared" si="1"/>
        <v>0.95616438356164379</v>
      </c>
      <c r="F102" s="16">
        <v>-6.1900000000000002E-3</v>
      </c>
      <c r="H102" s="16"/>
    </row>
    <row r="103" spans="1:8" x14ac:dyDescent="0.2">
      <c r="A103" s="108" t="s">
        <v>294</v>
      </c>
      <c r="B103" s="108">
        <v>109.99</v>
      </c>
      <c r="C103" s="16">
        <v>5.2499999999999998E-2</v>
      </c>
      <c r="D103" s="111">
        <v>41501</v>
      </c>
      <c r="E103" s="112">
        <f t="shared" si="1"/>
        <v>0.9945205479452055</v>
      </c>
      <c r="F103" s="16">
        <v>-5.6799999999999993E-3</v>
      </c>
      <c r="H103" s="16"/>
    </row>
    <row r="104" spans="1:8" x14ac:dyDescent="0.2">
      <c r="A104" s="108" t="s">
        <v>238</v>
      </c>
      <c r="B104" s="108">
        <v>106.72</v>
      </c>
      <c r="C104" s="16">
        <v>4.2500000000000003E-2</v>
      </c>
      <c r="D104" s="111">
        <v>41501</v>
      </c>
      <c r="E104" s="112">
        <f t="shared" si="1"/>
        <v>0.9945205479452055</v>
      </c>
      <c r="F104" s="16">
        <v>2.99E-3</v>
      </c>
      <c r="H104" s="16"/>
    </row>
    <row r="105" spans="1:8" x14ac:dyDescent="0.2">
      <c r="A105" s="108" t="s">
        <v>253</v>
      </c>
      <c r="B105" s="108">
        <v>109.27</v>
      </c>
      <c r="C105" s="16">
        <v>4.9000000000000002E-2</v>
      </c>
      <c r="D105" s="111">
        <v>41501</v>
      </c>
      <c r="E105" s="112">
        <f t="shared" si="1"/>
        <v>0.9945205479452055</v>
      </c>
      <c r="F105" s="16">
        <v>-5.0499999999999998E-3</v>
      </c>
      <c r="H105" s="16"/>
    </row>
    <row r="106" spans="1:8" x14ac:dyDescent="0.2">
      <c r="A106" s="108" t="s">
        <v>295</v>
      </c>
      <c r="B106" s="108">
        <v>108.62</v>
      </c>
      <c r="C106" s="16">
        <v>0.05</v>
      </c>
      <c r="D106" s="111">
        <v>41501</v>
      </c>
      <c r="E106" s="112">
        <f t="shared" si="1"/>
        <v>0.9945205479452055</v>
      </c>
      <c r="F106" s="16">
        <v>-5.4000000000000001E-4</v>
      </c>
      <c r="H106" s="16"/>
    </row>
    <row r="107" spans="1:8" x14ac:dyDescent="0.2">
      <c r="A107" s="108" t="s">
        <v>296</v>
      </c>
      <c r="B107" s="108">
        <v>109.43</v>
      </c>
      <c r="C107" s="16">
        <v>0.05</v>
      </c>
      <c r="D107" s="111">
        <v>41501</v>
      </c>
      <c r="E107" s="112">
        <f t="shared" si="1"/>
        <v>0.9945205479452055</v>
      </c>
      <c r="F107" s="16">
        <v>-5.0000000000000001E-3</v>
      </c>
      <c r="H107" s="16"/>
    </row>
    <row r="108" spans="1:8" x14ac:dyDescent="0.2">
      <c r="A108" s="108" t="s">
        <v>290</v>
      </c>
      <c r="B108" s="108">
        <v>108.5</v>
      </c>
      <c r="C108" s="16">
        <v>5.2499999999999998E-2</v>
      </c>
      <c r="D108" s="111">
        <v>41501</v>
      </c>
      <c r="E108" s="112">
        <f t="shared" si="1"/>
        <v>0.9945205479452055</v>
      </c>
      <c r="F108" s="16">
        <v>2.5200000000000001E-3</v>
      </c>
      <c r="H108" s="16"/>
    </row>
    <row r="109" spans="1:8" x14ac:dyDescent="0.2">
      <c r="A109" s="108" t="s">
        <v>229</v>
      </c>
      <c r="B109" s="108">
        <v>107</v>
      </c>
      <c r="C109" s="16">
        <v>6.5000000000000002E-2</v>
      </c>
      <c r="D109" s="111">
        <v>41505</v>
      </c>
      <c r="E109" s="112">
        <f t="shared" si="1"/>
        <v>1.0054794520547945</v>
      </c>
      <c r="F109" s="16">
        <v>2.3140000000000001E-2</v>
      </c>
      <c r="H109" s="16"/>
    </row>
    <row r="110" spans="1:8" x14ac:dyDescent="0.2">
      <c r="A110" s="108" t="s">
        <v>277</v>
      </c>
      <c r="B110" s="108">
        <v>110.92</v>
      </c>
      <c r="C110" s="16">
        <v>7.2999999999999995E-2</v>
      </c>
      <c r="D110" s="111">
        <v>41506</v>
      </c>
      <c r="E110" s="112">
        <f t="shared" si="1"/>
        <v>1.0082191780821919</v>
      </c>
      <c r="F110" s="16">
        <v>8.8299999999999993E-3</v>
      </c>
      <c r="H110" s="16"/>
    </row>
    <row r="111" spans="1:8" x14ac:dyDescent="0.2">
      <c r="A111" s="108" t="s">
        <v>297</v>
      </c>
      <c r="B111" s="108">
        <v>100.83</v>
      </c>
      <c r="C111" s="16">
        <v>3.4000000000000002E-2</v>
      </c>
      <c r="D111" s="111">
        <v>41509</v>
      </c>
      <c r="E111" s="112">
        <f t="shared" si="1"/>
        <v>1.0164383561643835</v>
      </c>
      <c r="F111" s="16">
        <v>2.9049999999999999E-2</v>
      </c>
      <c r="H111" s="16"/>
    </row>
    <row r="112" spans="1:8" x14ac:dyDescent="0.2">
      <c r="A112" s="108" t="s">
        <v>252</v>
      </c>
      <c r="B112" s="108">
        <v>398.5</v>
      </c>
      <c r="C112" s="16">
        <v>0</v>
      </c>
      <c r="D112" s="111">
        <v>41516</v>
      </c>
      <c r="E112" s="112">
        <f t="shared" si="1"/>
        <v>1.0356164383561643</v>
      </c>
      <c r="F112" s="16">
        <v>0</v>
      </c>
      <c r="H112" s="16"/>
    </row>
    <row r="113" spans="1:8" x14ac:dyDescent="0.2">
      <c r="A113" s="108" t="s">
        <v>269</v>
      </c>
      <c r="B113" s="108">
        <v>109.22</v>
      </c>
      <c r="C113" s="16">
        <v>4.9000000000000002E-2</v>
      </c>
      <c r="D113" s="111">
        <v>41526</v>
      </c>
      <c r="E113" s="112">
        <f t="shared" si="1"/>
        <v>1.0630136986301371</v>
      </c>
      <c r="F113" s="16">
        <v>-2.8599999999999997E-3</v>
      </c>
      <c r="H113" s="16"/>
    </row>
    <row r="114" spans="1:8" x14ac:dyDescent="0.2">
      <c r="A114" s="108" t="s">
        <v>271</v>
      </c>
      <c r="B114" s="108">
        <v>102.76</v>
      </c>
      <c r="C114" s="16">
        <v>1.3999999999999999E-2</v>
      </c>
      <c r="D114" s="111">
        <v>41527</v>
      </c>
      <c r="E114" s="112">
        <f t="shared" si="1"/>
        <v>1.0657534246575342</v>
      </c>
      <c r="F114" s="16">
        <v>-1.5100000000000001E-3</v>
      </c>
      <c r="H114" s="16"/>
    </row>
    <row r="115" spans="1:8" x14ac:dyDescent="0.2">
      <c r="A115" s="108" t="s">
        <v>226</v>
      </c>
      <c r="B115" s="108">
        <v>102.29</v>
      </c>
      <c r="C115" s="16">
        <v>1.2500000000000001E-2</v>
      </c>
      <c r="D115" s="111">
        <v>41530</v>
      </c>
      <c r="E115" s="112">
        <f t="shared" si="1"/>
        <v>1.0739726027397261</v>
      </c>
      <c r="F115" s="16">
        <v>-3.5000000000000005E-4</v>
      </c>
      <c r="H115" s="16"/>
    </row>
    <row r="116" spans="1:8" x14ac:dyDescent="0.2">
      <c r="A116" s="108" t="s">
        <v>298</v>
      </c>
      <c r="B116" s="108">
        <v>109.38</v>
      </c>
      <c r="C116" s="16">
        <v>6.25E-2</v>
      </c>
      <c r="D116" s="111">
        <v>41532</v>
      </c>
      <c r="E116" s="112">
        <f t="shared" si="1"/>
        <v>1.0794520547945206</v>
      </c>
      <c r="F116" s="16">
        <v>9.4799999999999988E-3</v>
      </c>
      <c r="H116" s="16"/>
    </row>
    <row r="117" spans="1:8" x14ac:dyDescent="0.2">
      <c r="A117" s="108" t="s">
        <v>299</v>
      </c>
      <c r="B117" s="108">
        <v>109.81</v>
      </c>
      <c r="C117" s="16">
        <v>5.1249999999999997E-2</v>
      </c>
      <c r="D117" s="111">
        <v>41532</v>
      </c>
      <c r="E117" s="112">
        <f t="shared" si="1"/>
        <v>1.0794520547945206</v>
      </c>
      <c r="F117" s="16">
        <v>-3.3700000000000002E-3</v>
      </c>
      <c r="H117" s="16"/>
    </row>
    <row r="118" spans="1:8" x14ac:dyDescent="0.2">
      <c r="A118" s="108" t="s">
        <v>253</v>
      </c>
      <c r="B118" s="108">
        <v>112.15</v>
      </c>
      <c r="C118" s="16">
        <v>6.2E-2</v>
      </c>
      <c r="D118" s="111">
        <v>41547</v>
      </c>
      <c r="E118" s="112">
        <f t="shared" si="1"/>
        <v>1.1205479452054794</v>
      </c>
      <c r="F118" s="16">
        <v>-4.0699999999999998E-3</v>
      </c>
      <c r="H118" s="16"/>
    </row>
    <row r="119" spans="1:8" x14ac:dyDescent="0.2">
      <c r="A119" s="108" t="s">
        <v>300</v>
      </c>
      <c r="B119" s="108">
        <v>111.19</v>
      </c>
      <c r="C119" s="16">
        <v>6.1249999999999999E-2</v>
      </c>
      <c r="D119" s="111">
        <v>41548</v>
      </c>
      <c r="E119" s="112">
        <f t="shared" si="1"/>
        <v>1.1232876712328768</v>
      </c>
      <c r="F119" s="16">
        <v>2.1000000000000001E-4</v>
      </c>
      <c r="H119" s="16"/>
    </row>
    <row r="120" spans="1:8" x14ac:dyDescent="0.2">
      <c r="A120" s="108" t="s">
        <v>301</v>
      </c>
      <c r="B120" s="108">
        <v>109.26</v>
      </c>
      <c r="C120" s="16">
        <v>4.7E-2</v>
      </c>
      <c r="D120" s="111">
        <v>41548</v>
      </c>
      <c r="E120" s="112">
        <f t="shared" si="1"/>
        <v>1.1232876712328768</v>
      </c>
      <c r="F120" s="16">
        <v>-3.29E-3</v>
      </c>
      <c r="H120" s="16"/>
    </row>
    <row r="121" spans="1:8" x14ac:dyDescent="0.2">
      <c r="A121" s="108" t="s">
        <v>302</v>
      </c>
      <c r="B121" s="108">
        <v>108.2</v>
      </c>
      <c r="C121" s="16">
        <v>6.7500000000000004E-2</v>
      </c>
      <c r="D121" s="111">
        <v>41562</v>
      </c>
      <c r="E121" s="112">
        <f t="shared" si="1"/>
        <v>1.1616438356164382</v>
      </c>
      <c r="F121" s="16">
        <v>2.2509999999999999E-2</v>
      </c>
      <c r="H121" s="16"/>
    </row>
    <row r="122" spans="1:8" x14ac:dyDescent="0.2">
      <c r="A122" s="108" t="s">
        <v>303</v>
      </c>
      <c r="B122" s="108">
        <v>102.46</v>
      </c>
      <c r="C122" s="16">
        <v>8.7500000000000008E-3</v>
      </c>
      <c r="D122" s="111">
        <v>41562</v>
      </c>
      <c r="E122" s="112">
        <f t="shared" si="1"/>
        <v>1.1616438356164382</v>
      </c>
      <c r="F122" s="16">
        <v>-4.3099999999999996E-3</v>
      </c>
      <c r="H122" s="16"/>
    </row>
    <row r="123" spans="1:8" x14ac:dyDescent="0.2">
      <c r="A123" s="108" t="s">
        <v>231</v>
      </c>
      <c r="B123" s="108">
        <v>105.05</v>
      </c>
      <c r="C123" s="16">
        <v>5.2499999999999998E-2</v>
      </c>
      <c r="D123" s="111">
        <v>41562</v>
      </c>
      <c r="E123" s="112">
        <f t="shared" si="1"/>
        <v>1.1616438356164382</v>
      </c>
      <c r="F123" s="16">
        <v>2.4700000000000003E-2</v>
      </c>
      <c r="H123" s="16"/>
    </row>
    <row r="124" spans="1:8" x14ac:dyDescent="0.2">
      <c r="A124" s="108" t="s">
        <v>304</v>
      </c>
      <c r="B124" s="108">
        <v>110.78</v>
      </c>
      <c r="C124" s="16">
        <v>5.5999999999999994E-2</v>
      </c>
      <c r="D124" s="111">
        <v>41562</v>
      </c>
      <c r="E124" s="112">
        <f t="shared" si="1"/>
        <v>1.1616438356164382</v>
      </c>
      <c r="F124" s="16">
        <v>-1.48E-3</v>
      </c>
      <c r="H124" s="16"/>
    </row>
    <row r="125" spans="1:8" x14ac:dyDescent="0.2">
      <c r="A125" s="108" t="s">
        <v>232</v>
      </c>
      <c r="B125" s="108">
        <v>106.86</v>
      </c>
      <c r="C125" s="16">
        <v>4.9500000000000002E-2</v>
      </c>
      <c r="D125" s="111">
        <v>41563</v>
      </c>
      <c r="E125" s="112">
        <f t="shared" si="1"/>
        <v>1.1643835616438356</v>
      </c>
      <c r="F125" s="16">
        <v>1.2370000000000001E-2</v>
      </c>
      <c r="H125" s="16"/>
    </row>
    <row r="126" spans="1:8" x14ac:dyDescent="0.2">
      <c r="A126" s="108" t="s">
        <v>242</v>
      </c>
      <c r="B126" s="108">
        <v>112.75</v>
      </c>
      <c r="C126" s="16">
        <v>6.7500000000000004E-2</v>
      </c>
      <c r="D126" s="111">
        <v>41579</v>
      </c>
      <c r="E126" s="112">
        <f t="shared" si="1"/>
        <v>1.2082191780821918</v>
      </c>
      <c r="F126" s="16">
        <v>8.9999999999999998E-4</v>
      </c>
      <c r="H126" s="16"/>
    </row>
    <row r="127" spans="1:8" x14ac:dyDescent="0.2">
      <c r="A127" s="108" t="s">
        <v>273</v>
      </c>
      <c r="B127" s="108">
        <v>102.38</v>
      </c>
      <c r="C127" s="16">
        <v>1.125E-2</v>
      </c>
      <c r="D127" s="111">
        <v>41579</v>
      </c>
      <c r="E127" s="112">
        <f t="shared" si="1"/>
        <v>1.2082191780821918</v>
      </c>
      <c r="F127" s="16">
        <v>-1.16E-3</v>
      </c>
      <c r="H127" s="16"/>
    </row>
    <row r="128" spans="1:8" x14ac:dyDescent="0.2">
      <c r="A128" s="108" t="s">
        <v>305</v>
      </c>
      <c r="B128" s="108">
        <v>109.69</v>
      </c>
      <c r="C128" s="16">
        <v>5.2499999999999998E-2</v>
      </c>
      <c r="D128" s="111">
        <v>41585</v>
      </c>
      <c r="E128" s="112">
        <f t="shared" si="1"/>
        <v>1.2246575342465753</v>
      </c>
      <c r="F128" s="16">
        <v>2.2400000000000002E-3</v>
      </c>
      <c r="H128" s="16"/>
    </row>
    <row r="129" spans="1:8" x14ac:dyDescent="0.2">
      <c r="A129" s="108" t="s">
        <v>246</v>
      </c>
      <c r="B129" s="108">
        <v>113.09</v>
      </c>
      <c r="C129" s="16">
        <v>6.7000000000000004E-2</v>
      </c>
      <c r="D129" s="111">
        <v>41593</v>
      </c>
      <c r="E129" s="112">
        <f t="shared" si="1"/>
        <v>1.2465753424657535</v>
      </c>
      <c r="F129" s="16">
        <v>5.0000000000000002E-5</v>
      </c>
      <c r="H129" s="16"/>
    </row>
    <row r="130" spans="1:8" x14ac:dyDescent="0.2">
      <c r="A130" s="108" t="s">
        <v>306</v>
      </c>
      <c r="B130" s="108">
        <v>110.95</v>
      </c>
      <c r="C130" s="16">
        <v>6.5000000000000002E-2</v>
      </c>
      <c r="D130" s="111">
        <v>41593</v>
      </c>
      <c r="E130" s="112">
        <f t="shared" si="1"/>
        <v>1.2465753424657535</v>
      </c>
      <c r="F130" s="16">
        <v>8.3999999999999995E-3</v>
      </c>
      <c r="H130" s="16"/>
    </row>
    <row r="131" spans="1:8" x14ac:dyDescent="0.2">
      <c r="A131" s="108" t="s">
        <v>307</v>
      </c>
      <c r="B131" s="108">
        <v>114.36</v>
      </c>
      <c r="C131" s="16">
        <v>7.3749999999999996E-2</v>
      </c>
      <c r="D131" s="111">
        <v>41593</v>
      </c>
      <c r="E131" s="112">
        <f t="shared" si="1"/>
        <v>1.2465753424657535</v>
      </c>
      <c r="F131" s="16">
        <v>2.7E-4</v>
      </c>
      <c r="H131" s="16"/>
    </row>
    <row r="132" spans="1:8" x14ac:dyDescent="0.2">
      <c r="A132" s="108" t="s">
        <v>308</v>
      </c>
      <c r="B132" s="108">
        <v>111.82</v>
      </c>
      <c r="C132" s="16">
        <v>6.25E-2</v>
      </c>
      <c r="D132" s="111">
        <v>41609</v>
      </c>
      <c r="E132" s="112">
        <f t="shared" ref="E132:E195" si="2">(D132-DATE(2012,8,17))/365</f>
        <v>1.2904109589041095</v>
      </c>
      <c r="F132" s="16">
        <v>3.1700000000000001E-3</v>
      </c>
      <c r="H132" s="16"/>
    </row>
    <row r="133" spans="1:8" x14ac:dyDescent="0.2">
      <c r="A133" s="108" t="s">
        <v>229</v>
      </c>
      <c r="B133" s="108">
        <v>106.56</v>
      </c>
      <c r="C133" s="16">
        <v>0.06</v>
      </c>
      <c r="D133" s="111">
        <v>41621</v>
      </c>
      <c r="E133" s="112">
        <f t="shared" si="2"/>
        <v>1.3232876712328767</v>
      </c>
      <c r="F133" s="16">
        <v>2.6629999999999997E-2</v>
      </c>
      <c r="H133" s="16"/>
    </row>
    <row r="134" spans="1:8" x14ac:dyDescent="0.2">
      <c r="A134" s="108" t="s">
        <v>309</v>
      </c>
      <c r="B134" s="108">
        <v>103.68</v>
      </c>
      <c r="C134" s="16">
        <v>1.4499999999999999E-2</v>
      </c>
      <c r="D134" s="111">
        <v>41621</v>
      </c>
      <c r="E134" s="112">
        <f t="shared" si="2"/>
        <v>1.3232876712328767</v>
      </c>
      <c r="F134" s="16">
        <v>-3.5199999999999997E-3</v>
      </c>
      <c r="H134" s="16"/>
    </row>
    <row r="135" spans="1:8" x14ac:dyDescent="0.2">
      <c r="A135" s="108" t="s">
        <v>310</v>
      </c>
      <c r="B135" s="108">
        <v>110.06</v>
      </c>
      <c r="C135" s="16">
        <v>4.4999999999999998E-2</v>
      </c>
      <c r="D135" s="111">
        <v>41623</v>
      </c>
      <c r="E135" s="112">
        <f t="shared" si="2"/>
        <v>1.3287671232876712</v>
      </c>
      <c r="F135" s="16">
        <v>-4.0999999999999995E-3</v>
      </c>
      <c r="H135" s="16"/>
    </row>
    <row r="136" spans="1:8" x14ac:dyDescent="0.2">
      <c r="A136" s="108" t="s">
        <v>311</v>
      </c>
      <c r="B136" s="108">
        <v>103.32</v>
      </c>
      <c r="C136" s="16">
        <v>2.1250000000000002E-2</v>
      </c>
      <c r="D136" s="111">
        <v>41624</v>
      </c>
      <c r="E136" s="112">
        <f t="shared" si="2"/>
        <v>1.3315068493150686</v>
      </c>
      <c r="F136" s="16">
        <v>4.8999999999999998E-3</v>
      </c>
      <c r="H136" s="16"/>
    </row>
    <row r="137" spans="1:8" x14ac:dyDescent="0.2">
      <c r="A137" s="108" t="s">
        <v>312</v>
      </c>
      <c r="B137" s="108">
        <v>109.92</v>
      </c>
      <c r="C137" s="16">
        <v>0.05</v>
      </c>
      <c r="D137" s="111">
        <v>41624</v>
      </c>
      <c r="E137" s="112">
        <f t="shared" si="2"/>
        <v>1.3315068493150686</v>
      </c>
      <c r="F137" s="16">
        <v>1.34E-3</v>
      </c>
      <c r="H137" s="16"/>
    </row>
    <row r="138" spans="1:8" x14ac:dyDescent="0.2">
      <c r="A138" s="108" t="s">
        <v>297</v>
      </c>
      <c r="B138" s="108">
        <v>99.25</v>
      </c>
      <c r="C138" s="16">
        <v>3.2500000000000001E-2</v>
      </c>
      <c r="D138" s="111">
        <v>41650</v>
      </c>
      <c r="E138" s="112">
        <f t="shared" si="2"/>
        <v>1.4027397260273973</v>
      </c>
      <c r="F138" s="16">
        <v>3.619E-2</v>
      </c>
      <c r="H138" s="16"/>
    </row>
    <row r="139" spans="1:8" x14ac:dyDescent="0.2">
      <c r="A139" s="108" t="s">
        <v>279</v>
      </c>
      <c r="B139" s="108">
        <v>99.78</v>
      </c>
      <c r="C139" s="16">
        <v>3.6499999999999998E-2</v>
      </c>
      <c r="D139" s="111">
        <v>41654</v>
      </c>
      <c r="E139" s="112">
        <f t="shared" si="2"/>
        <v>1.4136986301369863</v>
      </c>
      <c r="F139" s="16">
        <v>3.7559999999999996E-2</v>
      </c>
      <c r="H139" s="16"/>
    </row>
    <row r="140" spans="1:8" x14ac:dyDescent="0.2">
      <c r="A140" s="108" t="s">
        <v>247</v>
      </c>
      <c r="B140" s="108">
        <v>109.31</v>
      </c>
      <c r="C140" s="16">
        <v>4.9500000000000002E-2</v>
      </c>
      <c r="D140" s="111">
        <v>41654</v>
      </c>
      <c r="E140" s="112">
        <f t="shared" si="2"/>
        <v>1.4136986301369863</v>
      </c>
      <c r="F140" s="16">
        <v>5.3300000000000005E-3</v>
      </c>
      <c r="H140" s="16"/>
    </row>
    <row r="141" spans="1:8" x14ac:dyDescent="0.2">
      <c r="A141" s="108" t="s">
        <v>253</v>
      </c>
      <c r="B141" s="108">
        <v>109.64</v>
      </c>
      <c r="C141" s="16">
        <v>4.5999999999999999E-2</v>
      </c>
      <c r="D141" s="111">
        <v>41654</v>
      </c>
      <c r="E141" s="112">
        <f t="shared" si="2"/>
        <v>1.4136986301369863</v>
      </c>
      <c r="F141" s="16">
        <v>5.2999999999999998E-4</v>
      </c>
      <c r="H141" s="16"/>
    </row>
    <row r="142" spans="1:8" x14ac:dyDescent="0.2">
      <c r="A142" s="108" t="s">
        <v>313</v>
      </c>
      <c r="B142" s="108">
        <v>115.45</v>
      </c>
      <c r="C142" s="16">
        <v>7.3749999999999996E-2</v>
      </c>
      <c r="D142" s="111">
        <v>41654</v>
      </c>
      <c r="E142" s="112">
        <f t="shared" si="2"/>
        <v>1.4136986301369863</v>
      </c>
      <c r="F142" s="16">
        <v>8.699999999999999E-4</v>
      </c>
      <c r="H142" s="16"/>
    </row>
    <row r="143" spans="1:8" x14ac:dyDescent="0.2">
      <c r="A143" s="108" t="s">
        <v>231</v>
      </c>
      <c r="B143" s="108">
        <v>104.76</v>
      </c>
      <c r="C143" s="16">
        <v>5.1500000000000004E-2</v>
      </c>
      <c r="D143" s="111">
        <v>41654</v>
      </c>
      <c r="E143" s="112">
        <f t="shared" si="2"/>
        <v>1.4136986301369863</v>
      </c>
      <c r="F143" s="16">
        <v>2.8229999999999998E-2</v>
      </c>
      <c r="H143" s="16"/>
    </row>
    <row r="144" spans="1:8" x14ac:dyDescent="0.2">
      <c r="A144" s="108" t="s">
        <v>227</v>
      </c>
      <c r="B144" s="108">
        <v>107.92</v>
      </c>
      <c r="C144" s="16">
        <v>5.2499999999999998E-2</v>
      </c>
      <c r="D144" s="111">
        <v>41654</v>
      </c>
      <c r="E144" s="112">
        <f t="shared" si="2"/>
        <v>1.4136986301369863</v>
      </c>
      <c r="F144" s="16">
        <v>1.447E-2</v>
      </c>
      <c r="H144" s="16"/>
    </row>
    <row r="145" spans="1:8" x14ac:dyDescent="0.2">
      <c r="A145" s="108" t="s">
        <v>314</v>
      </c>
      <c r="B145" s="108">
        <v>113.71</v>
      </c>
      <c r="C145" s="16">
        <v>8.1250000000000003E-2</v>
      </c>
      <c r="D145" s="111">
        <v>41660</v>
      </c>
      <c r="E145" s="112">
        <f t="shared" si="2"/>
        <v>1.4301369863013698</v>
      </c>
      <c r="F145" s="16">
        <v>1.5780000000000002E-2</v>
      </c>
      <c r="H145" s="16"/>
    </row>
    <row r="146" spans="1:8" x14ac:dyDescent="0.2">
      <c r="A146" s="108" t="s">
        <v>315</v>
      </c>
      <c r="B146" s="108">
        <v>115.03</v>
      </c>
      <c r="C146" s="16">
        <v>7.0000000000000007E-2</v>
      </c>
      <c r="D146" s="111">
        <v>41671</v>
      </c>
      <c r="E146" s="112">
        <f t="shared" si="2"/>
        <v>1.4602739726027398</v>
      </c>
      <c r="F146" s="16">
        <v>5.6000000000000006E-4</v>
      </c>
      <c r="H146" s="16"/>
    </row>
    <row r="147" spans="1:8" x14ac:dyDescent="0.2">
      <c r="A147" s="108" t="s">
        <v>235</v>
      </c>
      <c r="B147" s="108">
        <v>110.55</v>
      </c>
      <c r="C147" s="16">
        <v>4.7500000000000001E-2</v>
      </c>
      <c r="D147" s="111">
        <v>41671</v>
      </c>
      <c r="E147" s="112">
        <f t="shared" si="2"/>
        <v>1.4602739726027398</v>
      </c>
      <c r="F147" s="16">
        <v>-1.1299999999999999E-3</v>
      </c>
      <c r="H147" s="16"/>
    </row>
    <row r="148" spans="1:8" x14ac:dyDescent="0.2">
      <c r="A148" s="108" t="s">
        <v>252</v>
      </c>
      <c r="B148" s="108">
        <v>103.46</v>
      </c>
      <c r="C148" s="16">
        <v>0.05</v>
      </c>
      <c r="D148" s="111">
        <v>41673</v>
      </c>
      <c r="E148" s="112">
        <f t="shared" si="2"/>
        <v>1.4657534246575343</v>
      </c>
      <c r="F148" s="16">
        <v>3.3319999999999995E-2</v>
      </c>
      <c r="H148" s="16"/>
    </row>
    <row r="149" spans="1:8" x14ac:dyDescent="0.2">
      <c r="A149" s="108" t="s">
        <v>246</v>
      </c>
      <c r="B149" s="108">
        <v>110.03</v>
      </c>
      <c r="C149" s="16">
        <v>4.8499999999999995E-2</v>
      </c>
      <c r="D149" s="111">
        <v>41685</v>
      </c>
      <c r="E149" s="112">
        <f t="shared" si="2"/>
        <v>1.4986301369863013</v>
      </c>
      <c r="F149" s="16">
        <v>2.8599999999999997E-3</v>
      </c>
      <c r="H149" s="16"/>
    </row>
    <row r="150" spans="1:8" x14ac:dyDescent="0.2">
      <c r="A150" s="108" t="s">
        <v>316</v>
      </c>
      <c r="B150" s="108">
        <v>108.99</v>
      </c>
      <c r="C150" s="16">
        <v>3.875E-2</v>
      </c>
      <c r="D150" s="111">
        <v>41685</v>
      </c>
      <c r="E150" s="112">
        <f t="shared" si="2"/>
        <v>1.4986301369863013</v>
      </c>
      <c r="F150" s="16">
        <v>-1.92E-3</v>
      </c>
      <c r="H150" s="16"/>
    </row>
    <row r="151" spans="1:8" x14ac:dyDescent="0.2">
      <c r="A151" s="108" t="s">
        <v>230</v>
      </c>
      <c r="B151" s="108">
        <v>106.46</v>
      </c>
      <c r="C151" s="16">
        <v>4.7500000000000001E-2</v>
      </c>
      <c r="D151" s="111">
        <v>41685</v>
      </c>
      <c r="E151" s="112">
        <f t="shared" si="2"/>
        <v>1.4986301369863013</v>
      </c>
      <c r="F151" s="16">
        <v>1.7520000000000001E-2</v>
      </c>
      <c r="H151" s="16"/>
    </row>
    <row r="152" spans="1:8" x14ac:dyDescent="0.2">
      <c r="A152" s="108" t="s">
        <v>317</v>
      </c>
      <c r="B152" s="108">
        <v>107.21</v>
      </c>
      <c r="C152" s="16">
        <v>4.8750000000000002E-2</v>
      </c>
      <c r="D152" s="111">
        <v>41685</v>
      </c>
      <c r="E152" s="112">
        <f t="shared" si="2"/>
        <v>1.4986301369863013</v>
      </c>
      <c r="F152" s="16">
        <v>1.538E-2</v>
      </c>
      <c r="H152" s="16"/>
    </row>
    <row r="153" spans="1:8" x14ac:dyDescent="0.2">
      <c r="A153" s="108" t="s">
        <v>318</v>
      </c>
      <c r="B153" s="108">
        <v>111.66</v>
      </c>
      <c r="C153" s="16">
        <v>0.06</v>
      </c>
      <c r="D153" s="111">
        <v>41685</v>
      </c>
      <c r="E153" s="112">
        <f t="shared" si="2"/>
        <v>1.4986301369863013</v>
      </c>
      <c r="F153" s="16">
        <v>6.6700000000000006E-3</v>
      </c>
      <c r="H153" s="16"/>
    </row>
    <row r="154" spans="1:8" x14ac:dyDescent="0.2">
      <c r="A154" s="108" t="s">
        <v>253</v>
      </c>
      <c r="B154" s="108">
        <v>113.09</v>
      </c>
      <c r="C154" s="16">
        <v>6.1249999999999999E-2</v>
      </c>
      <c r="D154" s="111">
        <v>41687</v>
      </c>
      <c r="E154" s="112">
        <f t="shared" si="2"/>
        <v>1.5041095890410958</v>
      </c>
      <c r="F154" s="16">
        <v>1.91E-3</v>
      </c>
      <c r="H154" s="16"/>
    </row>
    <row r="155" spans="1:8" x14ac:dyDescent="0.2">
      <c r="A155" s="108" t="s">
        <v>319</v>
      </c>
      <c r="B155" s="108">
        <v>111.28</v>
      </c>
      <c r="C155" s="16">
        <v>6.5000000000000002E-2</v>
      </c>
      <c r="D155" s="111">
        <v>41696</v>
      </c>
      <c r="E155" s="112">
        <f t="shared" si="2"/>
        <v>1.5287671232876712</v>
      </c>
      <c r="F155" s="16">
        <v>1.362E-2</v>
      </c>
      <c r="H155" s="16"/>
    </row>
    <row r="156" spans="1:8" x14ac:dyDescent="0.2">
      <c r="A156" s="108" t="s">
        <v>320</v>
      </c>
      <c r="B156" s="108">
        <v>111</v>
      </c>
      <c r="C156" s="16">
        <v>5.5E-2</v>
      </c>
      <c r="D156" s="111">
        <v>41699</v>
      </c>
      <c r="E156" s="112">
        <f t="shared" si="2"/>
        <v>1.536986301369863</v>
      </c>
      <c r="F156" s="16">
        <v>5.7199999999999994E-3</v>
      </c>
      <c r="H156" s="16"/>
    </row>
    <row r="157" spans="1:8" x14ac:dyDescent="0.2">
      <c r="A157" s="108" t="s">
        <v>226</v>
      </c>
      <c r="B157" s="108">
        <v>112.44</v>
      </c>
      <c r="C157" s="16">
        <v>6.1249999999999999E-2</v>
      </c>
      <c r="D157" s="111">
        <v>41699</v>
      </c>
      <c r="E157" s="112">
        <f t="shared" si="2"/>
        <v>1.536986301369863</v>
      </c>
      <c r="F157" s="16">
        <v>5.5200000000000006E-3</v>
      </c>
      <c r="H157" s="16"/>
    </row>
    <row r="158" spans="1:8" x14ac:dyDescent="0.2">
      <c r="A158" s="108" t="s">
        <v>321</v>
      </c>
      <c r="B158" s="108">
        <v>111.58</v>
      </c>
      <c r="C158" s="16">
        <v>5.8499999999999996E-2</v>
      </c>
      <c r="D158" s="111">
        <v>41699</v>
      </c>
      <c r="E158" s="112">
        <f t="shared" si="2"/>
        <v>1.536986301369863</v>
      </c>
      <c r="F158" s="16">
        <v>6.5599999999999999E-3</v>
      </c>
      <c r="H158" s="16"/>
    </row>
    <row r="159" spans="1:8" x14ac:dyDescent="0.2">
      <c r="A159" s="108" t="s">
        <v>295</v>
      </c>
      <c r="B159" s="108">
        <v>116</v>
      </c>
      <c r="C159" s="16">
        <v>7.3749999999999996E-2</v>
      </c>
      <c r="D159" s="111">
        <v>41701</v>
      </c>
      <c r="E159" s="112">
        <f t="shared" si="2"/>
        <v>1.5424657534246575</v>
      </c>
      <c r="F159" s="16">
        <v>2.5600000000000002E-3</v>
      </c>
      <c r="H159" s="16"/>
    </row>
    <row r="160" spans="1:8" x14ac:dyDescent="0.2">
      <c r="A160" s="108" t="s">
        <v>322</v>
      </c>
      <c r="B160" s="108">
        <v>111.64</v>
      </c>
      <c r="C160" s="16">
        <v>0.05</v>
      </c>
      <c r="D160" s="111">
        <v>41713</v>
      </c>
      <c r="E160" s="112">
        <f t="shared" si="2"/>
        <v>1.5753424657534247</v>
      </c>
      <c r="F160" s="16">
        <v>-8.1000000000000006E-4</v>
      </c>
      <c r="H160" s="16"/>
    </row>
    <row r="161" spans="1:8" x14ac:dyDescent="0.2">
      <c r="A161" s="108" t="s">
        <v>323</v>
      </c>
      <c r="B161" s="108">
        <v>111.83</v>
      </c>
      <c r="C161" s="16">
        <v>5.9000000000000004E-2</v>
      </c>
      <c r="D161" s="111">
        <v>41713</v>
      </c>
      <c r="E161" s="112">
        <f t="shared" si="2"/>
        <v>1.5753424657534247</v>
      </c>
      <c r="F161" s="16">
        <v>6.8100000000000001E-3</v>
      </c>
      <c r="H161" s="16"/>
    </row>
    <row r="162" spans="1:8" x14ac:dyDescent="0.2">
      <c r="A162" s="108" t="s">
        <v>283</v>
      </c>
      <c r="B162" s="108">
        <v>115.12</v>
      </c>
      <c r="C162" s="16">
        <v>6.8750000000000006E-2</v>
      </c>
      <c r="D162" s="111">
        <v>41715</v>
      </c>
      <c r="E162" s="112">
        <f t="shared" si="2"/>
        <v>1.5808219178082192</v>
      </c>
      <c r="F162" s="16">
        <v>2.5999999999999999E-3</v>
      </c>
      <c r="H162" s="16"/>
    </row>
    <row r="163" spans="1:8" x14ac:dyDescent="0.2">
      <c r="A163" s="108" t="s">
        <v>324</v>
      </c>
      <c r="B163" s="108">
        <v>102.21</v>
      </c>
      <c r="C163" s="16">
        <v>1.7000000000000001E-2</v>
      </c>
      <c r="D163" s="111">
        <v>41719</v>
      </c>
      <c r="E163" s="112">
        <f t="shared" si="2"/>
        <v>1.5917808219178082</v>
      </c>
      <c r="F163" s="16">
        <v>7.3200000000000001E-3</v>
      </c>
      <c r="H163" s="16"/>
    </row>
    <row r="164" spans="1:8" x14ac:dyDescent="0.2">
      <c r="A164" s="108" t="s">
        <v>257</v>
      </c>
      <c r="B164" s="108">
        <v>104.89</v>
      </c>
      <c r="C164" s="16">
        <v>1.95E-2</v>
      </c>
      <c r="D164" s="111">
        <v>41726</v>
      </c>
      <c r="E164" s="112">
        <f t="shared" si="2"/>
        <v>1.6109589041095891</v>
      </c>
      <c r="F164" s="16">
        <v>-1.47E-3</v>
      </c>
      <c r="H164" s="16"/>
    </row>
    <row r="165" spans="1:8" x14ac:dyDescent="0.2">
      <c r="A165" s="108" t="s">
        <v>325</v>
      </c>
      <c r="B165" s="108">
        <v>112.15</v>
      </c>
      <c r="C165" s="16">
        <v>5.5E-2</v>
      </c>
      <c r="D165" s="111">
        <v>41730</v>
      </c>
      <c r="E165" s="112">
        <f t="shared" si="2"/>
        <v>1.6219178082191781</v>
      </c>
      <c r="F165" s="16">
        <v>2.7300000000000002E-3</v>
      </c>
      <c r="H165" s="16"/>
    </row>
    <row r="166" spans="1:8" x14ac:dyDescent="0.2">
      <c r="A166" s="108" t="s">
        <v>260</v>
      </c>
      <c r="B166" s="108">
        <v>97.82</v>
      </c>
      <c r="C166" s="16">
        <v>4.7500000000000001E-2</v>
      </c>
      <c r="D166" s="111">
        <v>41730</v>
      </c>
      <c r="E166" s="112">
        <f t="shared" si="2"/>
        <v>1.6219178082191781</v>
      </c>
      <c r="F166" s="16">
        <v>5.756E-2</v>
      </c>
      <c r="H166" s="16"/>
    </row>
    <row r="167" spans="1:8" x14ac:dyDescent="0.2">
      <c r="A167" s="108" t="s">
        <v>271</v>
      </c>
      <c r="B167" s="108">
        <v>112.73</v>
      </c>
      <c r="C167" s="16">
        <v>5.6250000000000001E-2</v>
      </c>
      <c r="D167" s="111">
        <v>41744</v>
      </c>
      <c r="E167" s="112">
        <f t="shared" si="2"/>
        <v>1.6602739726027398</v>
      </c>
      <c r="F167" s="16">
        <v>2.4099999999999998E-3</v>
      </c>
      <c r="H167" s="16"/>
    </row>
    <row r="168" spans="1:8" x14ac:dyDescent="0.2">
      <c r="A168" s="108" t="s">
        <v>281</v>
      </c>
      <c r="B168" s="108">
        <v>110.33</v>
      </c>
      <c r="C168" s="16">
        <v>4.3749999999999997E-2</v>
      </c>
      <c r="D168" s="111">
        <v>41744</v>
      </c>
      <c r="E168" s="112">
        <f t="shared" si="2"/>
        <v>1.6602739726027398</v>
      </c>
      <c r="F168" s="16">
        <v>2.0000000000000001E-4</v>
      </c>
      <c r="H168" s="16"/>
    </row>
    <row r="169" spans="1:8" x14ac:dyDescent="0.2">
      <c r="A169" s="108" t="s">
        <v>237</v>
      </c>
      <c r="B169" s="108">
        <v>111</v>
      </c>
      <c r="C169" s="16">
        <v>4.8750000000000002E-2</v>
      </c>
      <c r="D169" s="111">
        <v>41744</v>
      </c>
      <c r="E169" s="112">
        <f t="shared" si="2"/>
        <v>1.6602739726027398</v>
      </c>
      <c r="F169" s="16">
        <v>2.2300000000000002E-3</v>
      </c>
      <c r="H169" s="16"/>
    </row>
    <row r="170" spans="1:8" x14ac:dyDescent="0.2">
      <c r="A170" s="108" t="s">
        <v>232</v>
      </c>
      <c r="B170" s="108">
        <v>107.67</v>
      </c>
      <c r="C170" s="16">
        <v>4.6249999999999999E-2</v>
      </c>
      <c r="D170" s="111">
        <v>41744</v>
      </c>
      <c r="E170" s="112">
        <f t="shared" si="2"/>
        <v>1.6602739726027398</v>
      </c>
      <c r="F170" s="16">
        <v>1.328E-2</v>
      </c>
      <c r="H170" s="16"/>
    </row>
    <row r="171" spans="1:8" x14ac:dyDescent="0.2">
      <c r="A171" s="108" t="s">
        <v>326</v>
      </c>
      <c r="B171" s="108">
        <v>116.52</v>
      </c>
      <c r="C171" s="16">
        <v>6.9500000000000006E-2</v>
      </c>
      <c r="D171" s="111">
        <v>41754</v>
      </c>
      <c r="E171" s="112">
        <f t="shared" si="2"/>
        <v>1.6876712328767123</v>
      </c>
      <c r="F171" s="16">
        <v>6.2E-4</v>
      </c>
      <c r="H171" s="16"/>
    </row>
    <row r="172" spans="1:8" x14ac:dyDescent="0.2">
      <c r="A172" s="108" t="s">
        <v>228</v>
      </c>
      <c r="B172" s="108">
        <v>111.9</v>
      </c>
      <c r="C172" s="16">
        <v>5.7000000000000002E-2</v>
      </c>
      <c r="D172" s="111">
        <v>41759</v>
      </c>
      <c r="E172" s="112">
        <f t="shared" si="2"/>
        <v>1.7013698630136986</v>
      </c>
      <c r="F172" s="16">
        <v>7.1699999999999993E-3</v>
      </c>
      <c r="H172" s="16"/>
    </row>
    <row r="173" spans="1:8" x14ac:dyDescent="0.2">
      <c r="A173" s="108" t="s">
        <v>239</v>
      </c>
      <c r="B173" s="108">
        <v>113.16</v>
      </c>
      <c r="C173" s="16">
        <v>4.8750000000000002E-2</v>
      </c>
      <c r="D173" s="111">
        <v>41759</v>
      </c>
      <c r="E173" s="112">
        <f t="shared" si="2"/>
        <v>1.7013698630136986</v>
      </c>
      <c r="F173" s="16">
        <v>-5.3500000000000006E-3</v>
      </c>
      <c r="H173" s="16"/>
    </row>
    <row r="174" spans="1:8" x14ac:dyDescent="0.2">
      <c r="A174" s="108" t="s">
        <v>327</v>
      </c>
      <c r="B174" s="108">
        <v>105.73</v>
      </c>
      <c r="C174" s="16">
        <v>0.06</v>
      </c>
      <c r="D174" s="111">
        <v>41760</v>
      </c>
      <c r="E174" s="112">
        <f t="shared" si="2"/>
        <v>1.704109589041096</v>
      </c>
      <c r="F174" s="16">
        <v>3.5049999999999998E-2</v>
      </c>
      <c r="H174" s="16"/>
    </row>
    <row r="175" spans="1:8" x14ac:dyDescent="0.2">
      <c r="A175" s="108" t="s">
        <v>328</v>
      </c>
      <c r="B175" s="108">
        <v>119.39</v>
      </c>
      <c r="C175" s="16">
        <v>8.9499999999999996E-2</v>
      </c>
      <c r="D175" s="111">
        <v>41760</v>
      </c>
      <c r="E175" s="112">
        <f t="shared" si="2"/>
        <v>1.704109589041096</v>
      </c>
      <c r="F175" s="16">
        <v>8.3000000000000001E-3</v>
      </c>
      <c r="H175" s="16"/>
    </row>
    <row r="176" spans="1:8" x14ac:dyDescent="0.2">
      <c r="A176" s="108" t="s">
        <v>229</v>
      </c>
      <c r="B176" s="108">
        <v>106.25</v>
      </c>
      <c r="C176" s="16">
        <v>5.1249999999999997E-2</v>
      </c>
      <c r="D176" s="111">
        <v>41764</v>
      </c>
      <c r="E176" s="112">
        <f t="shared" si="2"/>
        <v>1.715068493150685</v>
      </c>
      <c r="F176" s="16">
        <v>2.4550000000000002E-2</v>
      </c>
      <c r="H176" s="16"/>
    </row>
    <row r="177" spans="1:8" x14ac:dyDescent="0.2">
      <c r="A177" s="108" t="s">
        <v>305</v>
      </c>
      <c r="B177" s="108">
        <v>107.53</v>
      </c>
      <c r="C177" s="16">
        <v>3.6249999999999998E-2</v>
      </c>
      <c r="D177" s="111">
        <v>41767</v>
      </c>
      <c r="E177" s="112">
        <f t="shared" si="2"/>
        <v>1.7232876712328766</v>
      </c>
      <c r="F177" s="16">
        <v>5.1200000000000004E-3</v>
      </c>
      <c r="H177" s="16"/>
    </row>
    <row r="178" spans="1:8" x14ac:dyDescent="0.2">
      <c r="A178" s="108" t="s">
        <v>260</v>
      </c>
      <c r="B178" s="108">
        <v>101.98</v>
      </c>
      <c r="C178" s="16">
        <v>0.06</v>
      </c>
      <c r="D178" s="111">
        <v>41772</v>
      </c>
      <c r="E178" s="112">
        <f t="shared" si="2"/>
        <v>1.736986301369863</v>
      </c>
      <c r="F178" s="16">
        <v>5.1279999999999999E-2</v>
      </c>
      <c r="H178" s="16"/>
    </row>
    <row r="179" spans="1:8" x14ac:dyDescent="0.2">
      <c r="A179" s="108" t="s">
        <v>275</v>
      </c>
      <c r="B179" s="108">
        <v>103.22</v>
      </c>
      <c r="C179" s="16">
        <v>7.3749999999999996E-2</v>
      </c>
      <c r="D179" s="111">
        <v>41774</v>
      </c>
      <c r="E179" s="112">
        <f t="shared" si="2"/>
        <v>1.7424657534246575</v>
      </c>
      <c r="F179" s="16">
        <v>5.9459999999999999E-2</v>
      </c>
      <c r="H179" s="16"/>
    </row>
    <row r="180" spans="1:8" x14ac:dyDescent="0.2">
      <c r="A180" s="108" t="s">
        <v>329</v>
      </c>
      <c r="B180" s="108">
        <v>103.5</v>
      </c>
      <c r="C180" s="16">
        <v>1.375E-2</v>
      </c>
      <c r="D180" s="111">
        <v>41774</v>
      </c>
      <c r="E180" s="112">
        <f t="shared" si="2"/>
        <v>1.7424657534246575</v>
      </c>
      <c r="F180" s="16">
        <v>-5.0000000000000001E-4</v>
      </c>
      <c r="H180" s="16"/>
    </row>
    <row r="181" spans="1:8" x14ac:dyDescent="0.2">
      <c r="A181" s="108" t="s">
        <v>330</v>
      </c>
      <c r="B181" s="108">
        <v>114.03</v>
      </c>
      <c r="C181" s="16">
        <v>6.2E-2</v>
      </c>
      <c r="D181" s="111">
        <v>41775</v>
      </c>
      <c r="E181" s="112">
        <f t="shared" si="2"/>
        <v>1.7452054794520548</v>
      </c>
      <c r="F181" s="16">
        <v>4.5199999999999997E-3</v>
      </c>
      <c r="H181" s="16"/>
    </row>
    <row r="182" spans="1:8" x14ac:dyDescent="0.2">
      <c r="A182" s="108" t="s">
        <v>331</v>
      </c>
      <c r="B182" s="108">
        <v>105.93</v>
      </c>
      <c r="C182" s="16">
        <v>0.03</v>
      </c>
      <c r="D182" s="111">
        <v>41778</v>
      </c>
      <c r="E182" s="112">
        <f t="shared" si="2"/>
        <v>1.7534246575342465</v>
      </c>
      <c r="F182" s="16">
        <v>5.7599999999999995E-3</v>
      </c>
      <c r="H182" s="16"/>
    </row>
    <row r="183" spans="1:8" x14ac:dyDescent="0.2">
      <c r="A183" s="108" t="s">
        <v>289</v>
      </c>
      <c r="B183" s="108">
        <v>113.99</v>
      </c>
      <c r="C183" s="16">
        <v>7.2499999999999995E-2</v>
      </c>
      <c r="D183" s="111">
        <v>41779</v>
      </c>
      <c r="E183" s="112">
        <f t="shared" si="2"/>
        <v>1.7561643835616438</v>
      </c>
      <c r="F183" s="16">
        <v>1.4610000000000001E-2</v>
      </c>
      <c r="H183" s="16"/>
    </row>
    <row r="184" spans="1:8" x14ac:dyDescent="0.2">
      <c r="A184" s="108" t="s">
        <v>253</v>
      </c>
      <c r="B184" s="108">
        <v>103.88</v>
      </c>
      <c r="C184" s="16">
        <v>1.375E-2</v>
      </c>
      <c r="D184" s="111">
        <v>41779</v>
      </c>
      <c r="E184" s="112">
        <f t="shared" si="2"/>
        <v>1.7561643835616438</v>
      </c>
      <c r="F184" s="16">
        <v>-1.9E-3</v>
      </c>
      <c r="H184" s="16"/>
    </row>
    <row r="185" spans="1:8" x14ac:dyDescent="0.2">
      <c r="A185" s="108" t="s">
        <v>332</v>
      </c>
      <c r="B185" s="108">
        <v>103.36</v>
      </c>
      <c r="C185" s="16">
        <v>1.7500000000000002E-2</v>
      </c>
      <c r="D185" s="111">
        <v>41789</v>
      </c>
      <c r="E185" s="112">
        <f t="shared" si="2"/>
        <v>1.7835616438356163</v>
      </c>
      <c r="F185" s="16">
        <v>3.9500000000000004E-3</v>
      </c>
      <c r="H185" s="16"/>
    </row>
    <row r="186" spans="1:8" x14ac:dyDescent="0.2">
      <c r="A186" s="108" t="s">
        <v>333</v>
      </c>
      <c r="B186" s="108">
        <v>114.72</v>
      </c>
      <c r="C186" s="16">
        <v>6.7500000000000004E-2</v>
      </c>
      <c r="D186" s="111">
        <v>41791</v>
      </c>
      <c r="E186" s="112">
        <f t="shared" si="2"/>
        <v>1.789041095890411</v>
      </c>
      <c r="F186" s="16">
        <v>7.9000000000000008E-3</v>
      </c>
      <c r="H186" s="16"/>
    </row>
    <row r="187" spans="1:8" x14ac:dyDescent="0.2">
      <c r="A187" s="108" t="s">
        <v>334</v>
      </c>
      <c r="B187" s="108">
        <v>111.37</v>
      </c>
      <c r="C187" s="16">
        <v>4.9500000000000002E-2</v>
      </c>
      <c r="D187" s="111">
        <v>41791</v>
      </c>
      <c r="E187" s="112">
        <f t="shared" si="2"/>
        <v>1.789041095890411</v>
      </c>
      <c r="F187" s="16">
        <v>3.7499999999999999E-3</v>
      </c>
      <c r="H187" s="16"/>
    </row>
    <row r="188" spans="1:8" x14ac:dyDescent="0.2">
      <c r="A188" s="108" t="s">
        <v>226</v>
      </c>
      <c r="B188" s="108">
        <v>110.45</v>
      </c>
      <c r="C188" s="16">
        <v>4.7500000000000001E-2</v>
      </c>
      <c r="D188" s="111">
        <v>41792</v>
      </c>
      <c r="E188" s="112">
        <f t="shared" si="2"/>
        <v>1.7917808219178082</v>
      </c>
      <c r="F188" s="16">
        <v>5.4000000000000003E-3</v>
      </c>
      <c r="H188" s="16"/>
    </row>
    <row r="189" spans="1:8" x14ac:dyDescent="0.2">
      <c r="A189" s="108" t="s">
        <v>312</v>
      </c>
      <c r="B189" s="108">
        <v>108.66</v>
      </c>
      <c r="C189" s="16">
        <v>4.1500000000000002E-2</v>
      </c>
      <c r="D189" s="111">
        <v>41800</v>
      </c>
      <c r="E189" s="112">
        <f t="shared" si="2"/>
        <v>1.8136986301369864</v>
      </c>
      <c r="F189" s="16">
        <v>6.8500000000000002E-3</v>
      </c>
      <c r="H189" s="16"/>
    </row>
    <row r="190" spans="1:8" x14ac:dyDescent="0.2">
      <c r="A190" s="108" t="s">
        <v>222</v>
      </c>
      <c r="B190" s="108">
        <v>101.69</v>
      </c>
      <c r="C190" s="16">
        <v>5.3749999999999999E-2</v>
      </c>
      <c r="D190" s="111">
        <v>41805</v>
      </c>
      <c r="E190" s="112">
        <f t="shared" si="2"/>
        <v>1.8273972602739725</v>
      </c>
      <c r="F190" s="16">
        <v>4.6609999999999999E-2</v>
      </c>
      <c r="H190" s="16"/>
    </row>
    <row r="191" spans="1:8" x14ac:dyDescent="0.2">
      <c r="A191" s="108" t="s">
        <v>218</v>
      </c>
      <c r="B191" s="108">
        <v>101</v>
      </c>
      <c r="C191" s="16">
        <v>1.95E-2</v>
      </c>
      <c r="D191" s="111">
        <v>41805</v>
      </c>
      <c r="E191" s="112">
        <f t="shared" si="2"/>
        <v>1.8273972602739725</v>
      </c>
      <c r="F191" s="16">
        <v>1.5469999999999999E-2</v>
      </c>
      <c r="H191" s="16"/>
    </row>
    <row r="192" spans="1:8" x14ac:dyDescent="0.2">
      <c r="A192" s="108" t="s">
        <v>335</v>
      </c>
      <c r="B192" s="108">
        <v>110.61</v>
      </c>
      <c r="C192" s="16">
        <v>5.5E-2</v>
      </c>
      <c r="D192" s="111">
        <v>41805</v>
      </c>
      <c r="E192" s="112">
        <f t="shared" si="2"/>
        <v>1.8273972602739725</v>
      </c>
      <c r="F192" s="16">
        <v>1.2410000000000001E-2</v>
      </c>
      <c r="H192" s="16"/>
    </row>
    <row r="193" spans="1:8" x14ac:dyDescent="0.2">
      <c r="A193" s="108" t="s">
        <v>336</v>
      </c>
      <c r="B193" s="108">
        <v>115.51</v>
      </c>
      <c r="C193" s="16">
        <v>6.2E-2</v>
      </c>
      <c r="D193" s="111">
        <v>41810</v>
      </c>
      <c r="E193" s="112">
        <f t="shared" si="2"/>
        <v>1.8410958904109589</v>
      </c>
      <c r="F193" s="16">
        <v>1.14E-3</v>
      </c>
      <c r="H193" s="16"/>
    </row>
    <row r="194" spans="1:8" x14ac:dyDescent="0.2">
      <c r="A194" s="108" t="s">
        <v>337</v>
      </c>
      <c r="B194" s="108">
        <v>112.03</v>
      </c>
      <c r="C194" s="16">
        <v>0.05</v>
      </c>
      <c r="D194" s="111">
        <v>41821</v>
      </c>
      <c r="E194" s="112">
        <f t="shared" si="2"/>
        <v>1.8712328767123287</v>
      </c>
      <c r="F194" s="16">
        <v>3.1900000000000001E-3</v>
      </c>
      <c r="H194" s="16"/>
    </row>
    <row r="195" spans="1:8" x14ac:dyDescent="0.2">
      <c r="A195" s="108" t="s">
        <v>338</v>
      </c>
      <c r="B195" s="108">
        <v>109.98</v>
      </c>
      <c r="C195" s="16">
        <v>3.7499999999999999E-2</v>
      </c>
      <c r="D195" s="111">
        <v>41828</v>
      </c>
      <c r="E195" s="112">
        <f t="shared" si="2"/>
        <v>1.8904109589041096</v>
      </c>
      <c r="F195" s="16">
        <v>-7.9000000000000001E-4</v>
      </c>
      <c r="H195" s="16"/>
    </row>
    <row r="196" spans="1:8" x14ac:dyDescent="0.2">
      <c r="A196" s="108" t="s">
        <v>267</v>
      </c>
      <c r="B196" s="108">
        <v>102.91</v>
      </c>
      <c r="C196" s="16">
        <v>1.4999999999999999E-2</v>
      </c>
      <c r="D196" s="111">
        <v>41834</v>
      </c>
      <c r="E196" s="112">
        <f t="shared" ref="E196:E259" si="3">(D196-DATE(2012,8,17))/365</f>
        <v>1.9068493150684931</v>
      </c>
      <c r="F196" s="16">
        <v>3.81E-3</v>
      </c>
      <c r="H196" s="16"/>
    </row>
    <row r="197" spans="1:8" x14ac:dyDescent="0.2">
      <c r="A197" s="108" t="s">
        <v>327</v>
      </c>
      <c r="B197" s="108">
        <v>105.25</v>
      </c>
      <c r="C197" s="16">
        <v>4.2000000000000003E-2</v>
      </c>
      <c r="D197" s="111">
        <v>41835</v>
      </c>
      <c r="E197" s="112">
        <f t="shared" si="3"/>
        <v>1.9095890410958904</v>
      </c>
      <c r="F197" s="16">
        <v>2.1299999999999999E-2</v>
      </c>
      <c r="H197" s="16"/>
    </row>
    <row r="198" spans="1:8" x14ac:dyDescent="0.2">
      <c r="A198" s="108" t="s">
        <v>252</v>
      </c>
      <c r="B198" s="108">
        <v>101.86</v>
      </c>
      <c r="C198" s="16">
        <v>5.45E-2</v>
      </c>
      <c r="D198" s="111">
        <v>41835</v>
      </c>
      <c r="E198" s="112">
        <f t="shared" si="3"/>
        <v>1.9095890410958904</v>
      </c>
      <c r="F198" s="16">
        <v>4.6879999999999998E-2</v>
      </c>
      <c r="H198" s="16"/>
    </row>
    <row r="199" spans="1:8" x14ac:dyDescent="0.2">
      <c r="A199" s="108" t="s">
        <v>260</v>
      </c>
      <c r="B199" s="108">
        <v>95.44</v>
      </c>
      <c r="C199" s="16">
        <v>2.8750000000000001E-2</v>
      </c>
      <c r="D199" s="111">
        <v>41848</v>
      </c>
      <c r="E199" s="112">
        <f t="shared" si="3"/>
        <v>1.9452054794520548</v>
      </c>
      <c r="F199" s="16">
        <v>4.7169999999999997E-2</v>
      </c>
      <c r="H199" s="16"/>
    </row>
    <row r="200" spans="1:8" x14ac:dyDescent="0.2">
      <c r="A200" s="108" t="s">
        <v>317</v>
      </c>
      <c r="B200" s="108">
        <v>107.75</v>
      </c>
      <c r="C200" s="16">
        <v>5.2499999999999998E-2</v>
      </c>
      <c r="D200" s="111">
        <v>41852</v>
      </c>
      <c r="E200" s="112">
        <f t="shared" si="3"/>
        <v>1.9561643835616438</v>
      </c>
      <c r="F200" s="16">
        <v>2.239E-2</v>
      </c>
      <c r="H200" s="16"/>
    </row>
    <row r="201" spans="1:8" x14ac:dyDescent="0.2">
      <c r="A201" s="108" t="s">
        <v>229</v>
      </c>
      <c r="B201" s="108">
        <v>108.02</v>
      </c>
      <c r="C201" s="16">
        <v>6.3750000000000001E-2</v>
      </c>
      <c r="D201" s="111">
        <v>41863</v>
      </c>
      <c r="E201" s="112">
        <f t="shared" si="3"/>
        <v>1.9863013698630136</v>
      </c>
      <c r="F201" s="16">
        <v>3.2419999999999997E-2</v>
      </c>
      <c r="H201" s="16"/>
    </row>
    <row r="202" spans="1:8" x14ac:dyDescent="0.2">
      <c r="A202" s="108" t="s">
        <v>330</v>
      </c>
      <c r="B202" s="108">
        <v>111.46</v>
      </c>
      <c r="C202" s="16">
        <v>0.05</v>
      </c>
      <c r="D202" s="111">
        <v>41866</v>
      </c>
      <c r="E202" s="112">
        <f t="shared" si="3"/>
        <v>1.9945205479452055</v>
      </c>
      <c r="F202" s="16">
        <v>7.1599999999999997E-3</v>
      </c>
      <c r="H202" s="16"/>
    </row>
    <row r="203" spans="1:8" x14ac:dyDescent="0.2">
      <c r="A203" s="108" t="s">
        <v>218</v>
      </c>
      <c r="B203" s="108">
        <v>107.65</v>
      </c>
      <c r="C203" s="16">
        <v>0.06</v>
      </c>
      <c r="D203" s="111">
        <v>41866</v>
      </c>
      <c r="E203" s="112">
        <f t="shared" si="3"/>
        <v>1.9945205479452055</v>
      </c>
      <c r="F203" s="16">
        <v>3.049E-2</v>
      </c>
      <c r="H203" s="16"/>
    </row>
    <row r="204" spans="1:8" x14ac:dyDescent="0.2">
      <c r="A204" s="108" t="s">
        <v>218</v>
      </c>
      <c r="B204" s="108">
        <v>107</v>
      </c>
      <c r="C204" s="16">
        <v>4.8000000000000001E-2</v>
      </c>
      <c r="D204" s="111">
        <v>41866</v>
      </c>
      <c r="E204" s="112">
        <f t="shared" si="3"/>
        <v>1.9945205479452055</v>
      </c>
      <c r="F204" s="16">
        <v>2.1349999999999997E-2</v>
      </c>
      <c r="H204" s="16"/>
    </row>
    <row r="205" spans="1:8" x14ac:dyDescent="0.2">
      <c r="A205" s="108" t="s">
        <v>218</v>
      </c>
      <c r="B205" s="108">
        <v>103.69</v>
      </c>
      <c r="C205" s="16">
        <v>4.4999999999999998E-2</v>
      </c>
      <c r="D205" s="111">
        <v>41866</v>
      </c>
      <c r="E205" s="112">
        <f t="shared" si="3"/>
        <v>1.9945205479452055</v>
      </c>
      <c r="F205" s="16">
        <v>3.0769999999999999E-2</v>
      </c>
      <c r="H205" s="16"/>
    </row>
    <row r="206" spans="1:8" x14ac:dyDescent="0.2">
      <c r="A206" s="108" t="s">
        <v>277</v>
      </c>
      <c r="B206" s="108">
        <v>109.7</v>
      </c>
      <c r="C206" s="16">
        <v>5.1249999999999997E-2</v>
      </c>
      <c r="D206" s="111">
        <v>41876</v>
      </c>
      <c r="E206" s="112">
        <f t="shared" si="3"/>
        <v>2.021917808219178</v>
      </c>
      <c r="F206" s="16">
        <v>1.4879999999999999E-2</v>
      </c>
      <c r="H206" s="16"/>
    </row>
    <row r="207" spans="1:8" x14ac:dyDescent="0.2">
      <c r="A207" s="108" t="s">
        <v>339</v>
      </c>
      <c r="B207" s="108">
        <v>111.42</v>
      </c>
      <c r="C207" s="16">
        <v>5.1500000000000004E-2</v>
      </c>
      <c r="D207" s="111">
        <v>41883</v>
      </c>
      <c r="E207" s="112">
        <f t="shared" si="3"/>
        <v>2.0410958904109591</v>
      </c>
      <c r="F207" s="16">
        <v>9.3500000000000007E-3</v>
      </c>
      <c r="H207" s="16"/>
    </row>
    <row r="208" spans="1:8" x14ac:dyDescent="0.2">
      <c r="A208" s="108" t="s">
        <v>279</v>
      </c>
      <c r="B208" s="108">
        <v>98.96</v>
      </c>
      <c r="C208" s="16">
        <v>4.2500000000000003E-2</v>
      </c>
      <c r="D208" s="111">
        <v>41897</v>
      </c>
      <c r="E208" s="112">
        <f t="shared" si="3"/>
        <v>2.0794520547945203</v>
      </c>
      <c r="F208" s="16">
        <v>4.6509999999999996E-2</v>
      </c>
      <c r="H208" s="16"/>
    </row>
    <row r="209" spans="1:8" x14ac:dyDescent="0.2">
      <c r="A209" s="108" t="s">
        <v>340</v>
      </c>
      <c r="B209" s="108">
        <v>112.67</v>
      </c>
      <c r="C209" s="16">
        <v>5.2000000000000005E-2</v>
      </c>
      <c r="D209" s="111">
        <v>41897</v>
      </c>
      <c r="E209" s="112">
        <f t="shared" si="3"/>
        <v>2.0794520547945203</v>
      </c>
      <c r="F209" s="16">
        <v>6.11E-3</v>
      </c>
      <c r="H209" s="16"/>
    </row>
    <row r="210" spans="1:8" x14ac:dyDescent="0.2">
      <c r="A210" s="108" t="s">
        <v>229</v>
      </c>
      <c r="B210" s="108">
        <v>102.25</v>
      </c>
      <c r="C210" s="16">
        <v>0.05</v>
      </c>
      <c r="D210" s="111">
        <v>41897</v>
      </c>
      <c r="E210" s="112">
        <f t="shared" si="3"/>
        <v>2.0794520547945203</v>
      </c>
      <c r="F210" s="16">
        <v>4.1369999999999997E-2</v>
      </c>
      <c r="H210" s="16"/>
    </row>
    <row r="211" spans="1:8" x14ac:dyDescent="0.2">
      <c r="A211" s="108" t="s">
        <v>218</v>
      </c>
      <c r="B211" s="108">
        <v>108.53</v>
      </c>
      <c r="C211" s="16">
        <v>5.7999999999999996E-2</v>
      </c>
      <c r="D211" s="111">
        <v>41897</v>
      </c>
      <c r="E211" s="112">
        <f t="shared" si="3"/>
        <v>2.0794520547945203</v>
      </c>
      <c r="F211" s="16">
        <v>2.6230000000000003E-2</v>
      </c>
      <c r="H211" s="16"/>
    </row>
    <row r="212" spans="1:8" x14ac:dyDescent="0.2">
      <c r="A212" s="108" t="s">
        <v>218</v>
      </c>
      <c r="B212" s="108">
        <v>107.36</v>
      </c>
      <c r="C212" s="16">
        <v>5.6500000000000002E-2</v>
      </c>
      <c r="D212" s="111">
        <v>41897</v>
      </c>
      <c r="E212" s="112">
        <f t="shared" si="3"/>
        <v>2.0794520547945203</v>
      </c>
      <c r="F212" s="16">
        <v>2.8830000000000001E-2</v>
      </c>
      <c r="H212" s="16"/>
    </row>
    <row r="213" spans="1:8" x14ac:dyDescent="0.2">
      <c r="A213" s="108" t="s">
        <v>218</v>
      </c>
      <c r="B213" s="108">
        <v>107.88</v>
      </c>
      <c r="C213" s="16">
        <v>5.8499999999999996E-2</v>
      </c>
      <c r="D213" s="111">
        <v>41897</v>
      </c>
      <c r="E213" s="112">
        <f t="shared" si="3"/>
        <v>2.0794520547945203</v>
      </c>
      <c r="F213" s="16">
        <v>2.886E-2</v>
      </c>
      <c r="H213" s="16"/>
    </row>
    <row r="214" spans="1:8" x14ac:dyDescent="0.2">
      <c r="A214" s="108" t="s">
        <v>218</v>
      </c>
      <c r="B214" s="108">
        <v>108.94</v>
      </c>
      <c r="C214" s="16">
        <v>5.7500000000000002E-2</v>
      </c>
      <c r="D214" s="111">
        <v>41897</v>
      </c>
      <c r="E214" s="112">
        <f t="shared" si="3"/>
        <v>2.0794520547945203</v>
      </c>
      <c r="F214" s="16">
        <v>2.427E-2</v>
      </c>
      <c r="H214" s="16"/>
    </row>
    <row r="215" spans="1:8" x14ac:dyDescent="0.2">
      <c r="A215" s="108" t="s">
        <v>218</v>
      </c>
      <c r="B215" s="108">
        <v>104.47</v>
      </c>
      <c r="C215" s="16">
        <v>4.5999999999999999E-2</v>
      </c>
      <c r="D215" s="111">
        <v>41897</v>
      </c>
      <c r="E215" s="112">
        <f t="shared" si="3"/>
        <v>2.0794520547945203</v>
      </c>
      <c r="F215" s="16">
        <v>2.9239999999999999E-2</v>
      </c>
      <c r="H215" s="16"/>
    </row>
    <row r="216" spans="1:8" x14ac:dyDescent="0.2">
      <c r="A216" s="108" t="s">
        <v>219</v>
      </c>
      <c r="B216" s="108">
        <v>107.08</v>
      </c>
      <c r="C216" s="16">
        <v>5.1249999999999997E-2</v>
      </c>
      <c r="D216" s="111">
        <v>41897</v>
      </c>
      <c r="E216" s="112">
        <f t="shared" si="3"/>
        <v>2.0794520547945203</v>
      </c>
      <c r="F216" s="16">
        <v>2.4809999999999999E-2</v>
      </c>
      <c r="H216" s="16"/>
    </row>
    <row r="217" spans="1:8" x14ac:dyDescent="0.2">
      <c r="A217" s="108" t="s">
        <v>341</v>
      </c>
      <c r="B217" s="108">
        <v>112.69</v>
      </c>
      <c r="C217" s="16">
        <v>5.0999999999999997E-2</v>
      </c>
      <c r="D217" s="111">
        <v>41897</v>
      </c>
      <c r="E217" s="112">
        <f t="shared" si="3"/>
        <v>2.0794520547945203</v>
      </c>
      <c r="F217" s="16">
        <v>5.1200000000000004E-3</v>
      </c>
      <c r="H217" s="16"/>
    </row>
    <row r="218" spans="1:8" x14ac:dyDescent="0.2">
      <c r="A218" s="108" t="s">
        <v>342</v>
      </c>
      <c r="B218" s="108">
        <v>110.23</v>
      </c>
      <c r="C218" s="16">
        <v>4.1500000000000002E-2</v>
      </c>
      <c r="D218" s="111">
        <v>41897</v>
      </c>
      <c r="E218" s="112">
        <f t="shared" si="3"/>
        <v>2.0794520547945203</v>
      </c>
      <c r="F218" s="16">
        <v>4.5599999999999998E-3</v>
      </c>
      <c r="H218" s="16"/>
    </row>
    <row r="219" spans="1:8" x14ac:dyDescent="0.2">
      <c r="A219" s="108" t="s">
        <v>234</v>
      </c>
      <c r="B219" s="108">
        <v>109.52</v>
      </c>
      <c r="C219" s="16">
        <v>5.0999999999999997E-2</v>
      </c>
      <c r="D219" s="111">
        <v>41902</v>
      </c>
      <c r="E219" s="112">
        <f t="shared" si="3"/>
        <v>2.0931506849315067</v>
      </c>
      <c r="F219" s="16">
        <v>1.6129999999999999E-2</v>
      </c>
      <c r="H219" s="16"/>
    </row>
    <row r="220" spans="1:8" x14ac:dyDescent="0.2">
      <c r="A220" s="108" t="s">
        <v>343</v>
      </c>
      <c r="B220" s="108">
        <v>110.18</v>
      </c>
      <c r="C220" s="16">
        <v>4.8750000000000002E-2</v>
      </c>
      <c r="D220" s="111">
        <v>41904</v>
      </c>
      <c r="E220" s="112">
        <f t="shared" si="3"/>
        <v>2.0986301369863014</v>
      </c>
      <c r="F220" s="16">
        <v>1.179E-2</v>
      </c>
      <c r="H220" s="16"/>
    </row>
    <row r="221" spans="1:8" x14ac:dyDescent="0.2">
      <c r="A221" s="108" t="s">
        <v>245</v>
      </c>
      <c r="B221" s="108">
        <v>103.12</v>
      </c>
      <c r="C221" s="16">
        <v>1.55E-2</v>
      </c>
      <c r="D221" s="111">
        <v>41911</v>
      </c>
      <c r="E221" s="112">
        <f t="shared" si="3"/>
        <v>2.117808219178082</v>
      </c>
      <c r="F221" s="16">
        <v>4.3699999999999998E-3</v>
      </c>
      <c r="H221" s="16"/>
    </row>
    <row r="222" spans="1:8" x14ac:dyDescent="0.2">
      <c r="A222" s="108" t="s">
        <v>231</v>
      </c>
      <c r="B222" s="108">
        <v>105.22</v>
      </c>
      <c r="C222" s="16">
        <v>0.05</v>
      </c>
      <c r="D222" s="111">
        <v>41913</v>
      </c>
      <c r="E222" s="112">
        <f t="shared" si="3"/>
        <v>2.1232876712328768</v>
      </c>
      <c r="F222" s="16">
        <v>3.0619999999999998E-2</v>
      </c>
      <c r="H222" s="16"/>
    </row>
    <row r="223" spans="1:8" x14ac:dyDescent="0.2">
      <c r="A223" s="108" t="s">
        <v>229</v>
      </c>
      <c r="B223" s="108">
        <v>107.14</v>
      </c>
      <c r="C223" s="16">
        <v>5.5E-2</v>
      </c>
      <c r="D223" s="111">
        <v>41927</v>
      </c>
      <c r="E223" s="112">
        <f t="shared" si="3"/>
        <v>2.1616438356164385</v>
      </c>
      <c r="F223" s="16">
        <v>2.8910000000000002E-2</v>
      </c>
      <c r="H223" s="16"/>
    </row>
    <row r="224" spans="1:8" x14ac:dyDescent="0.2">
      <c r="A224" s="108" t="s">
        <v>218</v>
      </c>
      <c r="B224" s="108">
        <v>107.13</v>
      </c>
      <c r="C224" s="16">
        <v>5.6500000000000002E-2</v>
      </c>
      <c r="D224" s="111">
        <v>41927</v>
      </c>
      <c r="E224" s="112">
        <f t="shared" si="3"/>
        <v>2.1616438356164385</v>
      </c>
      <c r="F224" s="16">
        <v>3.039E-2</v>
      </c>
      <c r="H224" s="16"/>
    </row>
    <row r="225" spans="1:8" x14ac:dyDescent="0.2">
      <c r="A225" s="108" t="s">
        <v>218</v>
      </c>
      <c r="B225" s="108">
        <v>104.32</v>
      </c>
      <c r="C225" s="16">
        <v>4.1500000000000002E-2</v>
      </c>
      <c r="D225" s="111">
        <v>41927</v>
      </c>
      <c r="E225" s="112">
        <f t="shared" si="3"/>
        <v>2.1616438356164385</v>
      </c>
      <c r="F225" s="16">
        <v>2.5779999999999997E-2</v>
      </c>
      <c r="H225" s="16"/>
    </row>
    <row r="226" spans="1:8" x14ac:dyDescent="0.2">
      <c r="A226" s="108" t="s">
        <v>220</v>
      </c>
      <c r="B226" s="108">
        <v>108.06</v>
      </c>
      <c r="C226" s="16">
        <v>4.7500000000000001E-2</v>
      </c>
      <c r="D226" s="111">
        <v>41927</v>
      </c>
      <c r="E226" s="112">
        <f t="shared" si="3"/>
        <v>2.1616438356164385</v>
      </c>
      <c r="F226" s="16">
        <v>1.8550000000000001E-2</v>
      </c>
      <c r="H226" s="16"/>
    </row>
    <row r="227" spans="1:8" x14ac:dyDescent="0.2">
      <c r="A227" s="108" t="s">
        <v>344</v>
      </c>
      <c r="B227" s="108">
        <v>109.29</v>
      </c>
      <c r="C227" s="16">
        <v>3.2500000000000001E-2</v>
      </c>
      <c r="D227" s="111">
        <v>41939</v>
      </c>
      <c r="E227" s="112">
        <f t="shared" si="3"/>
        <v>2.1945205479452055</v>
      </c>
      <c r="F227" s="16">
        <v>5.0000000000000001E-4</v>
      </c>
      <c r="H227" s="16"/>
    </row>
    <row r="228" spans="1:8" x14ac:dyDescent="0.2">
      <c r="A228" s="108" t="s">
        <v>345</v>
      </c>
      <c r="B228" s="108">
        <v>111.41</v>
      </c>
      <c r="C228" s="16">
        <v>4.7500000000000001E-2</v>
      </c>
      <c r="D228" s="111">
        <v>41944</v>
      </c>
      <c r="E228" s="112">
        <f t="shared" si="3"/>
        <v>2.2082191780821918</v>
      </c>
      <c r="F228" s="16">
        <v>7.8399999999999997E-3</v>
      </c>
      <c r="H228" s="16"/>
    </row>
    <row r="229" spans="1:8" x14ac:dyDescent="0.2">
      <c r="A229" s="108" t="s">
        <v>346</v>
      </c>
      <c r="B229" s="108">
        <v>102.24</v>
      </c>
      <c r="C229" s="16">
        <v>1.7000000000000001E-2</v>
      </c>
      <c r="D229" s="111">
        <v>41953</v>
      </c>
      <c r="E229" s="112">
        <f t="shared" si="3"/>
        <v>2.2328767123287672</v>
      </c>
      <c r="F229" s="16">
        <v>9.2500000000000013E-3</v>
      </c>
      <c r="H229" s="16"/>
    </row>
    <row r="230" spans="1:8" x14ac:dyDescent="0.2">
      <c r="A230" s="108" t="s">
        <v>347</v>
      </c>
      <c r="B230" s="108">
        <v>102.34</v>
      </c>
      <c r="C230" s="16">
        <v>1.8749999999999999E-2</v>
      </c>
      <c r="D230" s="111">
        <v>41958</v>
      </c>
      <c r="E230" s="112">
        <f t="shared" si="3"/>
        <v>2.2465753424657535</v>
      </c>
      <c r="F230" s="16">
        <v>1.069E-2</v>
      </c>
      <c r="H230" s="16"/>
    </row>
    <row r="231" spans="1:8" x14ac:dyDescent="0.2">
      <c r="A231" s="108" t="s">
        <v>222</v>
      </c>
      <c r="B231" s="108">
        <v>99.74</v>
      </c>
      <c r="C231" s="16">
        <v>5.1249999999999997E-2</v>
      </c>
      <c r="D231" s="111">
        <v>41958</v>
      </c>
      <c r="E231" s="112">
        <f t="shared" si="3"/>
        <v>2.2465753424657535</v>
      </c>
      <c r="F231" s="16">
        <v>5.219E-2</v>
      </c>
      <c r="H231" s="16"/>
    </row>
    <row r="232" spans="1:8" x14ac:dyDescent="0.2">
      <c r="A232" s="108" t="s">
        <v>231</v>
      </c>
      <c r="B232" s="108">
        <v>106.31</v>
      </c>
      <c r="C232" s="16">
        <v>5.5E-2</v>
      </c>
      <c r="D232" s="111">
        <v>41958</v>
      </c>
      <c r="E232" s="112">
        <f t="shared" si="3"/>
        <v>2.2465753424657535</v>
      </c>
      <c r="F232" s="16">
        <v>3.2440000000000004E-2</v>
      </c>
      <c r="H232" s="16"/>
    </row>
    <row r="233" spans="1:8" x14ac:dyDescent="0.2">
      <c r="A233" s="108" t="s">
        <v>284</v>
      </c>
      <c r="B233" s="108">
        <v>114.18</v>
      </c>
      <c r="C233" s="16">
        <v>5.2499999999999998E-2</v>
      </c>
      <c r="D233" s="111">
        <v>41958</v>
      </c>
      <c r="E233" s="112">
        <f t="shared" si="3"/>
        <v>2.2465753424657535</v>
      </c>
      <c r="F233" s="16">
        <v>4.1799999999999997E-3</v>
      </c>
      <c r="H233" s="16"/>
    </row>
    <row r="234" spans="1:8" x14ac:dyDescent="0.2">
      <c r="A234" s="108" t="s">
        <v>232</v>
      </c>
      <c r="B234" s="108">
        <v>108.18</v>
      </c>
      <c r="C234" s="16">
        <v>0.05</v>
      </c>
      <c r="D234" s="111">
        <v>41958</v>
      </c>
      <c r="E234" s="112">
        <f t="shared" si="3"/>
        <v>2.2465753424657535</v>
      </c>
      <c r="F234" s="16">
        <v>2.128E-2</v>
      </c>
      <c r="H234" s="16"/>
    </row>
    <row r="235" spans="1:8" x14ac:dyDescent="0.2">
      <c r="A235" s="108" t="s">
        <v>348</v>
      </c>
      <c r="B235" s="108">
        <v>107.81</v>
      </c>
      <c r="C235" s="16">
        <v>2.8999999999999998E-2</v>
      </c>
      <c r="D235" s="111">
        <v>41960</v>
      </c>
      <c r="E235" s="112">
        <f t="shared" si="3"/>
        <v>2.2520547945205478</v>
      </c>
      <c r="F235" s="16">
        <v>2.5000000000000001E-3</v>
      </c>
      <c r="H235" s="16"/>
    </row>
    <row r="236" spans="1:8" x14ac:dyDescent="0.2">
      <c r="A236" s="108" t="s">
        <v>347</v>
      </c>
      <c r="B236" s="108">
        <v>110.24</v>
      </c>
      <c r="C236" s="16">
        <v>4.8499999999999995E-2</v>
      </c>
      <c r="D236" s="111">
        <v>41961</v>
      </c>
      <c r="E236" s="112">
        <f t="shared" si="3"/>
        <v>2.2547945205479452</v>
      </c>
      <c r="F236" s="16">
        <v>1.3169999999999999E-2</v>
      </c>
      <c r="H236" s="16"/>
    </row>
    <row r="237" spans="1:8" x14ac:dyDescent="0.2">
      <c r="A237" s="108" t="s">
        <v>260</v>
      </c>
      <c r="B237" s="108">
        <v>97.67</v>
      </c>
      <c r="C237" s="16">
        <v>4.2000000000000003E-2</v>
      </c>
      <c r="D237" s="111">
        <v>41963</v>
      </c>
      <c r="E237" s="112">
        <f t="shared" si="3"/>
        <v>2.2602739726027399</v>
      </c>
      <c r="F237" s="16">
        <v>5.0549999999999998E-2</v>
      </c>
      <c r="H237" s="16"/>
    </row>
    <row r="238" spans="1:8" x14ac:dyDescent="0.2">
      <c r="A238" s="108" t="s">
        <v>349</v>
      </c>
      <c r="B238" s="108">
        <v>106</v>
      </c>
      <c r="C238" s="16">
        <v>5.7500000000000002E-2</v>
      </c>
      <c r="D238" s="111">
        <v>41974</v>
      </c>
      <c r="E238" s="112">
        <f t="shared" si="3"/>
        <v>2.2904109589041095</v>
      </c>
      <c r="F238" s="16">
        <v>3.6209999999999999E-2</v>
      </c>
      <c r="H238" s="16"/>
    </row>
    <row r="239" spans="1:8" x14ac:dyDescent="0.2">
      <c r="A239" s="108" t="s">
        <v>350</v>
      </c>
      <c r="B239" s="108">
        <v>108.9</v>
      </c>
      <c r="C239" s="16">
        <v>3.5000000000000003E-2</v>
      </c>
      <c r="D239" s="111">
        <v>41983</v>
      </c>
      <c r="E239" s="112">
        <f t="shared" si="3"/>
        <v>2.3150684931506849</v>
      </c>
      <c r="F239" s="16">
        <v>5.3E-3</v>
      </c>
      <c r="H239" s="16"/>
    </row>
    <row r="240" spans="1:8" x14ac:dyDescent="0.2">
      <c r="A240" s="108" t="s">
        <v>318</v>
      </c>
      <c r="B240" s="108">
        <v>112.03</v>
      </c>
      <c r="C240" s="16">
        <v>0.05</v>
      </c>
      <c r="D240" s="111">
        <v>41988</v>
      </c>
      <c r="E240" s="112">
        <f t="shared" si="3"/>
        <v>2.3287671232876712</v>
      </c>
      <c r="F240" s="16">
        <v>9.7199999999999995E-3</v>
      </c>
      <c r="H240" s="16"/>
    </row>
    <row r="241" spans="1:8" x14ac:dyDescent="0.2">
      <c r="A241" s="108" t="s">
        <v>234</v>
      </c>
      <c r="B241" s="108">
        <v>105.87</v>
      </c>
      <c r="C241" s="16">
        <v>3.875E-2</v>
      </c>
      <c r="D241" s="111">
        <v>42018</v>
      </c>
      <c r="E241" s="112">
        <f t="shared" si="3"/>
        <v>2.4109589041095889</v>
      </c>
      <c r="F241" s="16">
        <v>1.9279999999999999E-2</v>
      </c>
      <c r="H241" s="16"/>
    </row>
    <row r="242" spans="1:8" x14ac:dyDescent="0.2">
      <c r="A242" s="108" t="s">
        <v>247</v>
      </c>
      <c r="B242" s="108">
        <v>112.46</v>
      </c>
      <c r="C242" s="16">
        <v>0.05</v>
      </c>
      <c r="D242" s="111">
        <v>42019</v>
      </c>
      <c r="E242" s="112">
        <f t="shared" si="3"/>
        <v>2.4136986301369863</v>
      </c>
      <c r="F242" s="16">
        <v>9.4199999999999996E-3</v>
      </c>
      <c r="H242" s="16"/>
    </row>
    <row r="243" spans="1:8" x14ac:dyDescent="0.2">
      <c r="A243" s="108" t="s">
        <v>229</v>
      </c>
      <c r="B243" s="108">
        <v>107.38</v>
      </c>
      <c r="C243" s="16">
        <v>6.0100000000000001E-2</v>
      </c>
      <c r="D243" s="111">
        <v>42019</v>
      </c>
      <c r="E243" s="112">
        <f t="shared" si="3"/>
        <v>2.4136986301369863</v>
      </c>
      <c r="F243" s="16">
        <v>3.4959999999999998E-2</v>
      </c>
      <c r="H243" s="16"/>
    </row>
    <row r="244" spans="1:8" x14ac:dyDescent="0.2">
      <c r="A244" s="108" t="s">
        <v>235</v>
      </c>
      <c r="B244" s="108">
        <v>113.84</v>
      </c>
      <c r="C244" s="16">
        <v>4.5999999999999999E-2</v>
      </c>
      <c r="D244" s="111">
        <v>42019</v>
      </c>
      <c r="E244" s="112">
        <f t="shared" si="3"/>
        <v>2.4136986301369863</v>
      </c>
      <c r="F244" s="16">
        <v>1.5399999999999999E-3</v>
      </c>
      <c r="H244" s="16"/>
    </row>
    <row r="245" spans="1:8" x14ac:dyDescent="0.2">
      <c r="A245" s="108" t="s">
        <v>268</v>
      </c>
      <c r="B245" s="108">
        <v>108.02</v>
      </c>
      <c r="C245" s="16">
        <v>3.2500000000000001E-2</v>
      </c>
      <c r="D245" s="111">
        <v>42019</v>
      </c>
      <c r="E245" s="112">
        <f t="shared" si="3"/>
        <v>2.4136986301369863</v>
      </c>
      <c r="F245" s="16">
        <v>6.5000000000000006E-3</v>
      </c>
      <c r="H245" s="16"/>
    </row>
    <row r="246" spans="1:8" x14ac:dyDescent="0.2">
      <c r="A246" s="108" t="s">
        <v>239</v>
      </c>
      <c r="B246" s="108">
        <v>109.65</v>
      </c>
      <c r="C246" s="16">
        <v>3.2500000000000001E-2</v>
      </c>
      <c r="D246" s="111">
        <v>42019</v>
      </c>
      <c r="E246" s="112">
        <f t="shared" si="3"/>
        <v>2.4136986301369863</v>
      </c>
      <c r="F246" s="16">
        <v>1.5E-3</v>
      </c>
      <c r="H246" s="16"/>
    </row>
    <row r="247" spans="1:8" x14ac:dyDescent="0.2">
      <c r="A247" s="108" t="s">
        <v>280</v>
      </c>
      <c r="B247" s="108">
        <v>103.33</v>
      </c>
      <c r="C247" s="16">
        <v>1.375E-2</v>
      </c>
      <c r="D247" s="111">
        <v>42019</v>
      </c>
      <c r="E247" s="112">
        <f t="shared" si="3"/>
        <v>2.4136986301369863</v>
      </c>
      <c r="F247" s="16">
        <v>3.0399999999999997E-3</v>
      </c>
      <c r="H247" s="16"/>
    </row>
    <row r="248" spans="1:8" x14ac:dyDescent="0.2">
      <c r="A248" s="108" t="s">
        <v>231</v>
      </c>
      <c r="B248" s="108">
        <v>104.2</v>
      </c>
      <c r="C248" s="16">
        <v>5.1249999999999997E-2</v>
      </c>
      <c r="D248" s="111">
        <v>42019</v>
      </c>
      <c r="E248" s="112">
        <f t="shared" si="3"/>
        <v>2.4136986301369863</v>
      </c>
      <c r="F248" s="16">
        <v>3.6859999999999997E-2</v>
      </c>
      <c r="H248" s="16"/>
    </row>
    <row r="249" spans="1:8" x14ac:dyDescent="0.2">
      <c r="A249" s="108" t="s">
        <v>252</v>
      </c>
      <c r="B249" s="108">
        <v>98.67</v>
      </c>
      <c r="C249" s="16">
        <v>0.05</v>
      </c>
      <c r="D249" s="111">
        <v>42019</v>
      </c>
      <c r="E249" s="112">
        <f t="shared" si="3"/>
        <v>2.4136986301369863</v>
      </c>
      <c r="F249" s="16">
        <v>5.4690000000000003E-2</v>
      </c>
      <c r="H249" s="16"/>
    </row>
    <row r="250" spans="1:8" x14ac:dyDescent="0.2">
      <c r="A250" s="108" t="s">
        <v>351</v>
      </c>
      <c r="B250" s="108">
        <v>111.11</v>
      </c>
      <c r="C250" s="16">
        <v>4.9000000000000002E-2</v>
      </c>
      <c r="D250" s="111">
        <v>42019</v>
      </c>
      <c r="E250" s="112">
        <f t="shared" si="3"/>
        <v>2.4136986301369863</v>
      </c>
      <c r="F250" s="16">
        <v>1.26E-2</v>
      </c>
      <c r="H250" s="16"/>
    </row>
    <row r="251" spans="1:8" x14ac:dyDescent="0.2">
      <c r="A251" s="108" t="s">
        <v>234</v>
      </c>
      <c r="B251" s="108">
        <v>111.17</v>
      </c>
      <c r="C251" s="16">
        <v>6.2E-2</v>
      </c>
      <c r="D251" s="111">
        <v>42019</v>
      </c>
      <c r="E251" s="112">
        <f t="shared" si="3"/>
        <v>2.4136986301369863</v>
      </c>
      <c r="F251" s="16">
        <v>2.4590000000000001E-2</v>
      </c>
      <c r="H251" s="16"/>
    </row>
    <row r="252" spans="1:8" x14ac:dyDescent="0.2">
      <c r="A252" s="108" t="s">
        <v>260</v>
      </c>
      <c r="B252" s="108">
        <v>94.62</v>
      </c>
      <c r="C252" s="16">
        <v>4.0999999999999995E-2</v>
      </c>
      <c r="D252" s="111">
        <v>42030</v>
      </c>
      <c r="E252" s="112">
        <f t="shared" si="3"/>
        <v>2.4438356164383563</v>
      </c>
      <c r="F252" s="16">
        <v>5.9950000000000003E-2</v>
      </c>
      <c r="H252" s="16"/>
    </row>
    <row r="253" spans="1:8" x14ac:dyDescent="0.2">
      <c r="A253" s="108" t="s">
        <v>312</v>
      </c>
      <c r="B253" s="108">
        <v>113.91</v>
      </c>
      <c r="C253" s="16">
        <v>5.3749999999999999E-2</v>
      </c>
      <c r="D253" s="111">
        <v>42034</v>
      </c>
      <c r="E253" s="112">
        <f t="shared" si="3"/>
        <v>2.4547945205479453</v>
      </c>
      <c r="F253" s="16">
        <v>9.0399999999999994E-3</v>
      </c>
      <c r="H253" s="16"/>
    </row>
    <row r="254" spans="1:8" x14ac:dyDescent="0.2">
      <c r="A254" s="108" t="s">
        <v>247</v>
      </c>
      <c r="B254" s="108">
        <v>112.09</v>
      </c>
      <c r="C254" s="16">
        <v>4.6249999999999999E-2</v>
      </c>
      <c r="D254" s="111">
        <v>42036</v>
      </c>
      <c r="E254" s="112">
        <f t="shared" si="3"/>
        <v>2.4602739726027396</v>
      </c>
      <c r="F254" s="16">
        <v>7.5500000000000003E-3</v>
      </c>
      <c r="H254" s="16"/>
    </row>
    <row r="255" spans="1:8" x14ac:dyDescent="0.2">
      <c r="A255" s="108" t="s">
        <v>331</v>
      </c>
      <c r="B255" s="108">
        <v>107.13</v>
      </c>
      <c r="C255" s="16">
        <v>3.6249999999999998E-2</v>
      </c>
      <c r="D255" s="111">
        <v>42043</v>
      </c>
      <c r="E255" s="112">
        <f t="shared" si="3"/>
        <v>2.4794520547945207</v>
      </c>
      <c r="F255" s="16">
        <v>1.332E-2</v>
      </c>
      <c r="H255" s="16"/>
    </row>
    <row r="256" spans="1:8" x14ac:dyDescent="0.2">
      <c r="A256" s="108" t="s">
        <v>322</v>
      </c>
      <c r="B256" s="108">
        <v>110.28</v>
      </c>
      <c r="C256" s="16">
        <v>3.5000000000000003E-2</v>
      </c>
      <c r="D256" s="111">
        <v>42050</v>
      </c>
      <c r="E256" s="112">
        <f t="shared" si="3"/>
        <v>2.4986301369863013</v>
      </c>
      <c r="F256" s="16">
        <v>2.7700000000000003E-3</v>
      </c>
      <c r="H256" s="16"/>
    </row>
    <row r="257" spans="1:8" x14ac:dyDescent="0.2">
      <c r="A257" s="108" t="s">
        <v>295</v>
      </c>
      <c r="B257" s="108">
        <v>111.77</v>
      </c>
      <c r="C257" s="16">
        <v>4.2500000000000003E-2</v>
      </c>
      <c r="D257" s="111">
        <v>42064</v>
      </c>
      <c r="E257" s="112">
        <f t="shared" si="3"/>
        <v>2.536986301369863</v>
      </c>
      <c r="F257" s="16">
        <v>5.8699999999999994E-3</v>
      </c>
      <c r="H257" s="16"/>
    </row>
    <row r="258" spans="1:8" x14ac:dyDescent="0.2">
      <c r="A258" s="108" t="s">
        <v>352</v>
      </c>
      <c r="B258" s="108">
        <v>103.72</v>
      </c>
      <c r="C258" s="16">
        <v>5.3749999999999999E-2</v>
      </c>
      <c r="D258" s="111">
        <v>42065</v>
      </c>
      <c r="E258" s="112">
        <f t="shared" si="3"/>
        <v>2.5397260273972604</v>
      </c>
      <c r="F258" s="16">
        <v>4.1399999999999999E-2</v>
      </c>
      <c r="H258" s="16"/>
    </row>
    <row r="259" spans="1:8" x14ac:dyDescent="0.2">
      <c r="A259" s="108" t="s">
        <v>269</v>
      </c>
      <c r="B259" s="108">
        <v>108.31</v>
      </c>
      <c r="C259" s="16">
        <v>2.9500000000000002E-2</v>
      </c>
      <c r="D259" s="111">
        <v>42072</v>
      </c>
      <c r="E259" s="112">
        <f t="shared" si="3"/>
        <v>2.558904109589041</v>
      </c>
      <c r="F259" s="16">
        <v>3.9199999999999999E-3</v>
      </c>
      <c r="H259" s="16"/>
    </row>
    <row r="260" spans="1:8" x14ac:dyDescent="0.2">
      <c r="A260" s="108" t="s">
        <v>305</v>
      </c>
      <c r="B260" s="108">
        <v>108.41</v>
      </c>
      <c r="C260" s="16">
        <v>3.875E-2</v>
      </c>
      <c r="D260" s="111">
        <v>42073</v>
      </c>
      <c r="E260" s="112">
        <f t="shared" ref="E260:E323" si="4">(D260-DATE(2012,8,17))/365</f>
        <v>2.5616438356164384</v>
      </c>
      <c r="F260" s="16">
        <v>1.2450000000000001E-2</v>
      </c>
      <c r="H260" s="16"/>
    </row>
    <row r="261" spans="1:8" x14ac:dyDescent="0.2">
      <c r="A261" s="108" t="s">
        <v>353</v>
      </c>
      <c r="B261" s="108">
        <v>100</v>
      </c>
      <c r="C261" s="16">
        <v>4.2000000000000003E-2</v>
      </c>
      <c r="D261" s="111">
        <v>42078</v>
      </c>
      <c r="E261" s="112">
        <f t="shared" si="4"/>
        <v>2.5753424657534247</v>
      </c>
      <c r="F261" s="16">
        <v>4.1980000000000003E-2</v>
      </c>
      <c r="H261" s="16"/>
    </row>
    <row r="262" spans="1:8" x14ac:dyDescent="0.2">
      <c r="A262" s="108" t="s">
        <v>354</v>
      </c>
      <c r="B262" s="108">
        <v>113</v>
      </c>
      <c r="C262" s="16">
        <v>4.6249999999999999E-2</v>
      </c>
      <c r="D262" s="111">
        <v>42078</v>
      </c>
      <c r="E262" s="112">
        <f t="shared" si="4"/>
        <v>2.5753424657534247</v>
      </c>
      <c r="F262" s="16">
        <v>6.2599999999999999E-3</v>
      </c>
      <c r="H262" s="16"/>
    </row>
    <row r="263" spans="1:8" x14ac:dyDescent="0.2">
      <c r="A263" s="108" t="s">
        <v>239</v>
      </c>
      <c r="B263" s="108">
        <v>113.4</v>
      </c>
      <c r="C263" s="16">
        <v>4.7500000000000001E-2</v>
      </c>
      <c r="D263" s="111">
        <v>42078</v>
      </c>
      <c r="E263" s="112">
        <f t="shared" si="4"/>
        <v>2.5753424657534247</v>
      </c>
      <c r="F263" s="16">
        <v>6.28E-3</v>
      </c>
      <c r="H263" s="16"/>
    </row>
    <row r="264" spans="1:8" x14ac:dyDescent="0.2">
      <c r="A264" s="108" t="s">
        <v>241</v>
      </c>
      <c r="B264" s="108">
        <v>113.11</v>
      </c>
      <c r="C264" s="16">
        <v>4.8750000000000002E-2</v>
      </c>
      <c r="D264" s="111">
        <v>42078</v>
      </c>
      <c r="E264" s="112">
        <f t="shared" si="4"/>
        <v>2.5753424657534247</v>
      </c>
      <c r="F264" s="16">
        <v>8.26E-3</v>
      </c>
      <c r="H264" s="16"/>
    </row>
    <row r="265" spans="1:8" x14ac:dyDescent="0.2">
      <c r="A265" s="108" t="s">
        <v>297</v>
      </c>
      <c r="B265" s="108">
        <v>100.55</v>
      </c>
      <c r="C265" s="16">
        <v>4.8750000000000002E-2</v>
      </c>
      <c r="D265" s="111">
        <v>42079</v>
      </c>
      <c r="E265" s="112">
        <f t="shared" si="4"/>
        <v>2.5780821917808221</v>
      </c>
      <c r="F265" s="16">
        <v>4.6900000000000004E-2</v>
      </c>
      <c r="H265" s="16"/>
    </row>
    <row r="266" spans="1:8" x14ac:dyDescent="0.2">
      <c r="A266" s="108" t="s">
        <v>320</v>
      </c>
      <c r="B266" s="108">
        <v>108.02</v>
      </c>
      <c r="C266" s="16">
        <v>3.6249999999999998E-2</v>
      </c>
      <c r="D266" s="111">
        <v>42093</v>
      </c>
      <c r="E266" s="112">
        <f t="shared" si="4"/>
        <v>2.6164383561643834</v>
      </c>
      <c r="F266" s="16">
        <v>1.163E-2</v>
      </c>
      <c r="H266" s="16"/>
    </row>
    <row r="267" spans="1:8" x14ac:dyDescent="0.2">
      <c r="A267" s="108" t="s">
        <v>275</v>
      </c>
      <c r="B267" s="108">
        <v>95.89</v>
      </c>
      <c r="C267" s="16">
        <v>4.4999999999999998E-2</v>
      </c>
      <c r="D267" s="111">
        <v>42095</v>
      </c>
      <c r="E267" s="112">
        <f t="shared" si="4"/>
        <v>2.6219178082191781</v>
      </c>
      <c r="F267" s="16">
        <v>5.8720000000000001E-2</v>
      </c>
      <c r="H267" s="16"/>
    </row>
    <row r="268" spans="1:8" x14ac:dyDescent="0.2">
      <c r="A268" s="108" t="s">
        <v>355</v>
      </c>
      <c r="B268" s="108">
        <v>114.71</v>
      </c>
      <c r="C268" s="16">
        <v>5.45E-2</v>
      </c>
      <c r="D268" s="111">
        <v>42095</v>
      </c>
      <c r="E268" s="112">
        <f t="shared" si="4"/>
        <v>2.6219178082191781</v>
      </c>
      <c r="F268" s="16">
        <v>9.5599999999999991E-3</v>
      </c>
      <c r="H268" s="16"/>
    </row>
    <row r="269" spans="1:8" x14ac:dyDescent="0.2">
      <c r="A269" s="108" t="s">
        <v>342</v>
      </c>
      <c r="B269" s="108">
        <v>112.88</v>
      </c>
      <c r="C269" s="16">
        <v>4.6500000000000007E-2</v>
      </c>
      <c r="D269" s="111">
        <v>42095</v>
      </c>
      <c r="E269" s="112">
        <f t="shared" si="4"/>
        <v>2.6219178082191781</v>
      </c>
      <c r="F269" s="16">
        <v>7.3299999999999997E-3</v>
      </c>
      <c r="H269" s="16"/>
    </row>
    <row r="270" spans="1:8" x14ac:dyDescent="0.2">
      <c r="A270" s="108" t="s">
        <v>353</v>
      </c>
      <c r="B270" s="108">
        <v>99.1</v>
      </c>
      <c r="C270" s="16">
        <v>0.04</v>
      </c>
      <c r="D270" s="111">
        <v>42109</v>
      </c>
      <c r="E270" s="112">
        <f t="shared" si="4"/>
        <v>2.6602739726027398</v>
      </c>
      <c r="F270" s="16">
        <v>4.2880000000000001E-2</v>
      </c>
      <c r="H270" s="16"/>
    </row>
    <row r="271" spans="1:8" x14ac:dyDescent="0.2">
      <c r="A271" s="108" t="s">
        <v>356</v>
      </c>
      <c r="B271" s="108">
        <v>112.28</v>
      </c>
      <c r="C271" s="16">
        <v>5.6250000000000001E-2</v>
      </c>
      <c r="D271" s="111">
        <v>42109</v>
      </c>
      <c r="E271" s="112">
        <f t="shared" si="4"/>
        <v>2.6602739726027398</v>
      </c>
      <c r="F271" s="16">
        <v>1.8500000000000003E-2</v>
      </c>
      <c r="H271" s="16"/>
    </row>
    <row r="272" spans="1:8" x14ac:dyDescent="0.2">
      <c r="A272" s="108" t="s">
        <v>276</v>
      </c>
      <c r="B272" s="108">
        <v>111.27</v>
      </c>
      <c r="C272" s="16">
        <v>4.1250000000000002E-2</v>
      </c>
      <c r="D272" s="111">
        <v>42109</v>
      </c>
      <c r="E272" s="112">
        <f t="shared" si="4"/>
        <v>2.6602739726027398</v>
      </c>
      <c r="F272" s="16">
        <v>7.3400000000000002E-3</v>
      </c>
      <c r="H272" s="16"/>
    </row>
    <row r="273" spans="1:8" x14ac:dyDescent="0.2">
      <c r="A273" s="108" t="s">
        <v>357</v>
      </c>
      <c r="B273" s="108">
        <v>105.56</v>
      </c>
      <c r="C273" s="16">
        <v>5.2499999999999998E-2</v>
      </c>
      <c r="D273" s="111">
        <v>42109</v>
      </c>
      <c r="E273" s="112">
        <f t="shared" si="4"/>
        <v>2.6602739726027398</v>
      </c>
      <c r="F273" s="16">
        <v>3.4869999999999998E-2</v>
      </c>
      <c r="H273" s="16"/>
    </row>
    <row r="274" spans="1:8" x14ac:dyDescent="0.2">
      <c r="A274" s="108" t="s">
        <v>218</v>
      </c>
      <c r="B274" s="108">
        <v>103.97</v>
      </c>
      <c r="C274" s="16">
        <v>3.9E-2</v>
      </c>
      <c r="D274" s="111">
        <v>42109</v>
      </c>
      <c r="E274" s="112">
        <f t="shared" si="4"/>
        <v>2.6602739726027398</v>
      </c>
      <c r="F274" s="16">
        <v>2.6610000000000002E-2</v>
      </c>
      <c r="H274" s="16"/>
    </row>
    <row r="275" spans="1:8" x14ac:dyDescent="0.2">
      <c r="A275" s="108" t="s">
        <v>218</v>
      </c>
      <c r="B275" s="108">
        <v>99.98</v>
      </c>
      <c r="C275" s="16">
        <v>3.9E-2</v>
      </c>
      <c r="D275" s="111">
        <v>42109</v>
      </c>
      <c r="E275" s="112">
        <f t="shared" si="4"/>
        <v>2.6602739726027398</v>
      </c>
      <c r="F275" s="16">
        <v>3.9039999999999998E-2</v>
      </c>
      <c r="H275" s="16"/>
    </row>
    <row r="276" spans="1:8" x14ac:dyDescent="0.2">
      <c r="A276" s="108" t="s">
        <v>358</v>
      </c>
      <c r="B276" s="108">
        <v>113</v>
      </c>
      <c r="C276" s="16">
        <v>8.7499999999999994E-2</v>
      </c>
      <c r="D276" s="111">
        <v>42118</v>
      </c>
      <c r="E276" s="112">
        <f t="shared" si="4"/>
        <v>2.6849315068493151</v>
      </c>
      <c r="F276" s="16">
        <v>4.5720000000000004E-2</v>
      </c>
      <c r="H276" s="16"/>
    </row>
    <row r="277" spans="1:8" x14ac:dyDescent="0.2">
      <c r="A277" s="108" t="s">
        <v>260</v>
      </c>
      <c r="B277" s="108">
        <v>99.8</v>
      </c>
      <c r="C277" s="16">
        <v>0.06</v>
      </c>
      <c r="D277" s="111">
        <v>42122</v>
      </c>
      <c r="E277" s="112">
        <f t="shared" si="4"/>
        <v>2.6958904109589041</v>
      </c>
      <c r="F277" s="16">
        <v>6.0650000000000003E-2</v>
      </c>
      <c r="H277" s="16"/>
    </row>
    <row r="278" spans="1:8" x14ac:dyDescent="0.2">
      <c r="A278" s="108" t="s">
        <v>219</v>
      </c>
      <c r="B278" s="108">
        <v>107.17</v>
      </c>
      <c r="C278" s="16">
        <v>5.2499999999999998E-2</v>
      </c>
      <c r="D278" s="111">
        <v>42125</v>
      </c>
      <c r="E278" s="112">
        <f t="shared" si="4"/>
        <v>2.7041095890410958</v>
      </c>
      <c r="F278" s="16">
        <v>3.024E-2</v>
      </c>
      <c r="H278" s="16"/>
    </row>
    <row r="279" spans="1:8" x14ac:dyDescent="0.2">
      <c r="A279" s="108" t="s">
        <v>359</v>
      </c>
      <c r="B279" s="108">
        <v>108.48</v>
      </c>
      <c r="C279" s="16">
        <v>3.2000000000000001E-2</v>
      </c>
      <c r="D279" s="111">
        <v>42125</v>
      </c>
      <c r="E279" s="112">
        <f t="shared" si="4"/>
        <v>2.7041095890410958</v>
      </c>
      <c r="F279" s="16">
        <v>6.8400000000000006E-3</v>
      </c>
      <c r="H279" s="16"/>
    </row>
    <row r="280" spans="1:8" x14ac:dyDescent="0.2">
      <c r="A280" s="108" t="s">
        <v>360</v>
      </c>
      <c r="B280" s="108">
        <v>115.29</v>
      </c>
      <c r="C280" s="16">
        <v>4.8750000000000002E-2</v>
      </c>
      <c r="D280" s="111">
        <v>42125</v>
      </c>
      <c r="E280" s="112">
        <f t="shared" si="4"/>
        <v>2.7041095890410958</v>
      </c>
      <c r="F280" s="16">
        <v>3.6900000000000001E-3</v>
      </c>
      <c r="H280" s="16"/>
    </row>
    <row r="281" spans="1:8" x14ac:dyDescent="0.2">
      <c r="A281" s="108" t="s">
        <v>229</v>
      </c>
      <c r="B281" s="108">
        <v>102.3</v>
      </c>
      <c r="C281" s="16">
        <v>4.8750000000000002E-2</v>
      </c>
      <c r="D281" s="111">
        <v>42131</v>
      </c>
      <c r="E281" s="112">
        <f t="shared" si="4"/>
        <v>2.7205479452054795</v>
      </c>
      <c r="F281" s="16">
        <v>4.1479999999999996E-2</v>
      </c>
      <c r="H281" s="16"/>
    </row>
    <row r="282" spans="1:8" x14ac:dyDescent="0.2">
      <c r="A282" s="108" t="s">
        <v>353</v>
      </c>
      <c r="B282" s="108">
        <v>98.08</v>
      </c>
      <c r="C282" s="16">
        <v>4.2500000000000003E-2</v>
      </c>
      <c r="D282" s="111">
        <v>42139</v>
      </c>
      <c r="E282" s="112">
        <f t="shared" si="4"/>
        <v>2.7424657534246575</v>
      </c>
      <c r="F282" s="16">
        <v>4.8579999999999998E-2</v>
      </c>
      <c r="H282" s="16"/>
    </row>
    <row r="283" spans="1:8" x14ac:dyDescent="0.2">
      <c r="A283" s="108" t="s">
        <v>327</v>
      </c>
      <c r="B283" s="108">
        <v>102.81</v>
      </c>
      <c r="C283" s="16">
        <v>4.4999999999999998E-2</v>
      </c>
      <c r="D283" s="111">
        <v>42139</v>
      </c>
      <c r="E283" s="112">
        <f t="shared" si="4"/>
        <v>2.7424657534246575</v>
      </c>
      <c r="F283" s="16">
        <v>3.628E-2</v>
      </c>
      <c r="H283" s="16"/>
    </row>
    <row r="284" spans="1:8" x14ac:dyDescent="0.2">
      <c r="A284" s="108" t="s">
        <v>229</v>
      </c>
      <c r="B284" s="108">
        <v>103.64</v>
      </c>
      <c r="C284" s="16">
        <v>4.7500000000000001E-2</v>
      </c>
      <c r="D284" s="111">
        <v>42143</v>
      </c>
      <c r="E284" s="112">
        <f t="shared" si="4"/>
        <v>2.7534246575342465</v>
      </c>
      <c r="F284" s="16">
        <v>3.6240000000000001E-2</v>
      </c>
      <c r="H284" s="16"/>
    </row>
    <row r="285" spans="1:8" x14ac:dyDescent="0.2">
      <c r="A285" s="108" t="s">
        <v>229</v>
      </c>
      <c r="B285" s="108">
        <v>103.75</v>
      </c>
      <c r="C285" s="16">
        <v>4.7E-2</v>
      </c>
      <c r="D285" s="111">
        <v>42153</v>
      </c>
      <c r="E285" s="112">
        <f t="shared" si="4"/>
        <v>2.7808219178082192</v>
      </c>
      <c r="F285" s="16">
        <v>3.5499999999999997E-2</v>
      </c>
      <c r="H285" s="16"/>
    </row>
    <row r="286" spans="1:8" x14ac:dyDescent="0.2">
      <c r="A286" s="108" t="s">
        <v>278</v>
      </c>
      <c r="B286" s="108">
        <v>111.19</v>
      </c>
      <c r="C286" s="16">
        <v>0.05</v>
      </c>
      <c r="D286" s="111">
        <v>42156</v>
      </c>
      <c r="E286" s="112">
        <f t="shared" si="4"/>
        <v>2.7890410958904108</v>
      </c>
      <c r="F286" s="16">
        <v>1.695E-2</v>
      </c>
      <c r="H286" s="16"/>
    </row>
    <row r="287" spans="1:8" x14ac:dyDescent="0.2">
      <c r="A287" s="108" t="s">
        <v>356</v>
      </c>
      <c r="B287" s="108">
        <v>109.44</v>
      </c>
      <c r="C287" s="16">
        <v>0.05</v>
      </c>
      <c r="D287" s="111">
        <v>42156</v>
      </c>
      <c r="E287" s="112">
        <f t="shared" si="4"/>
        <v>2.7890410958904108</v>
      </c>
      <c r="F287" s="16">
        <v>2.1840000000000002E-2</v>
      </c>
      <c r="H287" s="16"/>
    </row>
    <row r="288" spans="1:8" x14ac:dyDescent="0.2">
      <c r="A288" s="108" t="s">
        <v>361</v>
      </c>
      <c r="B288" s="108">
        <v>108.5</v>
      </c>
      <c r="C288" s="16">
        <v>3.4000000000000002E-2</v>
      </c>
      <c r="D288" s="111">
        <v>42156</v>
      </c>
      <c r="E288" s="112">
        <f t="shared" si="4"/>
        <v>2.7890410958904108</v>
      </c>
      <c r="F288" s="16">
        <v>9.2600000000000009E-3</v>
      </c>
      <c r="H288" s="16"/>
    </row>
    <row r="289" spans="1:8" x14ac:dyDescent="0.2">
      <c r="A289" s="108" t="s">
        <v>234</v>
      </c>
      <c r="B289" s="108">
        <v>107.55</v>
      </c>
      <c r="C289" s="16">
        <v>4.7500000000000001E-2</v>
      </c>
      <c r="D289" s="111">
        <v>42168</v>
      </c>
      <c r="E289" s="112">
        <f t="shared" si="4"/>
        <v>2.8219178082191783</v>
      </c>
      <c r="F289" s="16">
        <v>2.504E-2</v>
      </c>
      <c r="H289" s="16"/>
    </row>
    <row r="290" spans="1:8" x14ac:dyDescent="0.2">
      <c r="A290" s="108" t="s">
        <v>353</v>
      </c>
      <c r="B290" s="108">
        <v>98.32</v>
      </c>
      <c r="C290" s="16">
        <v>4.3499999999999997E-2</v>
      </c>
      <c r="D290" s="111">
        <v>42170</v>
      </c>
      <c r="E290" s="112">
        <f t="shared" si="4"/>
        <v>2.8273972602739725</v>
      </c>
      <c r="F290" s="16">
        <v>4.8730000000000002E-2</v>
      </c>
      <c r="H290" s="16"/>
    </row>
    <row r="291" spans="1:8" x14ac:dyDescent="0.2">
      <c r="A291" s="108" t="s">
        <v>327</v>
      </c>
      <c r="B291" s="108">
        <v>108.38</v>
      </c>
      <c r="C291" s="16">
        <v>5.5999999999999994E-2</v>
      </c>
      <c r="D291" s="111">
        <v>42170</v>
      </c>
      <c r="E291" s="112">
        <f t="shared" si="4"/>
        <v>2.8273972602739725</v>
      </c>
      <c r="F291" s="16">
        <v>3.0830000000000003E-2</v>
      </c>
      <c r="H291" s="16"/>
    </row>
    <row r="292" spans="1:8" x14ac:dyDescent="0.2">
      <c r="A292" s="108" t="s">
        <v>218</v>
      </c>
      <c r="B292" s="108">
        <v>101.88</v>
      </c>
      <c r="C292" s="16">
        <v>0.04</v>
      </c>
      <c r="D292" s="111">
        <v>42170</v>
      </c>
      <c r="E292" s="112">
        <f t="shared" si="4"/>
        <v>2.8273972602739725</v>
      </c>
      <c r="F292" s="16">
        <v>3.4300000000000004E-2</v>
      </c>
      <c r="H292" s="16"/>
    </row>
    <row r="293" spans="1:8" x14ac:dyDescent="0.2">
      <c r="A293" s="108" t="s">
        <v>265</v>
      </c>
      <c r="B293" s="108">
        <v>109.84</v>
      </c>
      <c r="C293" s="16">
        <v>5.0999999999999997E-2</v>
      </c>
      <c r="D293" s="111">
        <v>42170</v>
      </c>
      <c r="E293" s="112">
        <f t="shared" si="4"/>
        <v>2.8273972602739725</v>
      </c>
      <c r="F293" s="16">
        <v>2.1949999999999997E-2</v>
      </c>
      <c r="H293" s="16"/>
    </row>
    <row r="294" spans="1:8" x14ac:dyDescent="0.2">
      <c r="A294" s="108" t="s">
        <v>357</v>
      </c>
      <c r="B294" s="108">
        <v>104.5</v>
      </c>
      <c r="C294" s="16">
        <v>0.05</v>
      </c>
      <c r="D294" s="111">
        <v>42185</v>
      </c>
      <c r="E294" s="112">
        <f t="shared" si="4"/>
        <v>2.8684931506849316</v>
      </c>
      <c r="F294" s="16">
        <v>3.6459999999999999E-2</v>
      </c>
      <c r="H294" s="16"/>
    </row>
    <row r="295" spans="1:8" x14ac:dyDescent="0.2">
      <c r="A295" s="108" t="s">
        <v>218</v>
      </c>
      <c r="B295" s="108">
        <v>103.3</v>
      </c>
      <c r="C295" s="16">
        <v>4.1500000000000002E-2</v>
      </c>
      <c r="D295" s="111">
        <v>42200</v>
      </c>
      <c r="E295" s="112">
        <f t="shared" si="4"/>
        <v>2.9095890410958902</v>
      </c>
      <c r="F295" s="16">
        <v>3.1789999999999999E-2</v>
      </c>
      <c r="H295" s="16"/>
    </row>
    <row r="296" spans="1:8" x14ac:dyDescent="0.2">
      <c r="A296" s="108" t="s">
        <v>218</v>
      </c>
      <c r="B296" s="108">
        <v>102.94</v>
      </c>
      <c r="C296" s="16">
        <v>3.9E-2</v>
      </c>
      <c r="D296" s="111">
        <v>42200</v>
      </c>
      <c r="E296" s="112">
        <f t="shared" si="4"/>
        <v>2.9095890410958902</v>
      </c>
      <c r="F296" s="16">
        <v>3.0350000000000002E-2</v>
      </c>
      <c r="H296" s="16"/>
    </row>
    <row r="297" spans="1:8" x14ac:dyDescent="0.2">
      <c r="A297" s="108" t="s">
        <v>218</v>
      </c>
      <c r="B297" s="108">
        <v>102.03</v>
      </c>
      <c r="C297" s="16">
        <v>3.85E-2</v>
      </c>
      <c r="D297" s="111">
        <v>42200</v>
      </c>
      <c r="E297" s="112">
        <f t="shared" si="4"/>
        <v>2.9095890410958902</v>
      </c>
      <c r="F297" s="16">
        <v>3.252E-2</v>
      </c>
      <c r="H297" s="16"/>
    </row>
    <row r="298" spans="1:8" x14ac:dyDescent="0.2">
      <c r="A298" s="108" t="s">
        <v>362</v>
      </c>
      <c r="B298" s="108">
        <v>115.75</v>
      </c>
      <c r="C298" s="16">
        <v>0.10199999999999999</v>
      </c>
      <c r="D298" s="111">
        <v>42200</v>
      </c>
      <c r="E298" s="112">
        <f t="shared" si="4"/>
        <v>2.9095890410958902</v>
      </c>
      <c r="F298" s="16">
        <v>5.3540000000000004E-2</v>
      </c>
      <c r="H298" s="16"/>
    </row>
    <row r="299" spans="1:8" x14ac:dyDescent="0.2">
      <c r="A299" s="108" t="s">
        <v>363</v>
      </c>
      <c r="B299" s="108">
        <v>117.26</v>
      </c>
      <c r="C299" s="16">
        <v>7.3749999999999996E-2</v>
      </c>
      <c r="D299" s="111">
        <v>42200</v>
      </c>
      <c r="E299" s="112">
        <f t="shared" si="4"/>
        <v>2.9095890410958902</v>
      </c>
      <c r="F299" s="16">
        <v>2.3730000000000001E-2</v>
      </c>
      <c r="H299" s="16"/>
    </row>
    <row r="300" spans="1:8" x14ac:dyDescent="0.2">
      <c r="A300" s="108" t="s">
        <v>260</v>
      </c>
      <c r="B300" s="108">
        <v>98.03</v>
      </c>
      <c r="C300" s="16">
        <v>0.04</v>
      </c>
      <c r="D300" s="111">
        <v>42209</v>
      </c>
      <c r="E300" s="112">
        <f t="shared" si="4"/>
        <v>2.9342465753424656</v>
      </c>
      <c r="F300" s="16">
        <v>4.5929999999999999E-2</v>
      </c>
      <c r="H300" s="16"/>
    </row>
    <row r="301" spans="1:8" x14ac:dyDescent="0.2">
      <c r="A301" s="108" t="s">
        <v>222</v>
      </c>
      <c r="B301" s="108">
        <v>96.49</v>
      </c>
      <c r="C301" s="16">
        <v>4.7500000000000001E-2</v>
      </c>
      <c r="D301" s="111">
        <v>42217</v>
      </c>
      <c r="E301" s="112">
        <f t="shared" si="4"/>
        <v>2.956164383561644</v>
      </c>
      <c r="F301" s="16">
        <v>5.824E-2</v>
      </c>
      <c r="H301" s="16"/>
    </row>
    <row r="302" spans="1:8" x14ac:dyDescent="0.2">
      <c r="A302" s="108" t="s">
        <v>327</v>
      </c>
      <c r="B302" s="108">
        <v>99.28</v>
      </c>
      <c r="C302" s="16">
        <v>3.7000000000000005E-2</v>
      </c>
      <c r="D302" s="111">
        <v>42217</v>
      </c>
      <c r="E302" s="112">
        <f t="shared" si="4"/>
        <v>2.956164383561644</v>
      </c>
      <c r="F302" s="16">
        <v>3.9120000000000002E-2</v>
      </c>
      <c r="H302" s="16"/>
    </row>
    <row r="303" spans="1:8" x14ac:dyDescent="0.2">
      <c r="A303" s="108" t="s">
        <v>246</v>
      </c>
      <c r="B303" s="108">
        <v>105.96</v>
      </c>
      <c r="C303" s="16">
        <v>2.5000000000000001E-2</v>
      </c>
      <c r="D303" s="111">
        <v>42231</v>
      </c>
      <c r="E303" s="112">
        <f t="shared" si="4"/>
        <v>2.9945205479452053</v>
      </c>
      <c r="F303" s="16">
        <v>8.6099999999999996E-3</v>
      </c>
      <c r="H303" s="16"/>
    </row>
    <row r="304" spans="1:8" x14ac:dyDescent="0.2">
      <c r="A304" s="108" t="s">
        <v>364</v>
      </c>
      <c r="B304" s="108">
        <v>103.48</v>
      </c>
      <c r="C304" s="16">
        <v>7.7499999999999999E-2</v>
      </c>
      <c r="D304" s="111">
        <v>42231</v>
      </c>
      <c r="E304" s="112">
        <f t="shared" si="4"/>
        <v>2.9945205479452053</v>
      </c>
      <c r="F304" s="16">
        <v>6.6689999999999999E-2</v>
      </c>
      <c r="H304" s="16"/>
    </row>
    <row r="305" spans="1:8" x14ac:dyDescent="0.2">
      <c r="A305" s="108" t="s">
        <v>275</v>
      </c>
      <c r="B305" s="108">
        <v>93.28</v>
      </c>
      <c r="C305" s="16">
        <v>3.7000000000000005E-2</v>
      </c>
      <c r="D305" s="111">
        <v>42248</v>
      </c>
      <c r="E305" s="112">
        <f t="shared" si="4"/>
        <v>3.0410958904109591</v>
      </c>
      <c r="F305" s="16">
        <v>5.7160000000000002E-2</v>
      </c>
      <c r="H305" s="16"/>
    </row>
    <row r="306" spans="1:8" x14ac:dyDescent="0.2">
      <c r="A306" s="108" t="s">
        <v>271</v>
      </c>
      <c r="B306" s="108">
        <v>104.57</v>
      </c>
      <c r="C306" s="16">
        <v>2.3E-2</v>
      </c>
      <c r="D306" s="111">
        <v>42257</v>
      </c>
      <c r="E306" s="112">
        <f t="shared" si="4"/>
        <v>3.0657534246575344</v>
      </c>
      <c r="F306" s="16">
        <v>1.0629999999999999E-2</v>
      </c>
      <c r="H306" s="16"/>
    </row>
    <row r="307" spans="1:8" x14ac:dyDescent="0.2">
      <c r="A307" s="108" t="s">
        <v>226</v>
      </c>
      <c r="B307" s="108">
        <v>102.93</v>
      </c>
      <c r="C307" s="16">
        <v>2.1250000000000002E-2</v>
      </c>
      <c r="D307" s="111">
        <v>42260</v>
      </c>
      <c r="E307" s="112">
        <f t="shared" si="4"/>
        <v>3.0739726027397261</v>
      </c>
      <c r="F307" s="16">
        <v>1.328E-2</v>
      </c>
      <c r="H307" s="16"/>
    </row>
    <row r="308" spans="1:8" x14ac:dyDescent="0.2">
      <c r="A308" s="108" t="s">
        <v>298</v>
      </c>
      <c r="B308" s="108">
        <v>115.38</v>
      </c>
      <c r="C308" s="16">
        <v>6.6500000000000004E-2</v>
      </c>
      <c r="D308" s="111">
        <v>42262</v>
      </c>
      <c r="E308" s="112">
        <f t="shared" si="4"/>
        <v>3.0794520547945203</v>
      </c>
      <c r="F308" s="16">
        <v>2.3799999999999998E-2</v>
      </c>
      <c r="H308" s="16"/>
    </row>
    <row r="309" spans="1:8" x14ac:dyDescent="0.2">
      <c r="A309" s="108" t="s">
        <v>277</v>
      </c>
      <c r="B309" s="108">
        <v>101.79</v>
      </c>
      <c r="C309" s="16">
        <v>2.75E-2</v>
      </c>
      <c r="D309" s="111">
        <v>42262</v>
      </c>
      <c r="E309" s="112">
        <f t="shared" si="4"/>
        <v>3.0794520547945203</v>
      </c>
      <c r="F309" s="16">
        <v>2.2530000000000001E-2</v>
      </c>
      <c r="H309" s="16"/>
    </row>
    <row r="310" spans="1:8" x14ac:dyDescent="0.2">
      <c r="A310" s="108" t="s">
        <v>353</v>
      </c>
      <c r="B310" s="108">
        <v>101.46</v>
      </c>
      <c r="C310" s="16">
        <v>5.2499999999999998E-2</v>
      </c>
      <c r="D310" s="111">
        <v>42262</v>
      </c>
      <c r="E310" s="112">
        <f t="shared" si="4"/>
        <v>3.0794520547945203</v>
      </c>
      <c r="F310" s="16">
        <v>4.8230000000000002E-2</v>
      </c>
      <c r="H310" s="16"/>
    </row>
    <row r="311" spans="1:8" x14ac:dyDescent="0.2">
      <c r="A311" s="108" t="s">
        <v>284</v>
      </c>
      <c r="B311" s="108">
        <v>108.78</v>
      </c>
      <c r="C311" s="16">
        <v>3.2500000000000001E-2</v>
      </c>
      <c r="D311" s="111">
        <v>42262</v>
      </c>
      <c r="E311" s="112">
        <f t="shared" si="4"/>
        <v>3.0794520547945203</v>
      </c>
      <c r="F311" s="16">
        <v>8.8800000000000007E-3</v>
      </c>
      <c r="H311" s="16"/>
    </row>
    <row r="312" spans="1:8" x14ac:dyDescent="0.2">
      <c r="A312" s="108" t="s">
        <v>365</v>
      </c>
      <c r="B312" s="108">
        <v>104.62</v>
      </c>
      <c r="C312" s="16">
        <v>2.375E-2</v>
      </c>
      <c r="D312" s="111">
        <v>42262</v>
      </c>
      <c r="E312" s="112">
        <f t="shared" si="4"/>
        <v>3.0794520547945203</v>
      </c>
      <c r="F312" s="16">
        <v>1.1240000000000002E-2</v>
      </c>
      <c r="H312" s="16"/>
    </row>
    <row r="313" spans="1:8" x14ac:dyDescent="0.2">
      <c r="A313" s="108" t="s">
        <v>285</v>
      </c>
      <c r="B313" s="108">
        <v>114.85</v>
      </c>
      <c r="C313" s="16">
        <v>4.9000000000000002E-2</v>
      </c>
      <c r="D313" s="111">
        <v>42262</v>
      </c>
      <c r="E313" s="112">
        <f t="shared" si="4"/>
        <v>3.0794520547945203</v>
      </c>
      <c r="F313" s="16">
        <v>9.0500000000000008E-3</v>
      </c>
      <c r="H313" s="16"/>
    </row>
    <row r="314" spans="1:8" x14ac:dyDescent="0.2">
      <c r="A314" s="108" t="s">
        <v>312</v>
      </c>
      <c r="B314" s="108">
        <v>113.84</v>
      </c>
      <c r="C314" s="16">
        <v>0.05</v>
      </c>
      <c r="D314" s="111">
        <v>42262</v>
      </c>
      <c r="E314" s="112">
        <f t="shared" si="4"/>
        <v>3.0794520547945203</v>
      </c>
      <c r="F314" s="16">
        <v>1.248E-2</v>
      </c>
      <c r="H314" s="16"/>
    </row>
    <row r="315" spans="1:8" x14ac:dyDescent="0.2">
      <c r="A315" s="108" t="s">
        <v>366</v>
      </c>
      <c r="B315" s="108">
        <v>101.16</v>
      </c>
      <c r="C315" s="16">
        <v>2.1250000000000002E-2</v>
      </c>
      <c r="D315" s="111">
        <v>42263</v>
      </c>
      <c r="E315" s="112">
        <f t="shared" si="4"/>
        <v>3.0821917808219177</v>
      </c>
      <c r="F315" s="16">
        <v>1.8069999999999999E-2</v>
      </c>
      <c r="H315" s="16"/>
    </row>
    <row r="316" spans="1:8" x14ac:dyDescent="0.2">
      <c r="A316" s="108" t="s">
        <v>367</v>
      </c>
      <c r="B316" s="108">
        <v>103.5</v>
      </c>
      <c r="C316" s="16">
        <v>3.4000000000000002E-2</v>
      </c>
      <c r="D316" s="111">
        <v>42264</v>
      </c>
      <c r="E316" s="112">
        <f t="shared" si="4"/>
        <v>3.0849315068493151</v>
      </c>
      <c r="F316" s="16">
        <v>2.4279999999999999E-2</v>
      </c>
      <c r="H316" s="16"/>
    </row>
    <row r="317" spans="1:8" x14ac:dyDescent="0.2">
      <c r="A317" s="108" t="s">
        <v>331</v>
      </c>
      <c r="B317" s="108">
        <v>110.14</v>
      </c>
      <c r="C317" s="16">
        <v>4.2500000000000003E-2</v>
      </c>
      <c r="D317" s="111">
        <v>42268</v>
      </c>
      <c r="E317" s="112">
        <f t="shared" si="4"/>
        <v>3.095890410958904</v>
      </c>
      <c r="F317" s="16">
        <v>1.4990000000000002E-2</v>
      </c>
      <c r="H317" s="16"/>
    </row>
    <row r="318" spans="1:8" x14ac:dyDescent="0.2">
      <c r="A318" s="108" t="s">
        <v>297</v>
      </c>
      <c r="B318" s="108">
        <v>97.03</v>
      </c>
      <c r="C318" s="16">
        <v>3.95E-2</v>
      </c>
      <c r="D318" s="111">
        <v>42268</v>
      </c>
      <c r="E318" s="112">
        <f t="shared" si="4"/>
        <v>3.095890410958904</v>
      </c>
      <c r="F318" s="16">
        <v>4.8129999999999999E-2</v>
      </c>
      <c r="H318" s="16"/>
    </row>
    <row r="319" spans="1:8" x14ac:dyDescent="0.2">
      <c r="A319" s="108" t="s">
        <v>252</v>
      </c>
      <c r="B319" s="108">
        <v>98.27</v>
      </c>
      <c r="C319" s="16">
        <v>5.2999999999999999E-2</v>
      </c>
      <c r="D319" s="111">
        <v>42277</v>
      </c>
      <c r="E319" s="112">
        <f t="shared" si="4"/>
        <v>3.1205479452054794</v>
      </c>
      <c r="F319" s="16">
        <v>5.8090000000000003E-2</v>
      </c>
      <c r="H319" s="16"/>
    </row>
    <row r="320" spans="1:8" x14ac:dyDescent="0.2">
      <c r="A320" s="108" t="s">
        <v>279</v>
      </c>
      <c r="B320" s="108">
        <v>100.18</v>
      </c>
      <c r="C320" s="16">
        <v>5.0499999999999996E-2</v>
      </c>
      <c r="D320" s="111">
        <v>42278</v>
      </c>
      <c r="E320" s="112">
        <f t="shared" si="4"/>
        <v>3.1232876712328768</v>
      </c>
      <c r="F320" s="16">
        <v>4.9960000000000004E-2</v>
      </c>
      <c r="H320" s="16"/>
    </row>
    <row r="321" spans="1:8" x14ac:dyDescent="0.2">
      <c r="A321" s="108" t="s">
        <v>305</v>
      </c>
      <c r="B321" s="108">
        <v>106.09</v>
      </c>
      <c r="C321" s="16">
        <v>3.125E-2</v>
      </c>
      <c r="D321" s="111">
        <v>42278</v>
      </c>
      <c r="E321" s="112">
        <f t="shared" si="4"/>
        <v>3.1232876712328768</v>
      </c>
      <c r="F321" s="16">
        <v>1.4839999999999999E-2</v>
      </c>
      <c r="H321" s="16"/>
    </row>
    <row r="322" spans="1:8" x14ac:dyDescent="0.2">
      <c r="A322" s="108" t="s">
        <v>219</v>
      </c>
      <c r="B322" s="108">
        <v>106.84</v>
      </c>
      <c r="C322" s="16">
        <v>5.1500000000000004E-2</v>
      </c>
      <c r="D322" s="111">
        <v>42278</v>
      </c>
      <c r="E322" s="112">
        <f t="shared" si="4"/>
        <v>3.1232876712328768</v>
      </c>
      <c r="F322" s="16">
        <v>3.2370000000000003E-2</v>
      </c>
      <c r="H322" s="16"/>
    </row>
    <row r="323" spans="1:8" x14ac:dyDescent="0.2">
      <c r="A323" s="108" t="s">
        <v>273</v>
      </c>
      <c r="B323" s="108">
        <v>120.5</v>
      </c>
      <c r="C323" s="16">
        <v>7.2000000000000008E-2</v>
      </c>
      <c r="D323" s="111">
        <v>42278</v>
      </c>
      <c r="E323" s="112">
        <f t="shared" si="4"/>
        <v>3.1232876712328768</v>
      </c>
      <c r="F323" s="16">
        <v>1.6570000000000001E-2</v>
      </c>
      <c r="H323" s="16"/>
    </row>
    <row r="324" spans="1:8" x14ac:dyDescent="0.2">
      <c r="A324" s="108" t="s">
        <v>368</v>
      </c>
      <c r="B324" s="108">
        <v>105.25</v>
      </c>
      <c r="C324" s="16">
        <v>0.05</v>
      </c>
      <c r="D324" s="111">
        <v>42292</v>
      </c>
      <c r="E324" s="112">
        <f t="shared" ref="E324:E387" si="5">(D324-DATE(2012,8,17))/365</f>
        <v>3.1616438356164385</v>
      </c>
      <c r="F324" s="16">
        <v>3.5470000000000002E-2</v>
      </c>
      <c r="H324" s="16"/>
    </row>
    <row r="325" spans="1:8" x14ac:dyDescent="0.2">
      <c r="A325" s="108" t="s">
        <v>303</v>
      </c>
      <c r="B325" s="108">
        <v>103.53</v>
      </c>
      <c r="C325" s="16">
        <v>1.6250000000000001E-2</v>
      </c>
      <c r="D325" s="111">
        <v>42292</v>
      </c>
      <c r="E325" s="112">
        <f t="shared" si="5"/>
        <v>3.1616438356164385</v>
      </c>
      <c r="F325" s="16">
        <v>6.9999999999999993E-3</v>
      </c>
      <c r="H325" s="16"/>
    </row>
    <row r="326" spans="1:8" x14ac:dyDescent="0.2">
      <c r="A326" s="108" t="s">
        <v>369</v>
      </c>
      <c r="B326" s="108">
        <v>109.75</v>
      </c>
      <c r="C326" s="16">
        <v>5.7000000000000002E-2</v>
      </c>
      <c r="D326" s="111">
        <v>42292</v>
      </c>
      <c r="E326" s="112">
        <f t="shared" si="5"/>
        <v>3.1616438356164385</v>
      </c>
      <c r="F326" s="16">
        <v>3.0120000000000001E-2</v>
      </c>
      <c r="H326" s="16"/>
    </row>
    <row r="327" spans="1:8" x14ac:dyDescent="0.2">
      <c r="A327" s="108" t="s">
        <v>370</v>
      </c>
      <c r="B327" s="108">
        <v>113.89</v>
      </c>
      <c r="C327" s="16">
        <v>0.05</v>
      </c>
      <c r="D327" s="111">
        <v>42292</v>
      </c>
      <c r="E327" s="112">
        <f t="shared" si="5"/>
        <v>3.1616438356164385</v>
      </c>
      <c r="F327" s="16">
        <v>1.3089999999999999E-2</v>
      </c>
      <c r="H327" s="16"/>
    </row>
    <row r="328" spans="1:8" x14ac:dyDescent="0.2">
      <c r="A328" s="108" t="s">
        <v>371</v>
      </c>
      <c r="B328" s="108">
        <v>106.75</v>
      </c>
      <c r="C328" s="16">
        <v>3.3750000000000002E-2</v>
      </c>
      <c r="D328" s="111">
        <v>42292</v>
      </c>
      <c r="E328" s="112">
        <f t="shared" si="5"/>
        <v>3.1616438356164385</v>
      </c>
      <c r="F328" s="16">
        <v>1.5709999999999998E-2</v>
      </c>
      <c r="H328" s="16"/>
    </row>
    <row r="329" spans="1:8" x14ac:dyDescent="0.2">
      <c r="A329" s="108" t="s">
        <v>227</v>
      </c>
      <c r="B329" s="108">
        <v>108.05</v>
      </c>
      <c r="C329" s="16">
        <v>0.05</v>
      </c>
      <c r="D329" s="111">
        <v>42296</v>
      </c>
      <c r="E329" s="112">
        <f t="shared" si="5"/>
        <v>3.1726027397260275</v>
      </c>
      <c r="F329" s="16">
        <v>2.7980000000000001E-2</v>
      </c>
      <c r="H329" s="16"/>
    </row>
    <row r="330" spans="1:8" x14ac:dyDescent="0.2">
      <c r="A330" s="108" t="s">
        <v>268</v>
      </c>
      <c r="B330" s="108">
        <v>116.21</v>
      </c>
      <c r="C330" s="16">
        <v>5.2999999999999999E-2</v>
      </c>
      <c r="D330" s="111">
        <v>42305</v>
      </c>
      <c r="E330" s="112">
        <f t="shared" si="5"/>
        <v>3.1972602739726028</v>
      </c>
      <c r="F330" s="16">
        <v>1.0549999999999999E-2</v>
      </c>
      <c r="H330" s="16"/>
    </row>
    <row r="331" spans="1:8" x14ac:dyDescent="0.2">
      <c r="A331" s="108" t="s">
        <v>328</v>
      </c>
      <c r="B331" s="108">
        <v>103.84</v>
      </c>
      <c r="C331" s="16">
        <v>1.8749999999999999E-2</v>
      </c>
      <c r="D331" s="111">
        <v>42310</v>
      </c>
      <c r="E331" s="112">
        <f t="shared" si="5"/>
        <v>3.2109589041095892</v>
      </c>
      <c r="F331" s="16">
        <v>8.7600000000000004E-3</v>
      </c>
      <c r="H331" s="16"/>
    </row>
    <row r="332" spans="1:8" x14ac:dyDescent="0.2">
      <c r="A332" s="108" t="s">
        <v>331</v>
      </c>
      <c r="B332" s="108">
        <v>109.91</v>
      </c>
      <c r="C332" s="16">
        <v>5.2499999999999998E-2</v>
      </c>
      <c r="D332" s="111">
        <v>42323</v>
      </c>
      <c r="E332" s="112">
        <f t="shared" si="5"/>
        <v>3.2465753424657535</v>
      </c>
      <c r="F332" s="16">
        <v>2.598E-2</v>
      </c>
      <c r="H332" s="16"/>
    </row>
    <row r="333" spans="1:8" x14ac:dyDescent="0.2">
      <c r="A333" s="108" t="s">
        <v>222</v>
      </c>
      <c r="B333" s="108">
        <v>96.94</v>
      </c>
      <c r="C333" s="16">
        <v>5.2499999999999998E-2</v>
      </c>
      <c r="D333" s="111">
        <v>42339</v>
      </c>
      <c r="E333" s="112">
        <f t="shared" si="5"/>
        <v>3.2904109589041095</v>
      </c>
      <c r="F333" s="16">
        <v>6.123E-2</v>
      </c>
      <c r="H333" s="16"/>
    </row>
    <row r="334" spans="1:8" x14ac:dyDescent="0.2">
      <c r="A334" s="108" t="s">
        <v>226</v>
      </c>
      <c r="B334" s="108">
        <v>103.23</v>
      </c>
      <c r="C334" s="16">
        <v>2.2000000000000002E-2</v>
      </c>
      <c r="D334" s="111">
        <v>42339</v>
      </c>
      <c r="E334" s="112">
        <f t="shared" si="5"/>
        <v>3.2904109589041095</v>
      </c>
      <c r="F334" s="16">
        <v>1.3680000000000001E-2</v>
      </c>
      <c r="H334" s="16"/>
    </row>
    <row r="335" spans="1:8" x14ac:dyDescent="0.2">
      <c r="A335" s="108" t="s">
        <v>325</v>
      </c>
      <c r="B335" s="108">
        <v>117.69</v>
      </c>
      <c r="C335" s="16">
        <v>5.2499999999999998E-2</v>
      </c>
      <c r="D335" s="111">
        <v>42353</v>
      </c>
      <c r="E335" s="112">
        <f t="shared" si="5"/>
        <v>3.3287671232876712</v>
      </c>
      <c r="F335" s="16">
        <v>7.92E-3</v>
      </c>
      <c r="H335" s="16"/>
    </row>
    <row r="336" spans="1:8" x14ac:dyDescent="0.2">
      <c r="A336" s="108" t="s">
        <v>353</v>
      </c>
      <c r="B336" s="108">
        <v>90.79</v>
      </c>
      <c r="C336" s="16">
        <v>3.6499999999999998E-2</v>
      </c>
      <c r="D336" s="111">
        <v>42353</v>
      </c>
      <c r="E336" s="112">
        <f t="shared" si="5"/>
        <v>3.3287671232876712</v>
      </c>
      <c r="F336" s="16">
        <v>6.2649999999999997E-2</v>
      </c>
      <c r="H336" s="16"/>
    </row>
    <row r="337" spans="1:8" x14ac:dyDescent="0.2">
      <c r="A337" s="108" t="s">
        <v>229</v>
      </c>
      <c r="B337" s="108">
        <v>103.39</v>
      </c>
      <c r="C337" s="16">
        <v>4.5869999999999994E-2</v>
      </c>
      <c r="D337" s="111">
        <v>42353</v>
      </c>
      <c r="E337" s="112">
        <f t="shared" si="5"/>
        <v>3.3287671232876712</v>
      </c>
      <c r="F337" s="16">
        <v>3.6749999999999998E-2</v>
      </c>
      <c r="H337" s="16"/>
    </row>
    <row r="338" spans="1:8" x14ac:dyDescent="0.2">
      <c r="A338" s="108" t="s">
        <v>372</v>
      </c>
      <c r="B338" s="108">
        <v>111.52</v>
      </c>
      <c r="C338" s="16">
        <v>5.2000000000000005E-2</v>
      </c>
      <c r="D338" s="111">
        <v>42361</v>
      </c>
      <c r="E338" s="112">
        <f t="shared" si="5"/>
        <v>3.3506849315068492</v>
      </c>
      <c r="F338" s="16">
        <v>2.2170000000000002E-2</v>
      </c>
      <c r="H338" s="16"/>
    </row>
    <row r="339" spans="1:8" x14ac:dyDescent="0.2">
      <c r="A339" s="108" t="s">
        <v>229</v>
      </c>
      <c r="B339" s="108">
        <v>106.25</v>
      </c>
      <c r="C339" s="16">
        <v>5.2999999999999999E-2</v>
      </c>
      <c r="D339" s="111">
        <v>42376</v>
      </c>
      <c r="E339" s="112">
        <f t="shared" si="5"/>
        <v>3.3917808219178083</v>
      </c>
      <c r="F339" s="16">
        <v>3.644E-2</v>
      </c>
      <c r="H339" s="16"/>
    </row>
    <row r="340" spans="1:8" x14ac:dyDescent="0.2">
      <c r="A340" s="108" t="s">
        <v>373</v>
      </c>
      <c r="B340" s="108">
        <v>113.13</v>
      </c>
      <c r="C340" s="16">
        <v>6.25E-2</v>
      </c>
      <c r="D340" s="111">
        <v>42380</v>
      </c>
      <c r="E340" s="112">
        <f t="shared" si="5"/>
        <v>3.4027397260273973</v>
      </c>
      <c r="F340" s="16">
        <v>2.8420000000000001E-2</v>
      </c>
      <c r="H340" s="16"/>
    </row>
    <row r="341" spans="1:8" x14ac:dyDescent="0.2">
      <c r="A341" s="108" t="s">
        <v>239</v>
      </c>
      <c r="B341" s="108">
        <v>104.16</v>
      </c>
      <c r="C341" s="16">
        <v>1.95E-2</v>
      </c>
      <c r="D341" s="111">
        <v>42384</v>
      </c>
      <c r="E341" s="112">
        <f t="shared" si="5"/>
        <v>3.4136986301369863</v>
      </c>
      <c r="F341" s="16">
        <v>9.1800000000000007E-3</v>
      </c>
      <c r="H341" s="16"/>
    </row>
    <row r="342" spans="1:8" x14ac:dyDescent="0.2">
      <c r="A342" s="108" t="s">
        <v>231</v>
      </c>
      <c r="B342" s="108">
        <v>104</v>
      </c>
      <c r="C342" s="16">
        <v>5.3499999999999999E-2</v>
      </c>
      <c r="D342" s="111">
        <v>42384</v>
      </c>
      <c r="E342" s="112">
        <f t="shared" si="5"/>
        <v>3.4136986301369863</v>
      </c>
      <c r="F342" s="16">
        <v>4.2809999999999994E-2</v>
      </c>
      <c r="H342" s="16"/>
    </row>
    <row r="343" spans="1:8" x14ac:dyDescent="0.2">
      <c r="A343" s="108" t="s">
        <v>218</v>
      </c>
      <c r="B343" s="108">
        <v>100</v>
      </c>
      <c r="C343" s="16">
        <v>3.3500000000000002E-2</v>
      </c>
      <c r="D343" s="111">
        <v>42384</v>
      </c>
      <c r="E343" s="112">
        <f t="shared" si="5"/>
        <v>3.4136986301369863</v>
      </c>
      <c r="F343" s="16">
        <v>3.3489999999999999E-2</v>
      </c>
      <c r="H343" s="16"/>
    </row>
    <row r="344" spans="1:8" x14ac:dyDescent="0.2">
      <c r="A344" s="108" t="s">
        <v>374</v>
      </c>
      <c r="B344" s="108">
        <v>117.78</v>
      </c>
      <c r="C344" s="16">
        <v>5.2499999999999998E-2</v>
      </c>
      <c r="D344" s="111">
        <v>42384</v>
      </c>
      <c r="E344" s="112">
        <f t="shared" si="5"/>
        <v>3.4136986301369863</v>
      </c>
      <c r="F344" s="16">
        <v>8.5100000000000002E-3</v>
      </c>
      <c r="H344" s="16"/>
    </row>
    <row r="345" spans="1:8" x14ac:dyDescent="0.2">
      <c r="A345" s="108" t="s">
        <v>375</v>
      </c>
      <c r="B345" s="108">
        <v>100.18</v>
      </c>
      <c r="C345" s="16">
        <v>4.8750000000000002E-2</v>
      </c>
      <c r="D345" s="111">
        <v>42390</v>
      </c>
      <c r="E345" s="112">
        <f t="shared" si="5"/>
        <v>3.43013698630137</v>
      </c>
      <c r="F345" s="16">
        <v>4.8250000000000001E-2</v>
      </c>
      <c r="H345" s="16"/>
    </row>
    <row r="346" spans="1:8" x14ac:dyDescent="0.2">
      <c r="A346" s="108" t="s">
        <v>300</v>
      </c>
      <c r="B346" s="108">
        <v>104.71</v>
      </c>
      <c r="C346" s="16">
        <v>2.5000000000000001E-2</v>
      </c>
      <c r="D346" s="111">
        <v>42401</v>
      </c>
      <c r="E346" s="112">
        <f t="shared" si="5"/>
        <v>3.4602739726027396</v>
      </c>
      <c r="F346" s="16">
        <v>1.333E-2</v>
      </c>
      <c r="H346" s="16"/>
    </row>
    <row r="347" spans="1:8" x14ac:dyDescent="0.2">
      <c r="A347" s="108" t="s">
        <v>309</v>
      </c>
      <c r="B347" s="108">
        <v>107.81</v>
      </c>
      <c r="C347" s="16">
        <v>2.5000000000000001E-2</v>
      </c>
      <c r="D347" s="111">
        <v>42401</v>
      </c>
      <c r="E347" s="112">
        <f t="shared" si="5"/>
        <v>3.4602739726027396</v>
      </c>
      <c r="F347" s="16">
        <v>5.9899999999999997E-3</v>
      </c>
      <c r="H347" s="16"/>
    </row>
    <row r="348" spans="1:8" x14ac:dyDescent="0.2">
      <c r="A348" s="108" t="s">
        <v>231</v>
      </c>
      <c r="B348" s="108">
        <v>96.2</v>
      </c>
      <c r="C348" s="16">
        <v>3.6249999999999998E-2</v>
      </c>
      <c r="D348" s="111">
        <v>42407</v>
      </c>
      <c r="E348" s="112">
        <f t="shared" si="5"/>
        <v>3.4767123287671233</v>
      </c>
      <c r="F348" s="16">
        <v>4.632E-2</v>
      </c>
      <c r="H348" s="16"/>
    </row>
    <row r="349" spans="1:8" x14ac:dyDescent="0.2">
      <c r="A349" s="108" t="s">
        <v>267</v>
      </c>
      <c r="B349" s="108">
        <v>108</v>
      </c>
      <c r="C349" s="16">
        <v>2.8750000000000001E-2</v>
      </c>
      <c r="D349" s="111">
        <v>42415</v>
      </c>
      <c r="E349" s="112">
        <f t="shared" si="5"/>
        <v>3.4986301369863013</v>
      </c>
      <c r="F349" s="16">
        <v>9.300000000000001E-3</v>
      </c>
      <c r="H349" s="16"/>
    </row>
    <row r="350" spans="1:8" x14ac:dyDescent="0.2">
      <c r="A350" s="108" t="s">
        <v>376</v>
      </c>
      <c r="B350" s="108">
        <v>96</v>
      </c>
      <c r="C350" s="16">
        <v>0.04</v>
      </c>
      <c r="D350" s="111">
        <v>42415</v>
      </c>
      <c r="E350" s="112">
        <f t="shared" si="5"/>
        <v>3.4986301369863013</v>
      </c>
      <c r="F350" s="16">
        <v>5.058E-2</v>
      </c>
      <c r="H350" s="16"/>
    </row>
    <row r="351" spans="1:8" x14ac:dyDescent="0.2">
      <c r="A351" s="108" t="s">
        <v>376</v>
      </c>
      <c r="B351" s="108">
        <v>100.5</v>
      </c>
      <c r="C351" s="16">
        <v>4.2500000000000003E-2</v>
      </c>
      <c r="D351" s="111">
        <v>42415</v>
      </c>
      <c r="E351" s="112">
        <f t="shared" si="5"/>
        <v>3.4986301369863013</v>
      </c>
      <c r="F351" s="16">
        <v>4.1200000000000001E-2</v>
      </c>
      <c r="H351" s="16"/>
    </row>
    <row r="352" spans="1:8" x14ac:dyDescent="0.2">
      <c r="A352" s="108" t="s">
        <v>257</v>
      </c>
      <c r="B352" s="108">
        <v>116.66</v>
      </c>
      <c r="C352" s="16">
        <v>5.5500000000000001E-2</v>
      </c>
      <c r="D352" s="111">
        <v>42415</v>
      </c>
      <c r="E352" s="112">
        <f t="shared" si="5"/>
        <v>3.4986301369863013</v>
      </c>
      <c r="F352" s="16">
        <v>1.452E-2</v>
      </c>
      <c r="H352" s="16"/>
    </row>
    <row r="353" spans="1:8" x14ac:dyDescent="0.2">
      <c r="A353" s="108" t="s">
        <v>348</v>
      </c>
      <c r="B353" s="108">
        <v>118.67</v>
      </c>
      <c r="C353" s="16">
        <v>5.5E-2</v>
      </c>
      <c r="D353" s="111">
        <v>42422</v>
      </c>
      <c r="E353" s="112">
        <f t="shared" si="5"/>
        <v>3.5178082191780824</v>
      </c>
      <c r="F353" s="16">
        <v>9.7699999999999992E-3</v>
      </c>
      <c r="H353" s="16"/>
    </row>
    <row r="354" spans="1:8" x14ac:dyDescent="0.2">
      <c r="A354" s="108" t="s">
        <v>377</v>
      </c>
      <c r="B354" s="108">
        <v>116.42</v>
      </c>
      <c r="C354" s="16">
        <v>5.4000000000000006E-2</v>
      </c>
      <c r="D354" s="111">
        <v>42430</v>
      </c>
      <c r="E354" s="112">
        <f t="shared" si="5"/>
        <v>3.5397260273972604</v>
      </c>
      <c r="F354" s="16">
        <v>1.4070000000000001E-2</v>
      </c>
      <c r="H354" s="16"/>
    </row>
    <row r="355" spans="1:8" x14ac:dyDescent="0.2">
      <c r="A355" s="108" t="s">
        <v>378</v>
      </c>
      <c r="B355" s="108">
        <v>108.55</v>
      </c>
      <c r="C355" s="16">
        <v>3.2500000000000001E-2</v>
      </c>
      <c r="D355" s="111">
        <v>42430</v>
      </c>
      <c r="E355" s="112">
        <f t="shared" si="5"/>
        <v>3.5397260273972604</v>
      </c>
      <c r="F355" s="16">
        <v>1.1810000000000001E-2</v>
      </c>
      <c r="H355" s="16"/>
    </row>
    <row r="356" spans="1:8" x14ac:dyDescent="0.2">
      <c r="A356" s="108" t="s">
        <v>379</v>
      </c>
      <c r="B356" s="108">
        <v>105.3</v>
      </c>
      <c r="C356" s="16">
        <v>2.8750000000000001E-2</v>
      </c>
      <c r="D356" s="111">
        <v>42436</v>
      </c>
      <c r="E356" s="112">
        <f t="shared" si="5"/>
        <v>3.5561643835616437</v>
      </c>
      <c r="F356" s="16">
        <v>1.5859999999999999E-2</v>
      </c>
      <c r="H356" s="16"/>
    </row>
    <row r="357" spans="1:8" x14ac:dyDescent="0.2">
      <c r="A357" s="108" t="s">
        <v>305</v>
      </c>
      <c r="B357" s="108">
        <v>107.27</v>
      </c>
      <c r="C357" s="16">
        <v>3.2000000000000001E-2</v>
      </c>
      <c r="D357" s="111">
        <v>42440</v>
      </c>
      <c r="E357" s="112">
        <f t="shared" si="5"/>
        <v>3.5671232876712327</v>
      </c>
      <c r="F357" s="16">
        <v>1.4410000000000001E-2</v>
      </c>
      <c r="H357" s="16"/>
    </row>
    <row r="358" spans="1:8" x14ac:dyDescent="0.2">
      <c r="A358" s="108" t="s">
        <v>225</v>
      </c>
      <c r="B358" s="108">
        <v>122.79</v>
      </c>
      <c r="C358" s="16">
        <v>7.0000000000000007E-2</v>
      </c>
      <c r="D358" s="111">
        <v>42444</v>
      </c>
      <c r="E358" s="112">
        <f t="shared" si="5"/>
        <v>3.5780821917808221</v>
      </c>
      <c r="F358" s="16">
        <v>1.4930000000000001E-2</v>
      </c>
      <c r="H358" s="16"/>
    </row>
    <row r="359" spans="1:8" x14ac:dyDescent="0.2">
      <c r="A359" s="108" t="s">
        <v>353</v>
      </c>
      <c r="B359" s="108">
        <v>97.82</v>
      </c>
      <c r="C359" s="16">
        <v>4.4999999999999998E-2</v>
      </c>
      <c r="D359" s="111">
        <v>42444</v>
      </c>
      <c r="E359" s="112">
        <f t="shared" si="5"/>
        <v>3.5780821917808221</v>
      </c>
      <c r="F359" s="16">
        <v>5.0709999999999998E-2</v>
      </c>
      <c r="H359" s="16"/>
    </row>
    <row r="360" spans="1:8" x14ac:dyDescent="0.2">
      <c r="A360" s="108" t="s">
        <v>253</v>
      </c>
      <c r="B360" s="108">
        <v>117.62</v>
      </c>
      <c r="C360" s="16">
        <v>5.5E-2</v>
      </c>
      <c r="D360" s="111">
        <v>42444</v>
      </c>
      <c r="E360" s="112">
        <f t="shared" si="5"/>
        <v>3.5780821917808221</v>
      </c>
      <c r="F360" s="16">
        <v>1.265E-2</v>
      </c>
      <c r="H360" s="16"/>
    </row>
    <row r="361" spans="1:8" x14ac:dyDescent="0.2">
      <c r="A361" s="108" t="s">
        <v>327</v>
      </c>
      <c r="B361" s="108">
        <v>102.5</v>
      </c>
      <c r="C361" s="16">
        <v>0.04</v>
      </c>
      <c r="D361" s="111">
        <v>42444</v>
      </c>
      <c r="E361" s="112">
        <f t="shared" si="5"/>
        <v>3.5780821917808221</v>
      </c>
      <c r="F361" s="16">
        <v>3.3680000000000002E-2</v>
      </c>
      <c r="H361" s="16"/>
    </row>
    <row r="362" spans="1:8" x14ac:dyDescent="0.2">
      <c r="A362" s="108" t="s">
        <v>218</v>
      </c>
      <c r="B362" s="108">
        <v>99.42</v>
      </c>
      <c r="C362" s="16">
        <v>3.2000000000000001E-2</v>
      </c>
      <c r="D362" s="111">
        <v>42444</v>
      </c>
      <c r="E362" s="112">
        <f t="shared" si="5"/>
        <v>3.5780821917808221</v>
      </c>
      <c r="F362" s="16">
        <v>3.3460000000000004E-2</v>
      </c>
      <c r="H362" s="16"/>
    </row>
    <row r="363" spans="1:8" x14ac:dyDescent="0.2">
      <c r="A363" s="108" t="s">
        <v>316</v>
      </c>
      <c r="B363" s="108">
        <v>119.16</v>
      </c>
      <c r="C363" s="16">
        <v>5.4000000000000006E-2</v>
      </c>
      <c r="D363" s="111">
        <v>42444</v>
      </c>
      <c r="E363" s="112">
        <f t="shared" si="5"/>
        <v>3.5780821917808221</v>
      </c>
      <c r="F363" s="16">
        <v>8.4200000000000004E-3</v>
      </c>
      <c r="H363" s="16"/>
    </row>
    <row r="364" spans="1:8" x14ac:dyDescent="0.2">
      <c r="A364" s="108" t="s">
        <v>380</v>
      </c>
      <c r="B364" s="108">
        <v>112.34</v>
      </c>
      <c r="C364" s="16">
        <v>5.2499999999999998E-2</v>
      </c>
      <c r="D364" s="111">
        <v>42444</v>
      </c>
      <c r="E364" s="112">
        <f t="shared" si="5"/>
        <v>3.5780821917808221</v>
      </c>
      <c r="F364" s="16">
        <v>2.2160000000000003E-2</v>
      </c>
      <c r="H364" s="16"/>
    </row>
    <row r="365" spans="1:8" x14ac:dyDescent="0.2">
      <c r="A365" s="108" t="s">
        <v>234</v>
      </c>
      <c r="B365" s="108">
        <v>111.17</v>
      </c>
      <c r="C365" s="16">
        <v>5.5E-2</v>
      </c>
      <c r="D365" s="111">
        <v>42444</v>
      </c>
      <c r="E365" s="112">
        <f t="shared" si="5"/>
        <v>3.5780821917808221</v>
      </c>
      <c r="F365" s="16">
        <v>2.7210000000000002E-2</v>
      </c>
      <c r="H365" s="16"/>
    </row>
    <row r="366" spans="1:8" x14ac:dyDescent="0.2">
      <c r="A366" s="108" t="s">
        <v>312</v>
      </c>
      <c r="B366" s="108">
        <v>118.19</v>
      </c>
      <c r="C366" s="16">
        <v>5.7500000000000002E-2</v>
      </c>
      <c r="D366" s="111">
        <v>42444</v>
      </c>
      <c r="E366" s="112">
        <f t="shared" si="5"/>
        <v>3.5780821917808221</v>
      </c>
      <c r="F366" s="16">
        <v>1.3680000000000001E-2</v>
      </c>
      <c r="H366" s="16"/>
    </row>
    <row r="367" spans="1:8" x14ac:dyDescent="0.2">
      <c r="A367" s="108" t="s">
        <v>312</v>
      </c>
      <c r="B367" s="108">
        <v>108.54</v>
      </c>
      <c r="C367" s="16">
        <v>2.8750000000000001E-2</v>
      </c>
      <c r="D367" s="111">
        <v>42445</v>
      </c>
      <c r="E367" s="112">
        <f t="shared" si="5"/>
        <v>3.580821917808219</v>
      </c>
      <c r="F367" s="16">
        <v>8.4399999999999996E-3</v>
      </c>
      <c r="H367" s="16"/>
    </row>
    <row r="368" spans="1:8" x14ac:dyDescent="0.2">
      <c r="A368" s="108" t="s">
        <v>275</v>
      </c>
      <c r="B368" s="108">
        <v>90.89</v>
      </c>
      <c r="C368" s="16">
        <v>3.6249999999999998E-2</v>
      </c>
      <c r="D368" s="111">
        <v>42446</v>
      </c>
      <c r="E368" s="112">
        <f t="shared" si="5"/>
        <v>3.5835616438356164</v>
      </c>
      <c r="F368" s="16">
        <v>6.0650000000000003E-2</v>
      </c>
      <c r="H368" s="16"/>
    </row>
    <row r="369" spans="1:8" x14ac:dyDescent="0.2">
      <c r="A369" s="108" t="s">
        <v>271</v>
      </c>
      <c r="B369" s="108">
        <v>107.92</v>
      </c>
      <c r="C369" s="16">
        <v>3.1E-2</v>
      </c>
      <c r="D369" s="111">
        <v>42461</v>
      </c>
      <c r="E369" s="112">
        <f t="shared" si="5"/>
        <v>3.6246575342465754</v>
      </c>
      <c r="F369" s="16">
        <v>1.217E-2</v>
      </c>
      <c r="H369" s="16"/>
    </row>
    <row r="370" spans="1:8" x14ac:dyDescent="0.2">
      <c r="A370" s="108" t="s">
        <v>239</v>
      </c>
      <c r="B370" s="108">
        <v>108.28</v>
      </c>
      <c r="C370" s="16">
        <v>2.75E-2</v>
      </c>
      <c r="D370" s="111">
        <v>42461</v>
      </c>
      <c r="E370" s="112">
        <f t="shared" si="5"/>
        <v>3.6246575342465754</v>
      </c>
      <c r="F370" s="16">
        <v>8.0300000000000007E-3</v>
      </c>
      <c r="H370" s="16"/>
    </row>
    <row r="371" spans="1:8" x14ac:dyDescent="0.2">
      <c r="A371" s="108" t="s">
        <v>257</v>
      </c>
      <c r="B371" s="108">
        <v>107.16</v>
      </c>
      <c r="C371" s="16">
        <v>0.03</v>
      </c>
      <c r="D371" s="111">
        <v>42461</v>
      </c>
      <c r="E371" s="112">
        <f t="shared" si="5"/>
        <v>3.6246575342465754</v>
      </c>
      <c r="F371" s="16">
        <v>1.295E-2</v>
      </c>
      <c r="H371" s="16"/>
    </row>
    <row r="372" spans="1:8" x14ac:dyDescent="0.2">
      <c r="A372" s="108" t="s">
        <v>381</v>
      </c>
      <c r="B372" s="108">
        <v>107.24</v>
      </c>
      <c r="C372" s="16">
        <v>2.75E-2</v>
      </c>
      <c r="D372" s="111">
        <v>42475</v>
      </c>
      <c r="E372" s="112">
        <f t="shared" si="5"/>
        <v>3.6630136986301371</v>
      </c>
      <c r="F372" s="16">
        <v>1.0509999999999999E-2</v>
      </c>
      <c r="H372" s="16"/>
    </row>
    <row r="373" spans="1:8" x14ac:dyDescent="0.2">
      <c r="A373" s="108" t="s">
        <v>228</v>
      </c>
      <c r="B373" s="108">
        <v>110.17</v>
      </c>
      <c r="C373" s="16">
        <v>3.95E-2</v>
      </c>
      <c r="D373" s="111">
        <v>42489</v>
      </c>
      <c r="E373" s="112">
        <f t="shared" si="5"/>
        <v>3.7013698630136984</v>
      </c>
      <c r="F373" s="16">
        <v>1.5560000000000001E-2</v>
      </c>
      <c r="H373" s="16"/>
    </row>
    <row r="374" spans="1:8" x14ac:dyDescent="0.2">
      <c r="A374" s="108" t="s">
        <v>260</v>
      </c>
      <c r="B374" s="108">
        <v>90.26</v>
      </c>
      <c r="C374" s="16">
        <v>3.7999999999999999E-2</v>
      </c>
      <c r="D374" s="111">
        <v>42489</v>
      </c>
      <c r="E374" s="112">
        <f t="shared" si="5"/>
        <v>3.7013698630136984</v>
      </c>
      <c r="F374" s="16">
        <v>6.3659999999999994E-2</v>
      </c>
      <c r="H374" s="16"/>
    </row>
    <row r="375" spans="1:8" x14ac:dyDescent="0.2">
      <c r="A375" s="108" t="s">
        <v>382</v>
      </c>
      <c r="B375" s="108">
        <v>126.23</v>
      </c>
      <c r="C375" s="16">
        <v>7.6499999999999999E-2</v>
      </c>
      <c r="D375" s="111">
        <v>42491</v>
      </c>
      <c r="E375" s="112">
        <f t="shared" si="5"/>
        <v>3.7068493150684931</v>
      </c>
      <c r="F375" s="16">
        <v>1.4919999999999999E-2</v>
      </c>
      <c r="H375" s="16"/>
    </row>
    <row r="376" spans="1:8" x14ac:dyDescent="0.2">
      <c r="A376" s="108" t="s">
        <v>246</v>
      </c>
      <c r="B376" s="108">
        <v>107.34</v>
      </c>
      <c r="C376" s="16">
        <v>2.9500000000000002E-2</v>
      </c>
      <c r="D376" s="111">
        <v>42505</v>
      </c>
      <c r="E376" s="112">
        <f t="shared" si="5"/>
        <v>3.7452054794520548</v>
      </c>
      <c r="F376" s="16">
        <v>1.2509999999999999E-2</v>
      </c>
      <c r="H376" s="16"/>
    </row>
    <row r="377" spans="1:8" x14ac:dyDescent="0.2">
      <c r="A377" s="108" t="s">
        <v>353</v>
      </c>
      <c r="B377" s="108">
        <v>97.89</v>
      </c>
      <c r="C377" s="16">
        <v>4.7500000000000001E-2</v>
      </c>
      <c r="D377" s="111">
        <v>42505</v>
      </c>
      <c r="E377" s="112">
        <f t="shared" si="5"/>
        <v>3.7452054794520548</v>
      </c>
      <c r="F377" s="16">
        <v>5.2859999999999997E-2</v>
      </c>
      <c r="H377" s="16"/>
    </row>
    <row r="378" spans="1:8" x14ac:dyDescent="0.2">
      <c r="A378" s="108" t="s">
        <v>383</v>
      </c>
      <c r="B378" s="108">
        <v>95.78</v>
      </c>
      <c r="C378" s="16">
        <v>6.25E-2</v>
      </c>
      <c r="D378" s="111">
        <v>42505</v>
      </c>
      <c r="E378" s="112">
        <f t="shared" si="5"/>
        <v>3.7452054794520548</v>
      </c>
      <c r="F378" s="16">
        <v>7.3760000000000006E-2</v>
      </c>
      <c r="H378" s="16"/>
    </row>
    <row r="379" spans="1:8" x14ac:dyDescent="0.2">
      <c r="A379" s="108" t="s">
        <v>327</v>
      </c>
      <c r="B379" s="108">
        <v>105.12</v>
      </c>
      <c r="C379" s="16">
        <v>4.4999999999999998E-2</v>
      </c>
      <c r="D379" s="111">
        <v>42505</v>
      </c>
      <c r="E379" s="112">
        <f t="shared" si="5"/>
        <v>3.7452054794520548</v>
      </c>
      <c r="F379" s="16">
        <v>3.2549999999999996E-2</v>
      </c>
      <c r="H379" s="16"/>
    </row>
    <row r="380" spans="1:8" x14ac:dyDescent="0.2">
      <c r="A380" s="108" t="s">
        <v>327</v>
      </c>
      <c r="B380" s="108">
        <v>113</v>
      </c>
      <c r="C380" s="16">
        <v>5.8499999999999996E-2</v>
      </c>
      <c r="D380" s="111">
        <v>42505</v>
      </c>
      <c r="E380" s="112">
        <f t="shared" si="5"/>
        <v>3.7452054794520548</v>
      </c>
      <c r="F380" s="16">
        <v>2.7309999999999997E-2</v>
      </c>
      <c r="H380" s="16"/>
    </row>
    <row r="381" spans="1:8" x14ac:dyDescent="0.2">
      <c r="A381" s="108" t="s">
        <v>327</v>
      </c>
      <c r="B381" s="108">
        <v>109.25</v>
      </c>
      <c r="C381" s="16">
        <v>0.06</v>
      </c>
      <c r="D381" s="111">
        <v>42505</v>
      </c>
      <c r="E381" s="112">
        <f t="shared" si="5"/>
        <v>3.7452054794520548</v>
      </c>
      <c r="F381" s="16">
        <v>3.7280000000000001E-2</v>
      </c>
      <c r="H381" s="16"/>
    </row>
    <row r="382" spans="1:8" x14ac:dyDescent="0.2">
      <c r="A382" s="108" t="s">
        <v>384</v>
      </c>
      <c r="B382" s="108">
        <v>96</v>
      </c>
      <c r="C382" s="16">
        <v>6.0499999999999998E-2</v>
      </c>
      <c r="D382" s="111">
        <v>42506</v>
      </c>
      <c r="E382" s="112">
        <f t="shared" si="5"/>
        <v>3.7479452054794522</v>
      </c>
      <c r="F382" s="16">
        <v>7.1109999999999993E-2</v>
      </c>
      <c r="H382" s="16"/>
    </row>
    <row r="383" spans="1:8" x14ac:dyDescent="0.2">
      <c r="A383" s="108" t="s">
        <v>283</v>
      </c>
      <c r="B383" s="108">
        <v>105.9</v>
      </c>
      <c r="C383" s="16">
        <v>2.5000000000000001E-2</v>
      </c>
      <c r="D383" s="111">
        <v>42506</v>
      </c>
      <c r="E383" s="112">
        <f t="shared" si="5"/>
        <v>3.7479452054794522</v>
      </c>
      <c r="F383" s="16">
        <v>1.1399999999999999E-2</v>
      </c>
      <c r="H383" s="16"/>
    </row>
    <row r="384" spans="1:8" x14ac:dyDescent="0.2">
      <c r="A384" s="108" t="s">
        <v>329</v>
      </c>
      <c r="B384" s="108">
        <v>106.9</v>
      </c>
      <c r="C384" s="16">
        <v>2.375E-2</v>
      </c>
      <c r="D384" s="111">
        <v>42506</v>
      </c>
      <c r="E384" s="112">
        <f t="shared" si="5"/>
        <v>3.7479452054794522</v>
      </c>
      <c r="F384" s="16">
        <v>7.9600000000000001E-3</v>
      </c>
      <c r="H384" s="16"/>
    </row>
    <row r="385" spans="1:8" x14ac:dyDescent="0.2">
      <c r="A385" s="108" t="s">
        <v>328</v>
      </c>
      <c r="B385" s="108">
        <v>105.25</v>
      </c>
      <c r="C385" s="16">
        <v>2.5000000000000001E-2</v>
      </c>
      <c r="D385" s="111">
        <v>42510</v>
      </c>
      <c r="E385" s="112">
        <f t="shared" si="5"/>
        <v>3.7589041095890412</v>
      </c>
      <c r="F385" s="16">
        <v>1.2869999999999999E-2</v>
      </c>
      <c r="H385" s="16"/>
    </row>
    <row r="386" spans="1:8" x14ac:dyDescent="0.2">
      <c r="A386" s="108" t="s">
        <v>332</v>
      </c>
      <c r="B386" s="108">
        <v>105.45</v>
      </c>
      <c r="C386" s="16">
        <v>2.8999999999999998E-2</v>
      </c>
      <c r="D386" s="111">
        <v>42520</v>
      </c>
      <c r="E386" s="112">
        <f t="shared" si="5"/>
        <v>3.7863013698630139</v>
      </c>
      <c r="F386" s="16">
        <v>1.6379999999999999E-2</v>
      </c>
      <c r="H386" s="16"/>
    </row>
    <row r="387" spans="1:8" x14ac:dyDescent="0.2">
      <c r="A387" s="108" t="s">
        <v>244</v>
      </c>
      <c r="B387" s="108">
        <v>113.35</v>
      </c>
      <c r="C387" s="16">
        <v>4.4500000000000005E-2</v>
      </c>
      <c r="D387" s="111">
        <v>42520</v>
      </c>
      <c r="E387" s="112">
        <f t="shared" si="5"/>
        <v>3.7863013698630139</v>
      </c>
      <c r="F387" s="16">
        <v>1.3779999999999999E-2</v>
      </c>
      <c r="H387" s="16"/>
    </row>
    <row r="388" spans="1:8" x14ac:dyDescent="0.2">
      <c r="A388" s="108" t="s">
        <v>226</v>
      </c>
      <c r="B388" s="108">
        <v>103.83</v>
      </c>
      <c r="C388" s="16">
        <v>2.6499999999999999E-2</v>
      </c>
      <c r="D388" s="111">
        <v>42522</v>
      </c>
      <c r="E388" s="112">
        <f t="shared" ref="E388:E451" si="6">(D388-DATE(2012,8,17))/365</f>
        <v>3.7917808219178082</v>
      </c>
      <c r="F388" s="16">
        <v>1.7610000000000001E-2</v>
      </c>
      <c r="H388" s="16"/>
    </row>
    <row r="389" spans="1:8" x14ac:dyDescent="0.2">
      <c r="A389" s="108" t="s">
        <v>335</v>
      </c>
      <c r="B389" s="108">
        <v>116.65</v>
      </c>
      <c r="C389" s="16">
        <v>6.7500000000000004E-2</v>
      </c>
      <c r="D389" s="111">
        <v>42522</v>
      </c>
      <c r="E389" s="112">
        <f t="shared" si="6"/>
        <v>3.7917808219178082</v>
      </c>
      <c r="F389" s="16">
        <v>2.7869999999999999E-2</v>
      </c>
      <c r="H389" s="16"/>
    </row>
    <row r="390" spans="1:8" x14ac:dyDescent="0.2">
      <c r="A390" s="108" t="s">
        <v>311</v>
      </c>
      <c r="B390" s="108">
        <v>103.66</v>
      </c>
      <c r="C390" s="16">
        <v>0.03</v>
      </c>
      <c r="D390" s="111">
        <v>42527</v>
      </c>
      <c r="E390" s="112">
        <f t="shared" si="6"/>
        <v>3.8054794520547945</v>
      </c>
      <c r="F390" s="16">
        <v>2.145E-2</v>
      </c>
      <c r="H390" s="16"/>
    </row>
    <row r="391" spans="1:8" x14ac:dyDescent="0.2">
      <c r="A391" s="108" t="s">
        <v>269</v>
      </c>
      <c r="B391" s="108">
        <v>106.1</v>
      </c>
      <c r="C391" s="16">
        <v>2.2499999999999999E-2</v>
      </c>
      <c r="D391" s="111">
        <v>42528</v>
      </c>
      <c r="E391" s="112">
        <f t="shared" si="6"/>
        <v>3.8082191780821919</v>
      </c>
      <c r="F391" s="16">
        <v>8.6899999999999998E-3</v>
      </c>
      <c r="H391" s="16"/>
    </row>
    <row r="392" spans="1:8" x14ac:dyDescent="0.2">
      <c r="A392" s="108" t="s">
        <v>347</v>
      </c>
      <c r="B392" s="108">
        <v>100.59</v>
      </c>
      <c r="C392" s="16">
        <v>2.3E-2</v>
      </c>
      <c r="D392" s="111">
        <v>42536</v>
      </c>
      <c r="E392" s="112">
        <f t="shared" si="6"/>
        <v>3.8301369863013699</v>
      </c>
      <c r="F392" s="16">
        <v>2.1629999999999996E-2</v>
      </c>
      <c r="H392" s="16"/>
    </row>
    <row r="393" spans="1:8" x14ac:dyDescent="0.2">
      <c r="A393" s="108" t="s">
        <v>385</v>
      </c>
      <c r="B393" s="108">
        <v>105.24</v>
      </c>
      <c r="C393" s="16">
        <v>2.6499999999999999E-2</v>
      </c>
      <c r="D393" s="111">
        <v>42536</v>
      </c>
      <c r="E393" s="112">
        <f t="shared" si="6"/>
        <v>3.8301369863013699</v>
      </c>
      <c r="F393" s="16">
        <v>1.452E-2</v>
      </c>
      <c r="H393" s="16"/>
    </row>
    <row r="394" spans="1:8" x14ac:dyDescent="0.2">
      <c r="A394" s="108" t="s">
        <v>386</v>
      </c>
      <c r="B394" s="108">
        <v>99.94</v>
      </c>
      <c r="C394" s="16">
        <v>0.06</v>
      </c>
      <c r="D394" s="111">
        <v>42536</v>
      </c>
      <c r="E394" s="112">
        <f t="shared" si="6"/>
        <v>3.8301369863013699</v>
      </c>
      <c r="F394" s="16">
        <v>6.0149999999999995E-2</v>
      </c>
      <c r="H394" s="16"/>
    </row>
    <row r="395" spans="1:8" x14ac:dyDescent="0.2">
      <c r="A395" s="108" t="s">
        <v>229</v>
      </c>
      <c r="B395" s="108">
        <v>100.22</v>
      </c>
      <c r="C395" s="16">
        <v>3.9529999999999996E-2</v>
      </c>
      <c r="D395" s="111">
        <v>42536</v>
      </c>
      <c r="E395" s="112">
        <f t="shared" si="6"/>
        <v>3.8301369863013699</v>
      </c>
      <c r="F395" s="16">
        <v>3.9009999999999996E-2</v>
      </c>
      <c r="H395" s="16"/>
    </row>
    <row r="396" spans="1:8" x14ac:dyDescent="0.2">
      <c r="A396" s="108" t="s">
        <v>327</v>
      </c>
      <c r="B396" s="108">
        <v>105.9</v>
      </c>
      <c r="C396" s="16">
        <v>0.06</v>
      </c>
      <c r="D396" s="111">
        <v>42536</v>
      </c>
      <c r="E396" s="112">
        <f t="shared" si="6"/>
        <v>3.8301369863013699</v>
      </c>
      <c r="F396" s="16">
        <v>4.546E-2</v>
      </c>
      <c r="H396" s="16"/>
    </row>
    <row r="397" spans="1:8" x14ac:dyDescent="0.2">
      <c r="A397" s="108" t="s">
        <v>341</v>
      </c>
      <c r="B397" s="108">
        <v>117.25</v>
      </c>
      <c r="C397" s="16">
        <v>5.6250000000000001E-2</v>
      </c>
      <c r="D397" s="111">
        <v>42536</v>
      </c>
      <c r="E397" s="112">
        <f t="shared" si="6"/>
        <v>3.8301369863013699</v>
      </c>
      <c r="F397" s="16">
        <v>1.6629999999999999E-2</v>
      </c>
      <c r="H397" s="16"/>
    </row>
    <row r="398" spans="1:8" x14ac:dyDescent="0.2">
      <c r="A398" s="108" t="s">
        <v>275</v>
      </c>
      <c r="B398" s="108">
        <v>91</v>
      </c>
      <c r="C398" s="16">
        <v>3.7499999999999999E-2</v>
      </c>
      <c r="D398" s="111">
        <v>42563</v>
      </c>
      <c r="E398" s="112">
        <f t="shared" si="6"/>
        <v>3.904109589041096</v>
      </c>
      <c r="F398" s="16">
        <v>6.0110000000000004E-2</v>
      </c>
      <c r="H398" s="16"/>
    </row>
    <row r="399" spans="1:8" x14ac:dyDescent="0.2">
      <c r="A399" s="108" t="s">
        <v>353</v>
      </c>
      <c r="B399" s="108">
        <v>95.85</v>
      </c>
      <c r="C399" s="16">
        <v>0.04</v>
      </c>
      <c r="D399" s="111">
        <v>42566</v>
      </c>
      <c r="E399" s="112">
        <f t="shared" si="6"/>
        <v>3.9123287671232876</v>
      </c>
      <c r="F399" s="16">
        <v>5.0170000000000006E-2</v>
      </c>
      <c r="H399" s="16"/>
    </row>
    <row r="400" spans="1:8" x14ac:dyDescent="0.2">
      <c r="A400" s="108" t="s">
        <v>280</v>
      </c>
      <c r="B400" s="108">
        <v>105.3</v>
      </c>
      <c r="C400" s="16">
        <v>2.2499999999999999E-2</v>
      </c>
      <c r="D400" s="111">
        <v>42566</v>
      </c>
      <c r="E400" s="112">
        <f t="shared" si="6"/>
        <v>3.9123287671232876</v>
      </c>
      <c r="F400" s="16">
        <v>1.0709999999999999E-2</v>
      </c>
      <c r="H400" s="16"/>
    </row>
    <row r="401" spans="1:8" x14ac:dyDescent="0.2">
      <c r="A401" s="108" t="s">
        <v>275</v>
      </c>
      <c r="B401" s="108">
        <v>99.87</v>
      </c>
      <c r="C401" s="16">
        <v>6.5000000000000002E-2</v>
      </c>
      <c r="D401" s="111">
        <v>42583</v>
      </c>
      <c r="E401" s="112">
        <f t="shared" si="6"/>
        <v>3.9589041095890409</v>
      </c>
      <c r="F401" s="16">
        <v>6.5299999999999997E-2</v>
      </c>
      <c r="H401" s="16"/>
    </row>
    <row r="402" spans="1:8" x14ac:dyDescent="0.2">
      <c r="A402" s="108" t="s">
        <v>253</v>
      </c>
      <c r="B402" s="108">
        <v>103.53</v>
      </c>
      <c r="C402" s="16">
        <v>2.0499999999999997E-2</v>
      </c>
      <c r="D402" s="111">
        <v>42583</v>
      </c>
      <c r="E402" s="112">
        <f t="shared" si="6"/>
        <v>3.9589041095890409</v>
      </c>
      <c r="F402" s="16">
        <v>1.268E-2</v>
      </c>
      <c r="H402" s="16"/>
    </row>
    <row r="403" spans="1:8" x14ac:dyDescent="0.2">
      <c r="A403" s="108" t="s">
        <v>387</v>
      </c>
      <c r="B403" s="108">
        <v>104.44</v>
      </c>
      <c r="C403" s="16">
        <v>0.02</v>
      </c>
      <c r="D403" s="111">
        <v>42584</v>
      </c>
      <c r="E403" s="112">
        <f t="shared" si="6"/>
        <v>3.9616438356164383</v>
      </c>
      <c r="F403" s="16">
        <v>1.0240000000000001E-2</v>
      </c>
      <c r="H403" s="16"/>
    </row>
    <row r="404" spans="1:8" x14ac:dyDescent="0.2">
      <c r="A404" s="108" t="s">
        <v>246</v>
      </c>
      <c r="B404" s="108">
        <v>103.53</v>
      </c>
      <c r="C404" s="16">
        <v>2.4E-2</v>
      </c>
      <c r="D404" s="111">
        <v>42597</v>
      </c>
      <c r="E404" s="112">
        <f t="shared" si="6"/>
        <v>3.9972602739726026</v>
      </c>
      <c r="F404" s="16">
        <v>1.618E-2</v>
      </c>
      <c r="H404" s="16"/>
    </row>
    <row r="405" spans="1:8" x14ac:dyDescent="0.2">
      <c r="A405" s="108" t="s">
        <v>222</v>
      </c>
      <c r="B405" s="108">
        <v>95.67</v>
      </c>
      <c r="C405" s="16">
        <v>5.7500000000000002E-2</v>
      </c>
      <c r="D405" s="111">
        <v>42597</v>
      </c>
      <c r="E405" s="112">
        <f t="shared" si="6"/>
        <v>3.9972602739726026</v>
      </c>
      <c r="F405" s="16">
        <v>6.8379999999999996E-2</v>
      </c>
      <c r="H405" s="16"/>
    </row>
    <row r="406" spans="1:8" x14ac:dyDescent="0.2">
      <c r="A406" s="108" t="s">
        <v>388</v>
      </c>
      <c r="B406" s="108">
        <v>119.77</v>
      </c>
      <c r="C406" s="16">
        <v>5.7000000000000002E-2</v>
      </c>
      <c r="D406" s="111">
        <v>42597</v>
      </c>
      <c r="E406" s="112">
        <f t="shared" si="6"/>
        <v>3.9972602739726026</v>
      </c>
      <c r="F406" s="16">
        <v>1.3500000000000002E-2</v>
      </c>
      <c r="H406" s="16"/>
    </row>
    <row r="407" spans="1:8" x14ac:dyDescent="0.2">
      <c r="A407" s="108" t="s">
        <v>389</v>
      </c>
      <c r="B407" s="108">
        <v>119.16</v>
      </c>
      <c r="C407" s="16">
        <v>5.9500000000000004E-2</v>
      </c>
      <c r="D407" s="111">
        <v>42597</v>
      </c>
      <c r="E407" s="112">
        <f t="shared" si="6"/>
        <v>3.9972602739726026</v>
      </c>
      <c r="F407" s="16">
        <v>1.695E-2</v>
      </c>
      <c r="H407" s="16"/>
    </row>
    <row r="408" spans="1:8" x14ac:dyDescent="0.2">
      <c r="A408" s="108" t="s">
        <v>390</v>
      </c>
      <c r="B408" s="108">
        <v>103.32</v>
      </c>
      <c r="C408" s="16">
        <v>1.95E-2</v>
      </c>
      <c r="D408" s="111">
        <v>42597</v>
      </c>
      <c r="E408" s="112">
        <f t="shared" si="6"/>
        <v>3.9972602739726026</v>
      </c>
      <c r="F408" s="16">
        <v>1.222E-2</v>
      </c>
      <c r="H408" s="16"/>
    </row>
    <row r="409" spans="1:8" x14ac:dyDescent="0.2">
      <c r="A409" s="108" t="s">
        <v>327</v>
      </c>
      <c r="B409" s="108">
        <v>97.61</v>
      </c>
      <c r="C409" s="16">
        <v>3.5000000000000003E-2</v>
      </c>
      <c r="D409" s="111">
        <v>42597</v>
      </c>
      <c r="E409" s="112">
        <f t="shared" si="6"/>
        <v>3.9972602739726026</v>
      </c>
      <c r="F409" s="16">
        <v>4.0579999999999998E-2</v>
      </c>
      <c r="H409" s="16"/>
    </row>
    <row r="410" spans="1:8" x14ac:dyDescent="0.2">
      <c r="A410" s="108" t="s">
        <v>336</v>
      </c>
      <c r="B410" s="108">
        <v>101.51</v>
      </c>
      <c r="C410" s="16">
        <v>1.3500000000000002E-2</v>
      </c>
      <c r="D410" s="111">
        <v>42598</v>
      </c>
      <c r="E410" s="112">
        <f t="shared" si="6"/>
        <v>4</v>
      </c>
      <c r="F410" s="16">
        <v>1.0200000000000001E-2</v>
      </c>
      <c r="H410" s="16"/>
    </row>
    <row r="411" spans="1:8" x14ac:dyDescent="0.2">
      <c r="A411" s="108" t="s">
        <v>391</v>
      </c>
      <c r="B411" s="108">
        <v>103.18</v>
      </c>
      <c r="C411" s="16">
        <v>0.02</v>
      </c>
      <c r="D411" s="111">
        <v>42601</v>
      </c>
      <c r="E411" s="112">
        <f t="shared" si="6"/>
        <v>4.0082191780821921</v>
      </c>
      <c r="F411" s="16">
        <v>1.302E-2</v>
      </c>
      <c r="H411" s="16"/>
    </row>
    <row r="412" spans="1:8" x14ac:dyDescent="0.2">
      <c r="A412" s="108" t="s">
        <v>354</v>
      </c>
      <c r="B412" s="108">
        <v>121.56</v>
      </c>
      <c r="C412" s="16">
        <v>5.9000000000000004E-2</v>
      </c>
      <c r="D412" s="111">
        <v>42614</v>
      </c>
      <c r="E412" s="112">
        <f t="shared" si="6"/>
        <v>4.043835616438356</v>
      </c>
      <c r="F412" s="16">
        <v>1.214E-2</v>
      </c>
      <c r="H412" s="16"/>
    </row>
    <row r="413" spans="1:8" x14ac:dyDescent="0.2">
      <c r="A413" s="108" t="s">
        <v>392</v>
      </c>
      <c r="B413" s="108">
        <v>118.64</v>
      </c>
      <c r="C413" s="16">
        <v>5.45E-2</v>
      </c>
      <c r="D413" s="111">
        <v>42614</v>
      </c>
      <c r="E413" s="112">
        <f t="shared" si="6"/>
        <v>4.043835616438356</v>
      </c>
      <c r="F413" s="16">
        <v>1.3809999999999999E-2</v>
      </c>
      <c r="H413" s="16"/>
    </row>
    <row r="414" spans="1:8" x14ac:dyDescent="0.2">
      <c r="A414" s="108" t="s">
        <v>320</v>
      </c>
      <c r="B414" s="108">
        <v>100.96</v>
      </c>
      <c r="C414" s="16">
        <v>2.375E-2</v>
      </c>
      <c r="D414" s="111">
        <v>42621</v>
      </c>
      <c r="E414" s="112">
        <f t="shared" si="6"/>
        <v>4.0630136986301366</v>
      </c>
      <c r="F414" s="16">
        <v>2.1610000000000001E-2</v>
      </c>
      <c r="H414" s="16"/>
    </row>
    <row r="415" spans="1:8" x14ac:dyDescent="0.2">
      <c r="A415" s="108" t="s">
        <v>289</v>
      </c>
      <c r="B415" s="108">
        <v>114.42</v>
      </c>
      <c r="C415" s="16">
        <v>5.5E-2</v>
      </c>
      <c r="D415" s="111">
        <v>42625</v>
      </c>
      <c r="E415" s="112">
        <f t="shared" si="6"/>
        <v>4.0739726027397261</v>
      </c>
      <c r="F415" s="16">
        <v>2.2959999999999998E-2</v>
      </c>
      <c r="H415" s="16"/>
    </row>
    <row r="416" spans="1:8" x14ac:dyDescent="0.2">
      <c r="A416" s="108" t="s">
        <v>366</v>
      </c>
      <c r="B416" s="108">
        <v>100.86</v>
      </c>
      <c r="C416" s="16">
        <v>2.75E-2</v>
      </c>
      <c r="D416" s="111">
        <v>42627</v>
      </c>
      <c r="E416" s="112">
        <f t="shared" si="6"/>
        <v>4.0794520547945208</v>
      </c>
      <c r="F416" s="16">
        <v>2.5579999999999999E-2</v>
      </c>
      <c r="H416" s="16"/>
    </row>
    <row r="417" spans="1:8" x14ac:dyDescent="0.2">
      <c r="A417" s="108" t="s">
        <v>279</v>
      </c>
      <c r="B417" s="108">
        <v>98.3</v>
      </c>
      <c r="C417" s="16">
        <v>4.8750000000000002E-2</v>
      </c>
      <c r="D417" s="111">
        <v>42628</v>
      </c>
      <c r="E417" s="112">
        <f t="shared" si="6"/>
        <v>4.0821917808219181</v>
      </c>
      <c r="F417" s="16">
        <v>5.28E-2</v>
      </c>
      <c r="H417" s="16"/>
    </row>
    <row r="418" spans="1:8" x14ac:dyDescent="0.2">
      <c r="A418" s="108" t="s">
        <v>353</v>
      </c>
      <c r="B418" s="108">
        <v>98.49</v>
      </c>
      <c r="C418" s="16">
        <v>5.45E-2</v>
      </c>
      <c r="D418" s="111">
        <v>42628</v>
      </c>
      <c r="E418" s="112">
        <f t="shared" si="6"/>
        <v>4.0821917808219181</v>
      </c>
      <c r="F418" s="16">
        <v>5.8139999999999997E-2</v>
      </c>
      <c r="H418" s="16"/>
    </row>
    <row r="419" spans="1:8" x14ac:dyDescent="0.2">
      <c r="A419" s="108" t="s">
        <v>353</v>
      </c>
      <c r="B419" s="108">
        <v>88.44</v>
      </c>
      <c r="C419" s="16">
        <v>3.7000000000000005E-2</v>
      </c>
      <c r="D419" s="111">
        <v>42628</v>
      </c>
      <c r="E419" s="112">
        <f t="shared" si="6"/>
        <v>4.0821917808219181</v>
      </c>
      <c r="F419" s="16">
        <v>6.5500000000000003E-2</v>
      </c>
      <c r="H419" s="16"/>
    </row>
    <row r="420" spans="1:8" x14ac:dyDescent="0.2">
      <c r="A420" s="108" t="s">
        <v>251</v>
      </c>
      <c r="B420" s="108">
        <v>119.12</v>
      </c>
      <c r="C420" s="16">
        <v>5.5E-2</v>
      </c>
      <c r="D420" s="111">
        <v>42628</v>
      </c>
      <c r="E420" s="112">
        <f t="shared" si="6"/>
        <v>4.0821917808219181</v>
      </c>
      <c r="F420" s="16">
        <v>1.362E-2</v>
      </c>
      <c r="H420" s="16"/>
    </row>
    <row r="421" spans="1:8" x14ac:dyDescent="0.2">
      <c r="A421" s="108" t="s">
        <v>269</v>
      </c>
      <c r="B421" s="108">
        <v>103.37</v>
      </c>
      <c r="C421" s="16">
        <v>1.8500000000000003E-2</v>
      </c>
      <c r="D421" s="111">
        <v>42628</v>
      </c>
      <c r="E421" s="112">
        <f t="shared" si="6"/>
        <v>4.0821917808219181</v>
      </c>
      <c r="F421" s="16">
        <v>1.1259999999999999E-2</v>
      </c>
      <c r="H421" s="16"/>
    </row>
    <row r="422" spans="1:8" x14ac:dyDescent="0.2">
      <c r="A422" s="108" t="s">
        <v>336</v>
      </c>
      <c r="B422" s="108">
        <v>120.59</v>
      </c>
      <c r="C422" s="16">
        <v>5.6250000000000001E-2</v>
      </c>
      <c r="D422" s="111">
        <v>42628</v>
      </c>
      <c r="E422" s="112">
        <f t="shared" si="6"/>
        <v>4.0821917808219181</v>
      </c>
      <c r="F422" s="16">
        <v>1.1890000000000001E-2</v>
      </c>
      <c r="H422" s="16"/>
    </row>
    <row r="423" spans="1:8" x14ac:dyDescent="0.2">
      <c r="A423" s="108" t="s">
        <v>226</v>
      </c>
      <c r="B423" s="108">
        <v>104.21</v>
      </c>
      <c r="C423" s="16">
        <v>0.03</v>
      </c>
      <c r="D423" s="111">
        <v>42628</v>
      </c>
      <c r="E423" s="112">
        <f t="shared" si="6"/>
        <v>4.0821917808219181</v>
      </c>
      <c r="F423" s="16">
        <v>2.0720000000000002E-2</v>
      </c>
      <c r="H423" s="16"/>
    </row>
    <row r="424" spans="1:8" x14ac:dyDescent="0.2">
      <c r="A424" s="108" t="s">
        <v>364</v>
      </c>
      <c r="B424" s="108">
        <v>104.15</v>
      </c>
      <c r="C424" s="16">
        <v>7.8E-2</v>
      </c>
      <c r="D424" s="111">
        <v>42628</v>
      </c>
      <c r="E424" s="112">
        <f t="shared" si="6"/>
        <v>4.0821917808219181</v>
      </c>
      <c r="F424" s="16">
        <v>6.7680000000000004E-2</v>
      </c>
      <c r="H424" s="16"/>
    </row>
    <row r="425" spans="1:8" x14ac:dyDescent="0.2">
      <c r="A425" s="108" t="s">
        <v>232</v>
      </c>
      <c r="B425" s="108">
        <v>108.84</v>
      </c>
      <c r="C425" s="16">
        <v>5.1249999999999997E-2</v>
      </c>
      <c r="D425" s="111">
        <v>42628</v>
      </c>
      <c r="E425" s="112">
        <f t="shared" si="6"/>
        <v>4.0821917808219181</v>
      </c>
      <c r="F425" s="16">
        <v>3.1210000000000002E-2</v>
      </c>
      <c r="H425" s="16"/>
    </row>
    <row r="426" spans="1:8" x14ac:dyDescent="0.2">
      <c r="A426" s="108" t="s">
        <v>277</v>
      </c>
      <c r="B426" s="108">
        <v>100.86</v>
      </c>
      <c r="C426" s="16">
        <v>2.7999999999999997E-2</v>
      </c>
      <c r="D426" s="111">
        <v>42632</v>
      </c>
      <c r="E426" s="112">
        <f t="shared" si="6"/>
        <v>4.0931506849315067</v>
      </c>
      <c r="F426" s="16">
        <v>2.6089999999999999E-2</v>
      </c>
      <c r="H426" s="16"/>
    </row>
    <row r="427" spans="1:8" x14ac:dyDescent="0.2">
      <c r="A427" s="108" t="s">
        <v>328</v>
      </c>
      <c r="B427" s="108">
        <v>103.09</v>
      </c>
      <c r="C427" s="16">
        <v>2.2499999999999999E-2</v>
      </c>
      <c r="D427" s="111">
        <v>42633</v>
      </c>
      <c r="E427" s="112">
        <f t="shared" si="6"/>
        <v>4.095890410958904</v>
      </c>
      <c r="F427" s="16">
        <v>1.5800000000000002E-2</v>
      </c>
      <c r="H427" s="16"/>
    </row>
    <row r="428" spans="1:8" x14ac:dyDescent="0.2">
      <c r="A428" s="108" t="s">
        <v>393</v>
      </c>
      <c r="B428" s="108">
        <v>103.58</v>
      </c>
      <c r="C428" s="16">
        <v>0.02</v>
      </c>
      <c r="D428" s="111">
        <v>42643</v>
      </c>
      <c r="E428" s="112">
        <f t="shared" si="6"/>
        <v>4.1232876712328768</v>
      </c>
      <c r="F428" s="16">
        <v>1.2330000000000001E-2</v>
      </c>
      <c r="H428" s="16"/>
    </row>
    <row r="429" spans="1:8" x14ac:dyDescent="0.2">
      <c r="A429" s="108" t="s">
        <v>231</v>
      </c>
      <c r="B429" s="108">
        <v>105.22</v>
      </c>
      <c r="C429" s="16">
        <v>5.7500000000000002E-2</v>
      </c>
      <c r="D429" s="111">
        <v>42644</v>
      </c>
      <c r="E429" s="112">
        <f t="shared" si="6"/>
        <v>4.1260273972602741</v>
      </c>
      <c r="F429" s="16">
        <v>4.5339999999999998E-2</v>
      </c>
      <c r="H429" s="16"/>
    </row>
    <row r="430" spans="1:8" x14ac:dyDescent="0.2">
      <c r="A430" s="108" t="s">
        <v>394</v>
      </c>
      <c r="B430" s="108">
        <v>103.68</v>
      </c>
      <c r="C430" s="16">
        <v>1.95E-2</v>
      </c>
      <c r="D430" s="111">
        <v>42644</v>
      </c>
      <c r="E430" s="112">
        <f t="shared" si="6"/>
        <v>4.1260273972602741</v>
      </c>
      <c r="F430" s="16">
        <v>1.1650000000000001E-2</v>
      </c>
      <c r="H430" s="16"/>
    </row>
    <row r="431" spans="1:8" x14ac:dyDescent="0.2">
      <c r="A431" s="108" t="s">
        <v>319</v>
      </c>
      <c r="B431" s="108">
        <v>114.7</v>
      </c>
      <c r="C431" s="16">
        <v>5.9299999999999999E-2</v>
      </c>
      <c r="D431" s="111">
        <v>42644</v>
      </c>
      <c r="E431" s="112">
        <f t="shared" si="6"/>
        <v>4.1260273972602741</v>
      </c>
      <c r="F431" s="16">
        <v>2.666E-2</v>
      </c>
      <c r="H431" s="16"/>
    </row>
    <row r="432" spans="1:8" x14ac:dyDescent="0.2">
      <c r="A432" s="108" t="s">
        <v>395</v>
      </c>
      <c r="B432" s="108">
        <v>114</v>
      </c>
      <c r="C432" s="16">
        <v>6.1249999999999999E-2</v>
      </c>
      <c r="D432" s="111">
        <v>42649</v>
      </c>
      <c r="E432" s="112">
        <f t="shared" si="6"/>
        <v>4.13972602739726</v>
      </c>
      <c r="F432" s="16">
        <v>2.9990000000000003E-2</v>
      </c>
      <c r="H432" s="16"/>
    </row>
    <row r="433" spans="1:8" x14ac:dyDescent="0.2">
      <c r="A433" s="108" t="s">
        <v>222</v>
      </c>
      <c r="B433" s="108">
        <v>96.17</v>
      </c>
      <c r="C433" s="16">
        <v>5.6250000000000001E-2</v>
      </c>
      <c r="D433" s="111">
        <v>42657</v>
      </c>
      <c r="E433" s="112">
        <f t="shared" si="6"/>
        <v>4.161643835616438</v>
      </c>
      <c r="F433" s="16">
        <v>6.5540000000000001E-2</v>
      </c>
      <c r="H433" s="16"/>
    </row>
    <row r="434" spans="1:8" x14ac:dyDescent="0.2">
      <c r="A434" s="108" t="s">
        <v>247</v>
      </c>
      <c r="B434" s="108">
        <v>115.81</v>
      </c>
      <c r="C434" s="16">
        <v>5.0499999999999996E-2</v>
      </c>
      <c r="D434" s="111">
        <v>42658</v>
      </c>
      <c r="E434" s="112">
        <f t="shared" si="6"/>
        <v>4.1643835616438354</v>
      </c>
      <c r="F434" s="16">
        <v>1.6590000000000001E-2</v>
      </c>
      <c r="H434" s="16"/>
    </row>
    <row r="435" spans="1:8" x14ac:dyDescent="0.2">
      <c r="A435" s="108" t="s">
        <v>396</v>
      </c>
      <c r="B435" s="108">
        <v>119.4</v>
      </c>
      <c r="C435" s="16">
        <v>5.6250000000000001E-2</v>
      </c>
      <c r="D435" s="111">
        <v>42658</v>
      </c>
      <c r="E435" s="112">
        <f t="shared" si="6"/>
        <v>4.1643835616438354</v>
      </c>
      <c r="F435" s="16">
        <v>1.482E-2</v>
      </c>
      <c r="H435" s="16"/>
    </row>
    <row r="436" spans="1:8" x14ac:dyDescent="0.2">
      <c r="A436" s="108" t="s">
        <v>317</v>
      </c>
      <c r="B436" s="108">
        <v>109.46</v>
      </c>
      <c r="C436" s="16">
        <v>5.6250000000000001E-2</v>
      </c>
      <c r="D436" s="111">
        <v>42658</v>
      </c>
      <c r="E436" s="112">
        <f t="shared" si="6"/>
        <v>4.1643835616438354</v>
      </c>
      <c r="F436" s="16">
        <v>3.4950000000000002E-2</v>
      </c>
      <c r="H436" s="16"/>
    </row>
    <row r="437" spans="1:8" x14ac:dyDescent="0.2">
      <c r="A437" s="108" t="s">
        <v>397</v>
      </c>
      <c r="B437" s="108">
        <v>119.31</v>
      </c>
      <c r="C437" s="16">
        <v>5.7500000000000002E-2</v>
      </c>
      <c r="D437" s="111">
        <v>42660</v>
      </c>
      <c r="E437" s="112">
        <f t="shared" si="6"/>
        <v>4.1698630136986301</v>
      </c>
      <c r="F437" s="16">
        <v>1.6160000000000001E-2</v>
      </c>
      <c r="H437" s="16"/>
    </row>
    <row r="438" spans="1:8" x14ac:dyDescent="0.2">
      <c r="A438" s="108" t="s">
        <v>221</v>
      </c>
      <c r="B438" s="108">
        <v>100.44</v>
      </c>
      <c r="C438" s="16">
        <v>5.5999999999999994E-2</v>
      </c>
      <c r="D438" s="111">
        <v>42661</v>
      </c>
      <c r="E438" s="112">
        <f t="shared" si="6"/>
        <v>4.1726027397260275</v>
      </c>
      <c r="F438" s="16">
        <v>5.4939999999999996E-2</v>
      </c>
      <c r="H438" s="16"/>
    </row>
    <row r="439" spans="1:8" x14ac:dyDescent="0.2">
      <c r="A439" s="108" t="s">
        <v>260</v>
      </c>
      <c r="B439" s="108">
        <v>98.46</v>
      </c>
      <c r="C439" s="16">
        <v>5.7500000000000002E-2</v>
      </c>
      <c r="D439" s="111">
        <v>42661</v>
      </c>
      <c r="E439" s="112">
        <f t="shared" si="6"/>
        <v>4.1726027397260275</v>
      </c>
      <c r="F439" s="16">
        <v>6.1170000000000002E-2</v>
      </c>
      <c r="H439" s="16"/>
    </row>
    <row r="440" spans="1:8" x14ac:dyDescent="0.2">
      <c r="A440" s="108" t="s">
        <v>305</v>
      </c>
      <c r="B440" s="108">
        <v>102.17</v>
      </c>
      <c r="C440" s="16">
        <v>2.2480000000000003E-2</v>
      </c>
      <c r="D440" s="111">
        <v>42675</v>
      </c>
      <c r="E440" s="112">
        <f t="shared" si="6"/>
        <v>4.2109589041095887</v>
      </c>
      <c r="F440" s="16">
        <v>1.7849999999999998E-2</v>
      </c>
      <c r="H440" s="16"/>
    </row>
    <row r="441" spans="1:8" x14ac:dyDescent="0.2">
      <c r="A441" s="108" t="s">
        <v>257</v>
      </c>
      <c r="B441" s="108">
        <v>101.48</v>
      </c>
      <c r="C441" s="16">
        <v>0.02</v>
      </c>
      <c r="D441" s="111">
        <v>42675</v>
      </c>
      <c r="E441" s="112">
        <f t="shared" si="6"/>
        <v>4.2109589041095887</v>
      </c>
      <c r="F441" s="16">
        <v>1.685E-2</v>
      </c>
      <c r="H441" s="16"/>
    </row>
    <row r="442" spans="1:8" x14ac:dyDescent="0.2">
      <c r="A442" s="108" t="s">
        <v>398</v>
      </c>
      <c r="B442" s="108">
        <v>102.18</v>
      </c>
      <c r="C442" s="16">
        <v>1.7500000000000002E-2</v>
      </c>
      <c r="D442" s="111">
        <v>42682</v>
      </c>
      <c r="E442" s="112">
        <f t="shared" si="6"/>
        <v>4.2301369863013702</v>
      </c>
      <c r="F442" s="16">
        <v>1.2920000000000001E-2</v>
      </c>
      <c r="H442" s="16"/>
    </row>
    <row r="443" spans="1:8" x14ac:dyDescent="0.2">
      <c r="A443" s="108" t="s">
        <v>399</v>
      </c>
      <c r="B443" s="108">
        <v>101.95</v>
      </c>
      <c r="C443" s="16">
        <v>2.4E-2</v>
      </c>
      <c r="D443" s="111">
        <v>42684</v>
      </c>
      <c r="E443" s="112">
        <f t="shared" si="6"/>
        <v>4.2356164383561641</v>
      </c>
      <c r="F443" s="16">
        <v>1.984E-2</v>
      </c>
      <c r="H443" s="16"/>
    </row>
    <row r="444" spans="1:8" x14ac:dyDescent="0.2">
      <c r="A444" s="108" t="s">
        <v>347</v>
      </c>
      <c r="B444" s="108">
        <v>100.7</v>
      </c>
      <c r="C444" s="16">
        <v>2.5000000000000001E-2</v>
      </c>
      <c r="D444" s="111">
        <v>42689</v>
      </c>
      <c r="E444" s="112">
        <f t="shared" si="6"/>
        <v>4.2493150684931509</v>
      </c>
      <c r="F444" s="16">
        <v>2.3479999999999997E-2</v>
      </c>
      <c r="H444" s="16"/>
    </row>
    <row r="445" spans="1:8" x14ac:dyDescent="0.2">
      <c r="A445" s="108" t="s">
        <v>353</v>
      </c>
      <c r="B445" s="108">
        <v>94.01</v>
      </c>
      <c r="C445" s="16">
        <v>3.5499999999999997E-2</v>
      </c>
      <c r="D445" s="111">
        <v>42689</v>
      </c>
      <c r="E445" s="112">
        <f t="shared" si="6"/>
        <v>4.2493150684931509</v>
      </c>
      <c r="F445" s="16">
        <v>4.9259999999999998E-2</v>
      </c>
      <c r="H445" s="16"/>
    </row>
    <row r="446" spans="1:8" x14ac:dyDescent="0.2">
      <c r="A446" s="108" t="s">
        <v>322</v>
      </c>
      <c r="B446" s="108">
        <v>112.83</v>
      </c>
      <c r="C446" s="16">
        <v>3.7499999999999999E-2</v>
      </c>
      <c r="D446" s="111">
        <v>42694</v>
      </c>
      <c r="E446" s="112">
        <f t="shared" si="6"/>
        <v>4.2630136986301368</v>
      </c>
      <c r="F446" s="16">
        <v>1.091E-2</v>
      </c>
      <c r="H446" s="16"/>
    </row>
    <row r="447" spans="1:8" x14ac:dyDescent="0.2">
      <c r="A447" s="108" t="s">
        <v>276</v>
      </c>
      <c r="B447" s="108">
        <v>118.32</v>
      </c>
      <c r="C447" s="16">
        <v>5.1249999999999997E-2</v>
      </c>
      <c r="D447" s="111">
        <v>42705</v>
      </c>
      <c r="E447" s="112">
        <f t="shared" si="6"/>
        <v>4.2931506849315069</v>
      </c>
      <c r="F447" s="16">
        <v>1.3260000000000001E-2</v>
      </c>
      <c r="H447" s="16"/>
    </row>
    <row r="448" spans="1:8" x14ac:dyDescent="0.2">
      <c r="A448" s="108" t="s">
        <v>400</v>
      </c>
      <c r="B448" s="108">
        <v>117.34</v>
      </c>
      <c r="C448" s="16">
        <v>5.2999999999999999E-2</v>
      </c>
      <c r="D448" s="111">
        <v>42705</v>
      </c>
      <c r="E448" s="112">
        <f t="shared" si="6"/>
        <v>4.2931506849315069</v>
      </c>
      <c r="F448" s="16">
        <v>1.6709999999999999E-2</v>
      </c>
      <c r="H448" s="16"/>
    </row>
    <row r="449" spans="1:8" x14ac:dyDescent="0.2">
      <c r="A449" s="108" t="s">
        <v>239</v>
      </c>
      <c r="B449" s="108">
        <v>118.92</v>
      </c>
      <c r="C449" s="16">
        <v>5.2499999999999998E-2</v>
      </c>
      <c r="D449" s="111">
        <v>42719</v>
      </c>
      <c r="E449" s="112">
        <f t="shared" si="6"/>
        <v>4.3315068493150681</v>
      </c>
      <c r="F449" s="16">
        <v>1.353E-2</v>
      </c>
      <c r="H449" s="16"/>
    </row>
    <row r="450" spans="1:8" x14ac:dyDescent="0.2">
      <c r="A450" s="108" t="s">
        <v>260</v>
      </c>
      <c r="B450" s="108">
        <v>96.84</v>
      </c>
      <c r="C450" s="16">
        <v>5.45E-2</v>
      </c>
      <c r="D450" s="111">
        <v>42744</v>
      </c>
      <c r="E450" s="112">
        <f t="shared" si="6"/>
        <v>4.4000000000000004</v>
      </c>
      <c r="F450" s="16">
        <v>6.1799999999999994E-2</v>
      </c>
      <c r="H450" s="16"/>
    </row>
    <row r="451" spans="1:8" x14ac:dyDescent="0.2">
      <c r="A451" s="108" t="s">
        <v>401</v>
      </c>
      <c r="B451" s="108">
        <v>121.52</v>
      </c>
      <c r="C451" s="16">
        <v>5.6250000000000001E-2</v>
      </c>
      <c r="D451" s="111">
        <v>42750</v>
      </c>
      <c r="E451" s="112">
        <f t="shared" si="6"/>
        <v>4.4164383561643836</v>
      </c>
      <c r="F451" s="16">
        <v>1.2709999999999999E-2</v>
      </c>
      <c r="H451" s="16"/>
    </row>
    <row r="452" spans="1:8" x14ac:dyDescent="0.2">
      <c r="A452" s="108" t="s">
        <v>231</v>
      </c>
      <c r="B452" s="108">
        <v>100.96</v>
      </c>
      <c r="C452" s="16">
        <v>5.6250000000000001E-2</v>
      </c>
      <c r="D452" s="111">
        <v>42750</v>
      </c>
      <c r="E452" s="112">
        <f t="shared" ref="E452:E515" si="7">(D452-DATE(2012,8,17))/365</f>
        <v>4.4164383561643836</v>
      </c>
      <c r="F452" s="16">
        <v>5.4059999999999997E-2</v>
      </c>
      <c r="H452" s="16"/>
    </row>
    <row r="453" spans="1:8" x14ac:dyDescent="0.2">
      <c r="A453" s="108" t="s">
        <v>402</v>
      </c>
      <c r="B453" s="108">
        <v>107.28</v>
      </c>
      <c r="C453" s="16">
        <v>5.5500000000000001E-2</v>
      </c>
      <c r="D453" s="111">
        <v>42757</v>
      </c>
      <c r="E453" s="112">
        <f t="shared" si="7"/>
        <v>4.4356164383561643</v>
      </c>
      <c r="F453" s="16">
        <v>3.9699999999999999E-2</v>
      </c>
      <c r="H453" s="16"/>
    </row>
    <row r="454" spans="1:8" x14ac:dyDescent="0.2">
      <c r="A454" s="108" t="s">
        <v>373</v>
      </c>
      <c r="B454" s="108">
        <v>113.94</v>
      </c>
      <c r="C454" s="16">
        <v>6.25E-2</v>
      </c>
      <c r="D454" s="111">
        <v>42758</v>
      </c>
      <c r="E454" s="112">
        <f t="shared" si="7"/>
        <v>4.4383561643835616</v>
      </c>
      <c r="F454" s="16">
        <v>3.2820000000000002E-2</v>
      </c>
      <c r="H454" s="16"/>
    </row>
    <row r="455" spans="1:8" x14ac:dyDescent="0.2">
      <c r="A455" s="108" t="s">
        <v>265</v>
      </c>
      <c r="B455" s="108">
        <v>102.54</v>
      </c>
      <c r="C455" s="16">
        <v>2.7999999999999997E-2</v>
      </c>
      <c r="D455" s="111">
        <v>42765</v>
      </c>
      <c r="E455" s="112">
        <f t="shared" si="7"/>
        <v>4.4575342465753423</v>
      </c>
      <c r="F455" s="16">
        <v>2.2749999999999999E-2</v>
      </c>
      <c r="H455" s="16"/>
    </row>
    <row r="456" spans="1:8" x14ac:dyDescent="0.2">
      <c r="A456" s="108" t="s">
        <v>331</v>
      </c>
      <c r="B456" s="108">
        <v>109.75</v>
      </c>
      <c r="C456" s="16">
        <v>5.6250000000000001E-2</v>
      </c>
      <c r="D456" s="111">
        <v>42767</v>
      </c>
      <c r="E456" s="112">
        <f t="shared" si="7"/>
        <v>4.463013698630137</v>
      </c>
      <c r="F456" s="16">
        <v>3.542E-2</v>
      </c>
      <c r="H456" s="16"/>
    </row>
    <row r="457" spans="1:8" x14ac:dyDescent="0.2">
      <c r="A457" s="108" t="s">
        <v>229</v>
      </c>
      <c r="B457" s="108">
        <v>103.8</v>
      </c>
      <c r="C457" s="16">
        <v>5.5E-2</v>
      </c>
      <c r="D457" s="111">
        <v>42781</v>
      </c>
      <c r="E457" s="112">
        <f t="shared" si="7"/>
        <v>4.5013698630136982</v>
      </c>
      <c r="F457" s="16">
        <v>4.6679999999999999E-2</v>
      </c>
      <c r="H457" s="16"/>
    </row>
    <row r="458" spans="1:8" x14ac:dyDescent="0.2">
      <c r="A458" s="108" t="s">
        <v>403</v>
      </c>
      <c r="B458" s="108">
        <v>114.5</v>
      </c>
      <c r="C458" s="16">
        <v>5.1500000000000004E-2</v>
      </c>
      <c r="D458" s="111">
        <v>42781</v>
      </c>
      <c r="E458" s="112">
        <f t="shared" si="7"/>
        <v>4.5013698630136982</v>
      </c>
      <c r="F458" s="16">
        <v>2.1869999999999997E-2</v>
      </c>
      <c r="H458" s="16"/>
    </row>
    <row r="459" spans="1:8" x14ac:dyDescent="0.2">
      <c r="A459" s="108" t="s">
        <v>309</v>
      </c>
      <c r="B459" s="108">
        <v>102.11</v>
      </c>
      <c r="C459" s="16">
        <v>1.7500000000000002E-2</v>
      </c>
      <c r="D459" s="111">
        <v>42781</v>
      </c>
      <c r="E459" s="112">
        <f t="shared" si="7"/>
        <v>4.5013698630136982</v>
      </c>
      <c r="F459" s="16">
        <v>1.329E-2</v>
      </c>
      <c r="H459" s="16"/>
    </row>
    <row r="460" spans="1:8" x14ac:dyDescent="0.2">
      <c r="A460" s="108" t="s">
        <v>312</v>
      </c>
      <c r="B460" s="108">
        <v>118.66</v>
      </c>
      <c r="C460" s="16">
        <v>5.6250000000000001E-2</v>
      </c>
      <c r="D460" s="111">
        <v>42793</v>
      </c>
      <c r="E460" s="112">
        <f t="shared" si="7"/>
        <v>4.5342465753424657</v>
      </c>
      <c r="F460" s="16">
        <v>1.8689999999999998E-2</v>
      </c>
      <c r="H460" s="16"/>
    </row>
    <row r="461" spans="1:8" x14ac:dyDescent="0.2">
      <c r="A461" s="108" t="s">
        <v>226</v>
      </c>
      <c r="B461" s="108">
        <v>116.22</v>
      </c>
      <c r="C461" s="16">
        <v>5.4000000000000006E-2</v>
      </c>
      <c r="D461" s="111">
        <v>42795</v>
      </c>
      <c r="E461" s="112">
        <f t="shared" si="7"/>
        <v>4.5397260273972604</v>
      </c>
      <c r="F461" s="16">
        <v>2.1179999999999997E-2</v>
      </c>
      <c r="H461" s="16"/>
    </row>
    <row r="462" spans="1:8" x14ac:dyDescent="0.2">
      <c r="A462" s="108" t="s">
        <v>348</v>
      </c>
      <c r="B462" s="108">
        <v>110.23</v>
      </c>
      <c r="C462" s="16">
        <v>3.15E-2</v>
      </c>
      <c r="D462" s="111">
        <v>42808</v>
      </c>
      <c r="E462" s="112">
        <f t="shared" si="7"/>
        <v>4.5753424657534243</v>
      </c>
      <c r="F462" s="16">
        <v>1.149E-2</v>
      </c>
      <c r="H462" s="16"/>
    </row>
    <row r="463" spans="1:8" x14ac:dyDescent="0.2">
      <c r="A463" s="108" t="s">
        <v>222</v>
      </c>
      <c r="B463" s="108">
        <v>93.21</v>
      </c>
      <c r="C463" s="16">
        <v>5.4199999999999998E-2</v>
      </c>
      <c r="D463" s="111">
        <v>42809</v>
      </c>
      <c r="E463" s="112">
        <f t="shared" si="7"/>
        <v>4.5780821917808217</v>
      </c>
      <c r="F463" s="16">
        <v>6.9739999999999996E-2</v>
      </c>
      <c r="H463" s="16"/>
    </row>
    <row r="464" spans="1:8" x14ac:dyDescent="0.2">
      <c r="A464" s="108" t="s">
        <v>404</v>
      </c>
      <c r="B464" s="108">
        <v>122.42</v>
      </c>
      <c r="C464" s="16">
        <v>5.5E-2</v>
      </c>
      <c r="D464" s="111">
        <v>42809</v>
      </c>
      <c r="E464" s="112">
        <f t="shared" si="7"/>
        <v>4.5780821917808217</v>
      </c>
      <c r="F464" s="16">
        <v>1.1220000000000001E-2</v>
      </c>
      <c r="H464" s="16"/>
    </row>
    <row r="465" spans="1:8" x14ac:dyDescent="0.2">
      <c r="A465" s="108" t="s">
        <v>405</v>
      </c>
      <c r="B465" s="108">
        <v>120.58</v>
      </c>
      <c r="C465" s="16">
        <v>5.2999999999999999E-2</v>
      </c>
      <c r="D465" s="111">
        <v>42809</v>
      </c>
      <c r="E465" s="112">
        <f t="shared" si="7"/>
        <v>4.5780821917808217</v>
      </c>
      <c r="F465" s="16">
        <v>1.264E-2</v>
      </c>
      <c r="H465" s="16"/>
    </row>
    <row r="466" spans="1:8" x14ac:dyDescent="0.2">
      <c r="A466" s="108" t="s">
        <v>257</v>
      </c>
      <c r="B466" s="108">
        <v>118.94</v>
      </c>
      <c r="C466" s="16">
        <v>5.5E-2</v>
      </c>
      <c r="D466" s="111">
        <v>42826</v>
      </c>
      <c r="E466" s="112">
        <f t="shared" si="7"/>
        <v>4.624657534246575</v>
      </c>
      <c r="F466" s="16">
        <v>1.762E-2</v>
      </c>
      <c r="H466" s="16"/>
    </row>
    <row r="467" spans="1:8" x14ac:dyDescent="0.2">
      <c r="A467" s="108" t="s">
        <v>273</v>
      </c>
      <c r="B467" s="108">
        <v>116.94</v>
      </c>
      <c r="C467" s="16">
        <v>5.45E-2</v>
      </c>
      <c r="D467" s="111">
        <v>42835</v>
      </c>
      <c r="E467" s="112">
        <f t="shared" si="7"/>
        <v>4.6493150684931503</v>
      </c>
      <c r="F467" s="16">
        <v>2.0910000000000002E-2</v>
      </c>
      <c r="H467" s="16"/>
    </row>
    <row r="468" spans="1:8" x14ac:dyDescent="0.2">
      <c r="A468" s="108" t="s">
        <v>260</v>
      </c>
      <c r="B468" s="108">
        <v>95.1</v>
      </c>
      <c r="C468" s="16">
        <v>5.5500000000000001E-2</v>
      </c>
      <c r="D468" s="111">
        <v>42852</v>
      </c>
      <c r="E468" s="112">
        <f t="shared" si="7"/>
        <v>4.6958904109589037</v>
      </c>
      <c r="F468" s="16">
        <v>6.6420000000000007E-2</v>
      </c>
      <c r="H468" s="16"/>
    </row>
    <row r="469" spans="1:8" x14ac:dyDescent="0.2">
      <c r="A469" s="108" t="s">
        <v>315</v>
      </c>
      <c r="B469" s="108">
        <v>117.99</v>
      </c>
      <c r="C469" s="16">
        <v>5.6500000000000002E-2</v>
      </c>
      <c r="D469" s="111">
        <v>42856</v>
      </c>
      <c r="E469" s="112">
        <f t="shared" si="7"/>
        <v>4.7068493150684931</v>
      </c>
      <c r="F469" s="16">
        <v>2.1160000000000002E-2</v>
      </c>
      <c r="H469" s="16"/>
    </row>
    <row r="470" spans="1:8" x14ac:dyDescent="0.2">
      <c r="A470" s="108" t="s">
        <v>384</v>
      </c>
      <c r="B470" s="108">
        <v>92.57</v>
      </c>
      <c r="C470" s="16">
        <v>5.7000000000000002E-2</v>
      </c>
      <c r="D470" s="111">
        <v>42857</v>
      </c>
      <c r="E470" s="112">
        <f t="shared" si="7"/>
        <v>4.7095890410958905</v>
      </c>
      <c r="F470" s="16">
        <v>7.3859999999999995E-2</v>
      </c>
      <c r="H470" s="16"/>
    </row>
    <row r="471" spans="1:8" x14ac:dyDescent="0.2">
      <c r="A471" s="108" t="s">
        <v>376</v>
      </c>
      <c r="B471" s="108">
        <v>96.27</v>
      </c>
      <c r="C471" s="16">
        <v>0.04</v>
      </c>
      <c r="D471" s="111">
        <v>42870</v>
      </c>
      <c r="E471" s="112">
        <f t="shared" si="7"/>
        <v>4.7452054794520544</v>
      </c>
      <c r="F471" s="16">
        <v>4.7779999999999996E-2</v>
      </c>
      <c r="H471" s="16"/>
    </row>
    <row r="472" spans="1:8" x14ac:dyDescent="0.2">
      <c r="A472" s="108" t="s">
        <v>347</v>
      </c>
      <c r="B472" s="108">
        <v>116.99</v>
      </c>
      <c r="C472" s="16">
        <v>5.8499999999999996E-2</v>
      </c>
      <c r="D472" s="111">
        <v>42887</v>
      </c>
      <c r="E472" s="112">
        <f t="shared" si="7"/>
        <v>4.7917808219178086</v>
      </c>
      <c r="F472" s="16">
        <v>2.5219999999999999E-2</v>
      </c>
      <c r="H472" s="16"/>
    </row>
    <row r="473" spans="1:8" x14ac:dyDescent="0.2">
      <c r="A473" s="108" t="s">
        <v>386</v>
      </c>
      <c r="B473" s="108">
        <v>96.78</v>
      </c>
      <c r="C473" s="16">
        <v>6.0999999999999999E-2</v>
      </c>
      <c r="D473" s="111">
        <v>42901</v>
      </c>
      <c r="E473" s="112">
        <f t="shared" si="7"/>
        <v>4.8301369863013699</v>
      </c>
      <c r="F473" s="16">
        <v>6.8080000000000002E-2</v>
      </c>
      <c r="H473" s="16"/>
    </row>
    <row r="474" spans="1:8" x14ac:dyDescent="0.2">
      <c r="A474" s="108" t="s">
        <v>224</v>
      </c>
      <c r="B474" s="108">
        <v>124.21</v>
      </c>
      <c r="C474" s="16">
        <v>6.6000000000000003E-2</v>
      </c>
      <c r="D474" s="111">
        <v>42901</v>
      </c>
      <c r="E474" s="112">
        <f t="shared" si="7"/>
        <v>4.8301369863013699</v>
      </c>
      <c r="F474" s="16">
        <v>1.966E-2</v>
      </c>
      <c r="H474" s="16"/>
    </row>
    <row r="475" spans="1:8" x14ac:dyDescent="0.2">
      <c r="A475" s="108" t="s">
        <v>234</v>
      </c>
      <c r="B475" s="108">
        <v>113</v>
      </c>
      <c r="C475" s="16">
        <v>6.0999999999999999E-2</v>
      </c>
      <c r="D475" s="111">
        <v>42901</v>
      </c>
      <c r="E475" s="112">
        <f t="shared" si="7"/>
        <v>4.8301369863013699</v>
      </c>
      <c r="F475" s="16">
        <v>3.4980000000000004E-2</v>
      </c>
      <c r="H475" s="16"/>
    </row>
    <row r="476" spans="1:8" x14ac:dyDescent="0.2">
      <c r="A476" s="108" t="s">
        <v>318</v>
      </c>
      <c r="B476" s="108">
        <v>117.08</v>
      </c>
      <c r="C476" s="16">
        <v>5.8749999999999997E-2</v>
      </c>
      <c r="D476" s="111">
        <v>42901</v>
      </c>
      <c r="E476" s="112">
        <f t="shared" si="7"/>
        <v>4.8301369863013699</v>
      </c>
      <c r="F476" s="16">
        <v>2.5479999999999999E-2</v>
      </c>
      <c r="H476" s="16"/>
    </row>
    <row r="477" spans="1:8" x14ac:dyDescent="0.2">
      <c r="A477" s="108" t="s">
        <v>219</v>
      </c>
      <c r="B477" s="108">
        <v>111.05</v>
      </c>
      <c r="C477" s="16">
        <v>6.1249999999999999E-2</v>
      </c>
      <c r="D477" s="111">
        <v>42913</v>
      </c>
      <c r="E477" s="112">
        <f t="shared" si="7"/>
        <v>4.8630136986301373</v>
      </c>
      <c r="F477" s="16">
        <v>3.9E-2</v>
      </c>
      <c r="H477" s="16"/>
    </row>
    <row r="478" spans="1:8" x14ac:dyDescent="0.2">
      <c r="A478" s="108" t="s">
        <v>372</v>
      </c>
      <c r="B478" s="108">
        <v>111.12</v>
      </c>
      <c r="C478" s="16">
        <v>4.9000000000000002E-2</v>
      </c>
      <c r="D478" s="111">
        <v>42916</v>
      </c>
      <c r="E478" s="112">
        <f t="shared" si="7"/>
        <v>4.8712328767123285</v>
      </c>
      <c r="F478" s="16">
        <v>2.7370000000000002E-2</v>
      </c>
      <c r="H478" s="16"/>
    </row>
    <row r="479" spans="1:8" x14ac:dyDescent="0.2">
      <c r="A479" s="108" t="s">
        <v>355</v>
      </c>
      <c r="B479" s="108">
        <v>121.77</v>
      </c>
      <c r="C479" s="16">
        <v>6.0999999999999999E-2</v>
      </c>
      <c r="D479" s="111">
        <v>42917</v>
      </c>
      <c r="E479" s="112">
        <f t="shared" si="7"/>
        <v>4.8739726027397259</v>
      </c>
      <c r="F479" s="16">
        <v>1.9640000000000001E-2</v>
      </c>
      <c r="H479" s="16"/>
    </row>
    <row r="480" spans="1:8" x14ac:dyDescent="0.2">
      <c r="A480" s="108" t="s">
        <v>406</v>
      </c>
      <c r="B480" s="108">
        <v>109.2</v>
      </c>
      <c r="C480" s="16">
        <v>3.0499999999999999E-2</v>
      </c>
      <c r="D480" s="111">
        <v>42931</v>
      </c>
      <c r="E480" s="112">
        <f t="shared" si="7"/>
        <v>4.912328767123288</v>
      </c>
      <c r="F480" s="16">
        <v>1.345E-2</v>
      </c>
      <c r="H480" s="16"/>
    </row>
    <row r="481" spans="1:8" x14ac:dyDescent="0.2">
      <c r="A481" s="108" t="s">
        <v>218</v>
      </c>
      <c r="B481" s="108">
        <v>110.67</v>
      </c>
      <c r="C481" s="16">
        <v>0.06</v>
      </c>
      <c r="D481" s="111">
        <v>42931</v>
      </c>
      <c r="E481" s="112">
        <f t="shared" si="7"/>
        <v>4.912328767123288</v>
      </c>
      <c r="F481" s="16">
        <v>3.8699999999999998E-2</v>
      </c>
      <c r="H481" s="16"/>
    </row>
    <row r="482" spans="1:8" x14ac:dyDescent="0.2">
      <c r="A482" s="108" t="s">
        <v>353</v>
      </c>
      <c r="B482" s="108">
        <v>100.53</v>
      </c>
      <c r="C482" s="16">
        <v>6.0499999999999998E-2</v>
      </c>
      <c r="D482" s="111">
        <v>42962</v>
      </c>
      <c r="E482" s="112">
        <f t="shared" si="7"/>
        <v>4.9972602739726026</v>
      </c>
      <c r="F482" s="16">
        <v>5.9359999999999996E-2</v>
      </c>
      <c r="H482" s="16"/>
    </row>
    <row r="483" spans="1:8" x14ac:dyDescent="0.2">
      <c r="A483" s="108" t="s">
        <v>353</v>
      </c>
      <c r="B483" s="108">
        <v>101.24</v>
      </c>
      <c r="C483" s="16">
        <v>0.06</v>
      </c>
      <c r="D483" s="111">
        <v>42962</v>
      </c>
      <c r="E483" s="112">
        <f t="shared" si="7"/>
        <v>4.9972602739726026</v>
      </c>
      <c r="F483" s="16">
        <v>5.74E-2</v>
      </c>
      <c r="H483" s="16"/>
    </row>
    <row r="484" spans="1:8" x14ac:dyDescent="0.2">
      <c r="A484" s="108" t="s">
        <v>229</v>
      </c>
      <c r="B484" s="108">
        <v>107.12</v>
      </c>
      <c r="C484" s="16">
        <v>0.06</v>
      </c>
      <c r="D484" s="111">
        <v>42962</v>
      </c>
      <c r="E484" s="112">
        <f t="shared" si="7"/>
        <v>4.9972602739726026</v>
      </c>
      <c r="F484" s="16">
        <v>4.5670000000000002E-2</v>
      </c>
      <c r="H484" s="16"/>
    </row>
    <row r="485" spans="1:8" x14ac:dyDescent="0.2">
      <c r="A485" s="108" t="s">
        <v>289</v>
      </c>
      <c r="B485" s="108">
        <v>115.64</v>
      </c>
      <c r="C485" s="16">
        <v>6.1500000000000006E-2</v>
      </c>
      <c r="D485" s="111">
        <v>42975</v>
      </c>
      <c r="E485" s="112">
        <f t="shared" si="7"/>
        <v>5.0328767123287674</v>
      </c>
      <c r="F485" s="16">
        <v>3.1509999999999996E-2</v>
      </c>
      <c r="H485" s="16"/>
    </row>
    <row r="486" spans="1:8" x14ac:dyDescent="0.2">
      <c r="A486" s="108" t="s">
        <v>252</v>
      </c>
      <c r="B486" s="108">
        <v>96.75</v>
      </c>
      <c r="C486" s="16">
        <v>6.4000000000000001E-2</v>
      </c>
      <c r="D486" s="111">
        <v>42975</v>
      </c>
      <c r="E486" s="112">
        <f t="shared" si="7"/>
        <v>5.0328767123287674</v>
      </c>
      <c r="F486" s="16">
        <v>7.0959999999999995E-2</v>
      </c>
      <c r="H486" s="16"/>
    </row>
    <row r="487" spans="1:8" x14ac:dyDescent="0.2">
      <c r="A487" s="108" t="s">
        <v>260</v>
      </c>
      <c r="B487" s="108">
        <v>99.37</v>
      </c>
      <c r="C487" s="16">
        <v>6.25E-2</v>
      </c>
      <c r="D487" s="111">
        <v>42975</v>
      </c>
      <c r="E487" s="112">
        <f t="shared" si="7"/>
        <v>5.0328767123287674</v>
      </c>
      <c r="F487" s="16">
        <v>6.3799999999999996E-2</v>
      </c>
      <c r="H487" s="16"/>
    </row>
    <row r="488" spans="1:8" x14ac:dyDescent="0.2">
      <c r="A488" s="108" t="s">
        <v>222</v>
      </c>
      <c r="B488" s="108">
        <v>96.68</v>
      </c>
      <c r="C488" s="16">
        <v>0.06</v>
      </c>
      <c r="D488" s="111">
        <v>42979</v>
      </c>
      <c r="E488" s="112">
        <f t="shared" si="7"/>
        <v>5.043835616438356</v>
      </c>
      <c r="F488" s="16">
        <v>6.7030000000000006E-2</v>
      </c>
      <c r="H488" s="16"/>
    </row>
    <row r="489" spans="1:8" x14ac:dyDescent="0.2">
      <c r="A489" s="108" t="s">
        <v>231</v>
      </c>
      <c r="B489" s="108">
        <v>105.11</v>
      </c>
      <c r="C489" s="16">
        <v>6.25E-2</v>
      </c>
      <c r="D489" s="111">
        <v>42979</v>
      </c>
      <c r="E489" s="112">
        <f t="shared" si="7"/>
        <v>5.043835616438356</v>
      </c>
      <c r="F489" s="16">
        <v>5.2080000000000001E-2</v>
      </c>
      <c r="H489" s="16"/>
    </row>
    <row r="490" spans="1:8" x14ac:dyDescent="0.2">
      <c r="A490" s="108" t="s">
        <v>407</v>
      </c>
      <c r="B490" s="108">
        <v>119</v>
      </c>
      <c r="C490" s="16">
        <v>6.3750000000000001E-2</v>
      </c>
      <c r="D490" s="111">
        <v>42979</v>
      </c>
      <c r="E490" s="112">
        <f t="shared" si="7"/>
        <v>5.043835616438356</v>
      </c>
      <c r="F490" s="16">
        <v>2.7759999999999996E-2</v>
      </c>
      <c r="H490" s="16"/>
    </row>
    <row r="491" spans="1:8" x14ac:dyDescent="0.2">
      <c r="A491" s="108" t="s">
        <v>408</v>
      </c>
      <c r="B491" s="108">
        <v>113.1</v>
      </c>
      <c r="C491" s="16">
        <v>5.7500000000000002E-2</v>
      </c>
      <c r="D491" s="111">
        <v>42993</v>
      </c>
      <c r="E491" s="112">
        <f t="shared" si="7"/>
        <v>5.0821917808219181</v>
      </c>
      <c r="F491" s="16">
        <v>3.2480000000000002E-2</v>
      </c>
      <c r="H491" s="16"/>
    </row>
    <row r="492" spans="1:8" x14ac:dyDescent="0.2">
      <c r="A492" s="108" t="s">
        <v>269</v>
      </c>
      <c r="B492" s="108">
        <v>106.71</v>
      </c>
      <c r="C492" s="16">
        <v>2.7999999999999997E-2</v>
      </c>
      <c r="D492" s="111">
        <v>42996</v>
      </c>
      <c r="E492" s="112">
        <f t="shared" si="7"/>
        <v>5.0904109589041093</v>
      </c>
      <c r="F492" s="16">
        <v>1.584E-2</v>
      </c>
      <c r="H492" s="16"/>
    </row>
    <row r="493" spans="1:8" x14ac:dyDescent="0.2">
      <c r="A493" s="108" t="s">
        <v>409</v>
      </c>
      <c r="B493" s="108">
        <v>116.78</v>
      </c>
      <c r="C493" s="16">
        <v>6.2E-2</v>
      </c>
      <c r="D493" s="111">
        <v>43009</v>
      </c>
      <c r="E493" s="112">
        <f t="shared" si="7"/>
        <v>5.1260273972602741</v>
      </c>
      <c r="F493" s="16">
        <v>3.039E-2</v>
      </c>
      <c r="H493" s="16"/>
    </row>
    <row r="494" spans="1:8" x14ac:dyDescent="0.2">
      <c r="A494" s="108" t="s">
        <v>410</v>
      </c>
      <c r="B494" s="108">
        <v>120.35</v>
      </c>
      <c r="C494" s="16">
        <v>5.5E-2</v>
      </c>
      <c r="D494" s="111">
        <v>43023</v>
      </c>
      <c r="E494" s="112">
        <f t="shared" si="7"/>
        <v>5.1643835616438354</v>
      </c>
      <c r="F494" s="16">
        <v>1.8290000000000001E-2</v>
      </c>
      <c r="H494" s="16"/>
    </row>
    <row r="495" spans="1:8" x14ac:dyDescent="0.2">
      <c r="A495" s="108" t="s">
        <v>218</v>
      </c>
      <c r="B495" s="108">
        <v>112.18</v>
      </c>
      <c r="C495" s="16">
        <v>5.8499999999999996E-2</v>
      </c>
      <c r="D495" s="111">
        <v>43023</v>
      </c>
      <c r="E495" s="112">
        <f t="shared" si="7"/>
        <v>5.1643835616438354</v>
      </c>
      <c r="F495" s="16">
        <v>3.5490000000000001E-2</v>
      </c>
      <c r="H495" s="16"/>
    </row>
    <row r="496" spans="1:8" x14ac:dyDescent="0.2">
      <c r="A496" s="108" t="s">
        <v>405</v>
      </c>
      <c r="B496" s="108">
        <v>124.36</v>
      </c>
      <c r="C496" s="16">
        <v>5.7999999999999996E-2</v>
      </c>
      <c r="D496" s="111">
        <v>43023</v>
      </c>
      <c r="E496" s="112">
        <f t="shared" si="7"/>
        <v>5.1643835616438354</v>
      </c>
      <c r="F496" s="16">
        <v>1.456E-2</v>
      </c>
      <c r="H496" s="16"/>
    </row>
    <row r="497" spans="1:8" x14ac:dyDescent="0.2">
      <c r="A497" s="108" t="s">
        <v>313</v>
      </c>
      <c r="B497" s="108">
        <v>120.71</v>
      </c>
      <c r="C497" s="16">
        <v>5.7500000000000002E-2</v>
      </c>
      <c r="D497" s="111">
        <v>43031</v>
      </c>
      <c r="E497" s="112">
        <f t="shared" si="7"/>
        <v>5.1863013698630134</v>
      </c>
      <c r="F497" s="16">
        <v>2.0059999999999998E-2</v>
      </c>
      <c r="H497" s="16"/>
    </row>
    <row r="498" spans="1:8" x14ac:dyDescent="0.2">
      <c r="A498" s="108" t="s">
        <v>353</v>
      </c>
      <c r="B498" s="108">
        <v>95.84</v>
      </c>
      <c r="C498" s="16">
        <v>5.0999999999999997E-2</v>
      </c>
      <c r="D498" s="111">
        <v>43054</v>
      </c>
      <c r="E498" s="112">
        <f t="shared" si="7"/>
        <v>5.2493150684931509</v>
      </c>
      <c r="F498" s="16">
        <v>5.9389999999999998E-2</v>
      </c>
      <c r="H498" s="16"/>
    </row>
    <row r="499" spans="1:8" x14ac:dyDescent="0.2">
      <c r="A499" s="108" t="s">
        <v>229</v>
      </c>
      <c r="B499" s="108">
        <v>107.73</v>
      </c>
      <c r="C499" s="16">
        <v>6.1249999999999999E-2</v>
      </c>
      <c r="D499" s="111">
        <v>43060</v>
      </c>
      <c r="E499" s="112">
        <f t="shared" si="7"/>
        <v>5.2657534246575342</v>
      </c>
      <c r="F499" s="16">
        <v>4.6289999999999998E-2</v>
      </c>
      <c r="H499" s="16"/>
    </row>
    <row r="500" spans="1:8" x14ac:dyDescent="0.2">
      <c r="A500" s="108" t="s">
        <v>222</v>
      </c>
      <c r="B500" s="108">
        <v>94.38</v>
      </c>
      <c r="C500" s="16">
        <v>5.7500000000000002E-2</v>
      </c>
      <c r="D500" s="111">
        <v>43070</v>
      </c>
      <c r="E500" s="112">
        <f t="shared" si="7"/>
        <v>5.2931506849315069</v>
      </c>
      <c r="F500" s="16">
        <v>6.9099999999999995E-2</v>
      </c>
      <c r="H500" s="16"/>
    </row>
    <row r="501" spans="1:8" x14ac:dyDescent="0.2">
      <c r="A501" s="108" t="s">
        <v>411</v>
      </c>
      <c r="B501" s="108">
        <v>121.98</v>
      </c>
      <c r="C501" s="16">
        <v>5.7500000000000002E-2</v>
      </c>
      <c r="D501" s="111">
        <v>43070</v>
      </c>
      <c r="E501" s="112">
        <f t="shared" si="7"/>
        <v>5.2931506849315069</v>
      </c>
      <c r="F501" s="16">
        <v>1.8620000000000001E-2</v>
      </c>
      <c r="H501" s="16"/>
    </row>
    <row r="502" spans="1:8" x14ac:dyDescent="0.2">
      <c r="A502" s="108" t="s">
        <v>234</v>
      </c>
      <c r="B502" s="108">
        <v>112.67</v>
      </c>
      <c r="C502" s="16">
        <v>0.06</v>
      </c>
      <c r="D502" s="111">
        <v>43070</v>
      </c>
      <c r="E502" s="112">
        <f t="shared" si="7"/>
        <v>5.2931506849315069</v>
      </c>
      <c r="F502" s="16">
        <v>3.6309999999999995E-2</v>
      </c>
      <c r="H502" s="16"/>
    </row>
    <row r="503" spans="1:8" x14ac:dyDescent="0.2">
      <c r="A503" s="108" t="s">
        <v>412</v>
      </c>
      <c r="B503" s="108">
        <v>119.11</v>
      </c>
      <c r="C503" s="16">
        <v>5.6500000000000002E-2</v>
      </c>
      <c r="D503" s="111">
        <v>43070</v>
      </c>
      <c r="E503" s="112">
        <f t="shared" si="7"/>
        <v>5.2931506849315069</v>
      </c>
      <c r="F503" s="16">
        <v>2.23E-2</v>
      </c>
      <c r="H503" s="16"/>
    </row>
    <row r="504" spans="1:8" x14ac:dyDescent="0.2">
      <c r="A504" s="108" t="s">
        <v>413</v>
      </c>
      <c r="B504" s="108">
        <v>117.25</v>
      </c>
      <c r="C504" s="16">
        <v>5.8499999999999996E-2</v>
      </c>
      <c r="D504" s="111">
        <v>43084</v>
      </c>
      <c r="E504" s="112">
        <f t="shared" si="7"/>
        <v>5.3315068493150681</v>
      </c>
      <c r="F504" s="16">
        <v>2.7320000000000001E-2</v>
      </c>
      <c r="H504" s="16"/>
    </row>
    <row r="505" spans="1:8" x14ac:dyDescent="0.2">
      <c r="A505" s="108" t="s">
        <v>414</v>
      </c>
      <c r="B505" s="108">
        <v>119.15</v>
      </c>
      <c r="C505" s="16">
        <v>5.7500000000000002E-2</v>
      </c>
      <c r="D505" s="111">
        <v>43084</v>
      </c>
      <c r="E505" s="112">
        <f t="shared" si="7"/>
        <v>5.3315068493150681</v>
      </c>
      <c r="F505" s="16">
        <v>2.3319999999999997E-2</v>
      </c>
      <c r="H505" s="16"/>
    </row>
    <row r="506" spans="1:8" x14ac:dyDescent="0.2">
      <c r="A506" s="108" t="s">
        <v>360</v>
      </c>
      <c r="B506" s="108">
        <v>120.44</v>
      </c>
      <c r="C506" s="16">
        <v>5.3749999999999999E-2</v>
      </c>
      <c r="D506" s="111">
        <v>43084</v>
      </c>
      <c r="E506" s="112">
        <f t="shared" si="7"/>
        <v>5.3315068493150681</v>
      </c>
      <c r="F506" s="16">
        <v>1.789E-2</v>
      </c>
      <c r="H506" s="16"/>
    </row>
    <row r="507" spans="1:8" x14ac:dyDescent="0.2">
      <c r="A507" s="108" t="s">
        <v>260</v>
      </c>
      <c r="B507" s="108">
        <v>97.2</v>
      </c>
      <c r="C507" s="16">
        <v>5.9500000000000004E-2</v>
      </c>
      <c r="D507" s="111">
        <v>43097</v>
      </c>
      <c r="E507" s="112">
        <f t="shared" si="7"/>
        <v>5.3671232876712329</v>
      </c>
      <c r="F507" s="16">
        <v>6.5140000000000003E-2</v>
      </c>
      <c r="H507" s="16"/>
    </row>
    <row r="508" spans="1:8" x14ac:dyDescent="0.2">
      <c r="A508" s="108" t="s">
        <v>415</v>
      </c>
      <c r="B508" s="108">
        <v>124</v>
      </c>
      <c r="C508" s="16">
        <v>6.4500000000000002E-2</v>
      </c>
      <c r="D508" s="111">
        <v>43115</v>
      </c>
      <c r="E508" s="112">
        <f t="shared" si="7"/>
        <v>5.4164383561643836</v>
      </c>
      <c r="F508" s="16">
        <v>2.2330000000000003E-2</v>
      </c>
      <c r="H508" s="16"/>
    </row>
    <row r="509" spans="1:8" x14ac:dyDescent="0.2">
      <c r="A509" s="108" t="s">
        <v>221</v>
      </c>
      <c r="B509" s="108">
        <v>99.06</v>
      </c>
      <c r="C509" s="16">
        <v>5.8499999999999996E-2</v>
      </c>
      <c r="D509" s="111">
        <v>43116</v>
      </c>
      <c r="E509" s="112">
        <f t="shared" si="7"/>
        <v>5.419178082191781</v>
      </c>
      <c r="F509" s="16">
        <v>6.0339999999999998E-2</v>
      </c>
      <c r="H509" s="16"/>
    </row>
    <row r="510" spans="1:8" x14ac:dyDescent="0.2">
      <c r="A510" s="108" t="s">
        <v>231</v>
      </c>
      <c r="B510" s="108">
        <v>101.77</v>
      </c>
      <c r="C510" s="16">
        <v>5.9500000000000004E-2</v>
      </c>
      <c r="D510" s="111">
        <v>43118</v>
      </c>
      <c r="E510" s="112">
        <f t="shared" si="7"/>
        <v>5.4246575342465757</v>
      </c>
      <c r="F510" s="16">
        <v>5.6029999999999996E-2</v>
      </c>
      <c r="H510" s="16"/>
    </row>
    <row r="511" spans="1:8" x14ac:dyDescent="0.2">
      <c r="A511" s="108" t="s">
        <v>246</v>
      </c>
      <c r="B511" s="108">
        <v>117.76</v>
      </c>
      <c r="C511" s="16">
        <v>5.5E-2</v>
      </c>
      <c r="D511" s="111">
        <v>43132</v>
      </c>
      <c r="E511" s="112">
        <f t="shared" si="7"/>
        <v>5.463013698630137</v>
      </c>
      <c r="F511" s="16">
        <v>2.3849999999999996E-2</v>
      </c>
      <c r="H511" s="16"/>
    </row>
    <row r="512" spans="1:8" x14ac:dyDescent="0.2">
      <c r="A512" s="108" t="s">
        <v>273</v>
      </c>
      <c r="B512" s="108">
        <v>120.06</v>
      </c>
      <c r="C512" s="16">
        <v>5.45E-2</v>
      </c>
      <c r="D512" s="111">
        <v>43132</v>
      </c>
      <c r="E512" s="112">
        <f t="shared" si="7"/>
        <v>5.463013698630137</v>
      </c>
      <c r="F512" s="16">
        <v>1.9779999999999999E-2</v>
      </c>
      <c r="H512" s="16"/>
    </row>
    <row r="513" spans="1:8" x14ac:dyDescent="0.2">
      <c r="A513" s="108" t="s">
        <v>353</v>
      </c>
      <c r="B513" s="108">
        <v>93</v>
      </c>
      <c r="C513" s="16">
        <v>5.0999999999999997E-2</v>
      </c>
      <c r="D513" s="111">
        <v>43146</v>
      </c>
      <c r="E513" s="112">
        <f t="shared" si="7"/>
        <v>5.5013698630136982</v>
      </c>
      <c r="F513" s="16">
        <v>6.4729999999999996E-2</v>
      </c>
      <c r="H513" s="16"/>
    </row>
    <row r="514" spans="1:8" x14ac:dyDescent="0.2">
      <c r="A514" s="108" t="s">
        <v>218</v>
      </c>
      <c r="B514" s="108">
        <v>106.21</v>
      </c>
      <c r="C514" s="16">
        <v>5.5999999999999994E-2</v>
      </c>
      <c r="D514" s="111">
        <v>43146</v>
      </c>
      <c r="E514" s="112">
        <f t="shared" si="7"/>
        <v>5.5013698630136982</v>
      </c>
      <c r="F514" s="16">
        <v>4.4500000000000005E-2</v>
      </c>
      <c r="H514" s="16"/>
    </row>
    <row r="515" spans="1:8" x14ac:dyDescent="0.2">
      <c r="A515" s="108" t="s">
        <v>257</v>
      </c>
      <c r="B515" s="108">
        <v>119.73</v>
      </c>
      <c r="C515" s="16">
        <v>5.5E-2</v>
      </c>
      <c r="D515" s="111">
        <v>43146</v>
      </c>
      <c r="E515" s="112">
        <f t="shared" si="7"/>
        <v>5.5013698630136982</v>
      </c>
      <c r="F515" s="16">
        <v>2.0930000000000001E-2</v>
      </c>
      <c r="H515" s="16"/>
    </row>
    <row r="516" spans="1:8" x14ac:dyDescent="0.2">
      <c r="A516" s="108" t="s">
        <v>403</v>
      </c>
      <c r="B516" s="108">
        <v>120.5</v>
      </c>
      <c r="C516" s="16">
        <v>6.8750000000000006E-2</v>
      </c>
      <c r="D516" s="111">
        <v>43160</v>
      </c>
      <c r="E516" s="112">
        <f t="shared" ref="E516:E579" si="8">(D516-DATE(2012,8,17))/365</f>
        <v>5.5397260273972604</v>
      </c>
      <c r="F516" s="16">
        <v>3.2259999999999997E-2</v>
      </c>
      <c r="H516" s="16"/>
    </row>
    <row r="517" spans="1:8" x14ac:dyDescent="0.2">
      <c r="A517" s="108" t="s">
        <v>226</v>
      </c>
      <c r="B517" s="108">
        <v>116.1</v>
      </c>
      <c r="C517" s="16">
        <v>5.5E-2</v>
      </c>
      <c r="D517" s="111">
        <v>43160</v>
      </c>
      <c r="E517" s="112">
        <f t="shared" si="8"/>
        <v>5.5397260273972604</v>
      </c>
      <c r="F517" s="16">
        <v>2.683E-2</v>
      </c>
      <c r="H517" s="16"/>
    </row>
    <row r="518" spans="1:8" x14ac:dyDescent="0.2">
      <c r="A518" s="108" t="s">
        <v>316</v>
      </c>
      <c r="B518" s="108">
        <v>118.65</v>
      </c>
      <c r="C518" s="16">
        <v>5.2999999999999999E-2</v>
      </c>
      <c r="D518" s="111">
        <v>43160</v>
      </c>
      <c r="E518" s="112">
        <f t="shared" si="8"/>
        <v>5.5397260273972604</v>
      </c>
      <c r="F518" s="16">
        <v>2.1000000000000001E-2</v>
      </c>
      <c r="H518" s="16"/>
    </row>
    <row r="519" spans="1:8" x14ac:dyDescent="0.2">
      <c r="A519" s="108" t="s">
        <v>405</v>
      </c>
      <c r="B519" s="108">
        <v>123.31</v>
      </c>
      <c r="C519" s="16">
        <v>5.3499999999999999E-2</v>
      </c>
      <c r="D519" s="111">
        <v>43160</v>
      </c>
      <c r="E519" s="112">
        <f t="shared" si="8"/>
        <v>5.5397260273972604</v>
      </c>
      <c r="F519" s="16">
        <v>1.4370000000000001E-2</v>
      </c>
      <c r="H519" s="16"/>
    </row>
    <row r="520" spans="1:8" x14ac:dyDescent="0.2">
      <c r="A520" s="108" t="s">
        <v>395</v>
      </c>
      <c r="B520" s="108">
        <v>110.19</v>
      </c>
      <c r="C520" s="16">
        <v>5.8749999999999997E-2</v>
      </c>
      <c r="D520" s="111">
        <v>43160</v>
      </c>
      <c r="E520" s="112">
        <f t="shared" si="8"/>
        <v>5.5397260273972604</v>
      </c>
      <c r="F520" s="16">
        <v>4.0149999999999998E-2</v>
      </c>
      <c r="H520" s="16"/>
    </row>
    <row r="521" spans="1:8" x14ac:dyDescent="0.2">
      <c r="A521" s="108" t="s">
        <v>262</v>
      </c>
      <c r="B521" s="108">
        <v>119.77</v>
      </c>
      <c r="C521" s="16">
        <v>5.7500000000000002E-2</v>
      </c>
      <c r="D521" s="111">
        <v>43170</v>
      </c>
      <c r="E521" s="112">
        <f t="shared" si="8"/>
        <v>5.5671232876712331</v>
      </c>
      <c r="F521" s="16">
        <v>2.3439999999999999E-2</v>
      </c>
      <c r="H521" s="16"/>
    </row>
    <row r="522" spans="1:8" x14ac:dyDescent="0.2">
      <c r="A522" s="108" t="s">
        <v>258</v>
      </c>
      <c r="B522" s="108">
        <v>120.58</v>
      </c>
      <c r="C522" s="16">
        <v>5.45E-2</v>
      </c>
      <c r="D522" s="111">
        <v>43174</v>
      </c>
      <c r="E522" s="112">
        <f t="shared" si="8"/>
        <v>5.5780821917808217</v>
      </c>
      <c r="F522" s="16">
        <v>1.9550000000000001E-2</v>
      </c>
      <c r="H522" s="16"/>
    </row>
    <row r="523" spans="1:8" x14ac:dyDescent="0.2">
      <c r="A523" s="108" t="s">
        <v>255</v>
      </c>
      <c r="B523" s="108">
        <v>106.65</v>
      </c>
      <c r="C523" s="16">
        <v>6.5000000000000002E-2</v>
      </c>
      <c r="D523" s="111">
        <v>43174</v>
      </c>
      <c r="E523" s="112">
        <f t="shared" si="8"/>
        <v>5.5780821917808217</v>
      </c>
      <c r="F523" s="16">
        <v>5.2440000000000001E-2</v>
      </c>
      <c r="H523" s="16"/>
    </row>
    <row r="524" spans="1:8" x14ac:dyDescent="0.2">
      <c r="A524" s="108" t="s">
        <v>327</v>
      </c>
      <c r="B524" s="108">
        <v>101</v>
      </c>
      <c r="C524" s="16">
        <v>0.04</v>
      </c>
      <c r="D524" s="111">
        <v>43174</v>
      </c>
      <c r="E524" s="112">
        <f t="shared" si="8"/>
        <v>5.5780821917808217</v>
      </c>
      <c r="F524" s="16">
        <v>3.8210000000000001E-2</v>
      </c>
      <c r="H524" s="16"/>
    </row>
    <row r="525" spans="1:8" x14ac:dyDescent="0.2">
      <c r="A525" s="108" t="s">
        <v>416</v>
      </c>
      <c r="B525" s="108">
        <v>119.71</v>
      </c>
      <c r="C525" s="16">
        <v>5.2999999999999999E-2</v>
      </c>
      <c r="D525" s="111">
        <v>43174</v>
      </c>
      <c r="E525" s="112">
        <f t="shared" si="8"/>
        <v>5.5780821917808217</v>
      </c>
      <c r="F525" s="16">
        <v>1.9539999999999998E-2</v>
      </c>
      <c r="H525" s="16"/>
    </row>
    <row r="526" spans="1:8" x14ac:dyDescent="0.2">
      <c r="A526" s="108" t="s">
        <v>289</v>
      </c>
      <c r="B526" s="108">
        <v>119.82</v>
      </c>
      <c r="C526" s="16">
        <v>7.0000000000000007E-2</v>
      </c>
      <c r="D526" s="111">
        <v>43178</v>
      </c>
      <c r="E526" s="112">
        <f t="shared" si="8"/>
        <v>5.5890410958904111</v>
      </c>
      <c r="F526" s="16">
        <v>3.4700000000000002E-2</v>
      </c>
      <c r="H526" s="16"/>
    </row>
    <row r="527" spans="1:8" x14ac:dyDescent="0.2">
      <c r="A527" s="108" t="s">
        <v>247</v>
      </c>
      <c r="B527" s="108">
        <v>112.33</v>
      </c>
      <c r="C527" s="16">
        <v>4.4999999999999998E-2</v>
      </c>
      <c r="D527" s="111">
        <v>43191</v>
      </c>
      <c r="E527" s="112">
        <f t="shared" si="8"/>
        <v>5.624657534246575</v>
      </c>
      <c r="F527" s="16">
        <v>2.3910000000000001E-2</v>
      </c>
      <c r="H527" s="16"/>
    </row>
    <row r="528" spans="1:8" x14ac:dyDescent="0.2">
      <c r="A528" s="108" t="s">
        <v>231</v>
      </c>
      <c r="B528" s="108">
        <v>102.69</v>
      </c>
      <c r="C528" s="16">
        <v>6.1500000000000006E-2</v>
      </c>
      <c r="D528" s="111">
        <v>43191</v>
      </c>
      <c r="E528" s="112">
        <f t="shared" si="8"/>
        <v>5.624657534246575</v>
      </c>
      <c r="F528" s="16">
        <v>5.636E-2</v>
      </c>
      <c r="H528" s="16"/>
    </row>
    <row r="529" spans="1:8" x14ac:dyDescent="0.2">
      <c r="A529" s="108" t="s">
        <v>269</v>
      </c>
      <c r="B529" s="108">
        <v>120.88</v>
      </c>
      <c r="C529" s="16">
        <v>5.3499999999999999E-2</v>
      </c>
      <c r="D529" s="111">
        <v>43193</v>
      </c>
      <c r="E529" s="112">
        <f t="shared" si="8"/>
        <v>5.6301369863013697</v>
      </c>
      <c r="F529" s="16">
        <v>1.8440000000000002E-2</v>
      </c>
      <c r="H529" s="16"/>
    </row>
    <row r="530" spans="1:8" x14ac:dyDescent="0.2">
      <c r="A530" s="108" t="s">
        <v>253</v>
      </c>
      <c r="B530" s="108">
        <v>120.16</v>
      </c>
      <c r="C530" s="16">
        <v>5.45E-2</v>
      </c>
      <c r="D530" s="111">
        <v>43205</v>
      </c>
      <c r="E530" s="112">
        <f t="shared" si="8"/>
        <v>5.6630136986301371</v>
      </c>
      <c r="F530" s="16">
        <v>2.0579999999999998E-2</v>
      </c>
      <c r="H530" s="16"/>
    </row>
    <row r="531" spans="1:8" x14ac:dyDescent="0.2">
      <c r="A531" s="108" t="s">
        <v>271</v>
      </c>
      <c r="B531" s="108">
        <v>118.13</v>
      </c>
      <c r="C531" s="16">
        <v>5.6500000000000002E-2</v>
      </c>
      <c r="D531" s="111">
        <v>43205</v>
      </c>
      <c r="E531" s="112">
        <f t="shared" si="8"/>
        <v>5.6630136986301371</v>
      </c>
      <c r="F531" s="16">
        <v>2.5489999999999999E-2</v>
      </c>
      <c r="H531" s="16"/>
    </row>
    <row r="532" spans="1:8" x14ac:dyDescent="0.2">
      <c r="A532" s="108" t="s">
        <v>417</v>
      </c>
      <c r="B532" s="108">
        <v>122.11</v>
      </c>
      <c r="C532" s="16">
        <v>6.8400000000000002E-2</v>
      </c>
      <c r="D532" s="111">
        <v>43205</v>
      </c>
      <c r="E532" s="112">
        <f t="shared" si="8"/>
        <v>5.6630136986301371</v>
      </c>
      <c r="F532" s="16">
        <v>3.0009999999999998E-2</v>
      </c>
      <c r="H532" s="16"/>
    </row>
    <row r="533" spans="1:8" x14ac:dyDescent="0.2">
      <c r="A533" s="108" t="s">
        <v>338</v>
      </c>
      <c r="B533" s="108">
        <v>123.15</v>
      </c>
      <c r="C533" s="16">
        <v>5.7500000000000002E-2</v>
      </c>
      <c r="D533" s="111">
        <v>43205</v>
      </c>
      <c r="E533" s="112">
        <f t="shared" si="8"/>
        <v>5.6630136986301371</v>
      </c>
      <c r="F533" s="16">
        <v>1.8779999999999998E-2</v>
      </c>
      <c r="H533" s="16"/>
    </row>
    <row r="534" spans="1:8" x14ac:dyDescent="0.2">
      <c r="A534" s="108" t="s">
        <v>257</v>
      </c>
      <c r="B534" s="108">
        <v>121.38</v>
      </c>
      <c r="C534" s="16">
        <v>6.0999999999999999E-2</v>
      </c>
      <c r="D534" s="111">
        <v>43205</v>
      </c>
      <c r="E534" s="112">
        <f t="shared" si="8"/>
        <v>5.6630136986301371</v>
      </c>
      <c r="F534" s="16">
        <v>2.4550000000000002E-2</v>
      </c>
      <c r="H534" s="16"/>
    </row>
    <row r="535" spans="1:8" x14ac:dyDescent="0.2">
      <c r="A535" s="108" t="s">
        <v>252</v>
      </c>
      <c r="B535" s="108">
        <v>99.03</v>
      </c>
      <c r="C535" s="16">
        <v>6.8750000000000006E-2</v>
      </c>
      <c r="D535" s="111">
        <v>43215</v>
      </c>
      <c r="E535" s="112">
        <f t="shared" si="8"/>
        <v>5.6904109589041099</v>
      </c>
      <c r="F535" s="16">
        <v>7.0639999999999994E-2</v>
      </c>
      <c r="H535" s="16"/>
    </row>
    <row r="536" spans="1:8" x14ac:dyDescent="0.2">
      <c r="A536" s="108" t="s">
        <v>275</v>
      </c>
      <c r="B536" s="108">
        <v>92.34</v>
      </c>
      <c r="C536" s="16">
        <v>5.6500000000000002E-2</v>
      </c>
      <c r="D536" s="111">
        <v>43221</v>
      </c>
      <c r="E536" s="112">
        <f t="shared" si="8"/>
        <v>5.7068493150684931</v>
      </c>
      <c r="F536" s="16">
        <v>7.1569999999999995E-2</v>
      </c>
      <c r="H536" s="16"/>
    </row>
    <row r="537" spans="1:8" x14ac:dyDescent="0.2">
      <c r="A537" s="108" t="s">
        <v>294</v>
      </c>
      <c r="B537" s="108">
        <v>122.49</v>
      </c>
      <c r="C537" s="16">
        <v>5.45E-2</v>
      </c>
      <c r="D537" s="111">
        <v>43221</v>
      </c>
      <c r="E537" s="112">
        <f t="shared" si="8"/>
        <v>5.7068493150684931</v>
      </c>
      <c r="F537" s="16">
        <v>1.7310000000000002E-2</v>
      </c>
      <c r="H537" s="16"/>
    </row>
    <row r="538" spans="1:8" x14ac:dyDescent="0.2">
      <c r="A538" s="108" t="s">
        <v>418</v>
      </c>
      <c r="B538" s="108">
        <v>120</v>
      </c>
      <c r="C538" s="16">
        <v>6.0499999999999998E-2</v>
      </c>
      <c r="D538" s="111">
        <v>43221</v>
      </c>
      <c r="E538" s="112">
        <f t="shared" si="8"/>
        <v>5.7068493150684931</v>
      </c>
      <c r="F538" s="16">
        <v>2.6409999999999999E-2</v>
      </c>
      <c r="H538" s="16"/>
    </row>
    <row r="539" spans="1:8" x14ac:dyDescent="0.2">
      <c r="A539" s="108" t="s">
        <v>419</v>
      </c>
      <c r="B539" s="108">
        <v>118.36</v>
      </c>
      <c r="C539" s="16">
        <v>0.06</v>
      </c>
      <c r="D539" s="111">
        <v>43221</v>
      </c>
      <c r="E539" s="112">
        <f t="shared" si="8"/>
        <v>5.7068493150684931</v>
      </c>
      <c r="F539" s="16">
        <v>2.8490000000000001E-2</v>
      </c>
      <c r="H539" s="16"/>
    </row>
    <row r="540" spans="1:8" x14ac:dyDescent="0.2">
      <c r="A540" s="108" t="s">
        <v>420</v>
      </c>
      <c r="B540" s="108">
        <v>121.89</v>
      </c>
      <c r="C540" s="16">
        <v>0.06</v>
      </c>
      <c r="D540" s="111">
        <v>43221</v>
      </c>
      <c r="E540" s="112">
        <f t="shared" si="8"/>
        <v>5.7068493150684931</v>
      </c>
      <c r="F540" s="16">
        <v>2.3090000000000003E-2</v>
      </c>
      <c r="H540" s="16"/>
    </row>
    <row r="541" spans="1:8" x14ac:dyDescent="0.2">
      <c r="A541" s="108" t="s">
        <v>246</v>
      </c>
      <c r="B541" s="108">
        <v>117.7</v>
      </c>
      <c r="C541" s="16">
        <v>5.5999999999999994E-2</v>
      </c>
      <c r="D541" s="111">
        <v>43235</v>
      </c>
      <c r="E541" s="112">
        <f t="shared" si="8"/>
        <v>5.7452054794520544</v>
      </c>
      <c r="F541" s="16">
        <v>2.6030000000000001E-2</v>
      </c>
      <c r="H541" s="16"/>
    </row>
    <row r="542" spans="1:8" x14ac:dyDescent="0.2">
      <c r="A542" s="108" t="s">
        <v>229</v>
      </c>
      <c r="B542" s="108">
        <v>107.37</v>
      </c>
      <c r="C542" s="16">
        <v>6.1249999999999999E-2</v>
      </c>
      <c r="D542" s="111">
        <v>43235</v>
      </c>
      <c r="E542" s="112">
        <f t="shared" si="8"/>
        <v>5.7452054794520544</v>
      </c>
      <c r="F542" s="16">
        <v>4.7840000000000001E-2</v>
      </c>
      <c r="H542" s="16"/>
    </row>
    <row r="543" spans="1:8" x14ac:dyDescent="0.2">
      <c r="A543" s="108" t="s">
        <v>235</v>
      </c>
      <c r="B543" s="108">
        <v>118.27</v>
      </c>
      <c r="C543" s="16">
        <v>5.2000000000000005E-2</v>
      </c>
      <c r="D543" s="111">
        <v>43235</v>
      </c>
      <c r="E543" s="112">
        <f t="shared" si="8"/>
        <v>5.7452054794520544</v>
      </c>
      <c r="F543" s="16">
        <v>2.1530000000000001E-2</v>
      </c>
      <c r="H543" s="16"/>
    </row>
    <row r="544" spans="1:8" x14ac:dyDescent="0.2">
      <c r="A544" s="108" t="s">
        <v>281</v>
      </c>
      <c r="B544" s="108">
        <v>122.77</v>
      </c>
      <c r="C544" s="16">
        <v>5.6500000000000002E-2</v>
      </c>
      <c r="D544" s="111">
        <v>43235</v>
      </c>
      <c r="E544" s="112">
        <f t="shared" si="8"/>
        <v>5.7452054794520544</v>
      </c>
      <c r="F544" s="16">
        <v>1.8870000000000001E-2</v>
      </c>
      <c r="H544" s="16"/>
    </row>
    <row r="545" spans="1:8" x14ac:dyDescent="0.2">
      <c r="A545" s="108" t="s">
        <v>414</v>
      </c>
      <c r="B545" s="108">
        <v>119.52</v>
      </c>
      <c r="C545" s="16">
        <v>5.7999999999999996E-2</v>
      </c>
      <c r="D545" s="111">
        <v>43235</v>
      </c>
      <c r="E545" s="112">
        <f t="shared" si="8"/>
        <v>5.7452054794520544</v>
      </c>
      <c r="F545" s="16">
        <v>2.5059999999999999E-2</v>
      </c>
      <c r="H545" s="16"/>
    </row>
    <row r="546" spans="1:8" x14ac:dyDescent="0.2">
      <c r="A546" s="108" t="s">
        <v>283</v>
      </c>
      <c r="B546" s="108">
        <v>119.81</v>
      </c>
      <c r="C546" s="16">
        <v>5.6500000000000002E-2</v>
      </c>
      <c r="D546" s="111">
        <v>43236</v>
      </c>
      <c r="E546" s="112">
        <f t="shared" si="8"/>
        <v>5.7479452054794518</v>
      </c>
      <c r="F546" s="16">
        <v>2.3279999999999999E-2</v>
      </c>
      <c r="H546" s="16"/>
    </row>
    <row r="547" spans="1:8" x14ac:dyDescent="0.2">
      <c r="A547" s="108" t="s">
        <v>347</v>
      </c>
      <c r="B547" s="108">
        <v>117.21</v>
      </c>
      <c r="C547" s="16">
        <v>6.1500000000000006E-2</v>
      </c>
      <c r="D547" s="111">
        <v>43252</v>
      </c>
      <c r="E547" s="112">
        <f t="shared" si="8"/>
        <v>5.7917808219178086</v>
      </c>
      <c r="F547" s="16">
        <v>3.1969999999999998E-2</v>
      </c>
      <c r="H547" s="16"/>
    </row>
    <row r="548" spans="1:8" x14ac:dyDescent="0.2">
      <c r="A548" s="108" t="s">
        <v>354</v>
      </c>
      <c r="B548" s="108">
        <v>120.09</v>
      </c>
      <c r="C548" s="16">
        <v>5.3749999999999999E-2</v>
      </c>
      <c r="D548" s="111">
        <v>43252</v>
      </c>
      <c r="E548" s="112">
        <f t="shared" si="8"/>
        <v>5.7917808219178086</v>
      </c>
      <c r="F548" s="16">
        <v>2.0579999999999998E-2</v>
      </c>
      <c r="H548" s="16"/>
    </row>
    <row r="549" spans="1:8" x14ac:dyDescent="0.2">
      <c r="A549" s="108" t="s">
        <v>240</v>
      </c>
      <c r="B549" s="108">
        <v>120.53</v>
      </c>
      <c r="C549" s="16">
        <v>5.4000000000000006E-2</v>
      </c>
      <c r="D549" s="111">
        <v>43252</v>
      </c>
      <c r="E549" s="112">
        <f t="shared" si="8"/>
        <v>5.7917808219178086</v>
      </c>
      <c r="F549" s="16">
        <v>2.0139999999999998E-2</v>
      </c>
      <c r="H549" s="16"/>
    </row>
    <row r="550" spans="1:8" x14ac:dyDescent="0.2">
      <c r="A550" s="108" t="s">
        <v>421</v>
      </c>
      <c r="B550" s="108">
        <v>112.48</v>
      </c>
      <c r="C550" s="16">
        <v>0.06</v>
      </c>
      <c r="D550" s="111">
        <v>43252</v>
      </c>
      <c r="E550" s="112">
        <f t="shared" si="8"/>
        <v>5.7917808219178086</v>
      </c>
      <c r="F550" s="16">
        <v>3.814E-2</v>
      </c>
      <c r="H550" s="16"/>
    </row>
    <row r="551" spans="1:8" x14ac:dyDescent="0.2">
      <c r="A551" s="108" t="s">
        <v>422</v>
      </c>
      <c r="B551" s="108">
        <v>94.08</v>
      </c>
      <c r="C551" s="16">
        <v>4.6500000000000007E-2</v>
      </c>
      <c r="D551" s="111">
        <v>43255</v>
      </c>
      <c r="E551" s="112">
        <f t="shared" si="8"/>
        <v>5.8</v>
      </c>
      <c r="F551" s="16">
        <v>5.7529999999999998E-2</v>
      </c>
      <c r="H551" s="16"/>
    </row>
    <row r="552" spans="1:8" x14ac:dyDescent="0.2">
      <c r="A552" s="108" t="s">
        <v>423</v>
      </c>
      <c r="B552" s="108">
        <v>110.11</v>
      </c>
      <c r="C552" s="16">
        <v>4.2000000000000003E-2</v>
      </c>
      <c r="D552" s="111">
        <v>43266</v>
      </c>
      <c r="E552" s="112">
        <f t="shared" si="8"/>
        <v>5.8301369863013699</v>
      </c>
      <c r="F552" s="16">
        <v>2.5139999999999999E-2</v>
      </c>
      <c r="H552" s="16"/>
    </row>
    <row r="553" spans="1:8" x14ac:dyDescent="0.2">
      <c r="A553" s="108" t="s">
        <v>259</v>
      </c>
      <c r="B553" s="108">
        <v>122.14</v>
      </c>
      <c r="C553" s="16">
        <v>5.6500000000000002E-2</v>
      </c>
      <c r="D553" s="111">
        <v>43266</v>
      </c>
      <c r="E553" s="112">
        <f t="shared" si="8"/>
        <v>5.8301369863013699</v>
      </c>
      <c r="F553" s="16">
        <v>2.0179999999999997E-2</v>
      </c>
      <c r="H553" s="16"/>
    </row>
    <row r="554" spans="1:8" x14ac:dyDescent="0.2">
      <c r="A554" s="108" t="s">
        <v>424</v>
      </c>
      <c r="B554" s="108">
        <v>105.05</v>
      </c>
      <c r="C554" s="16">
        <v>4.2000000000000003E-2</v>
      </c>
      <c r="D554" s="111">
        <v>43296</v>
      </c>
      <c r="E554" s="112">
        <f t="shared" si="8"/>
        <v>5.912328767123288</v>
      </c>
      <c r="F554" s="16">
        <v>3.3430000000000001E-2</v>
      </c>
      <c r="H554" s="16"/>
    </row>
    <row r="555" spans="1:8" x14ac:dyDescent="0.2">
      <c r="A555" s="108" t="s">
        <v>239</v>
      </c>
      <c r="B555" s="108">
        <v>127.13</v>
      </c>
      <c r="C555" s="16">
        <v>0.06</v>
      </c>
      <c r="D555" s="111">
        <v>43296</v>
      </c>
      <c r="E555" s="112">
        <f t="shared" si="8"/>
        <v>5.912328767123288</v>
      </c>
      <c r="F555" s="16">
        <v>1.6570000000000001E-2</v>
      </c>
      <c r="H555" s="16"/>
    </row>
    <row r="556" spans="1:8" x14ac:dyDescent="0.2">
      <c r="A556" s="108" t="s">
        <v>296</v>
      </c>
      <c r="B556" s="108">
        <v>127.44</v>
      </c>
      <c r="C556" s="16">
        <v>6.25E-2</v>
      </c>
      <c r="D556" s="111">
        <v>43296</v>
      </c>
      <c r="E556" s="112">
        <f t="shared" si="8"/>
        <v>5.912328767123288</v>
      </c>
      <c r="F556" s="16">
        <v>1.83E-2</v>
      </c>
      <c r="H556" s="16"/>
    </row>
    <row r="557" spans="1:8" x14ac:dyDescent="0.2">
      <c r="A557" s="108" t="s">
        <v>384</v>
      </c>
      <c r="B557" s="108">
        <v>99.56</v>
      </c>
      <c r="C557" s="16">
        <v>6.5000000000000002E-2</v>
      </c>
      <c r="D557" s="111">
        <v>43296</v>
      </c>
      <c r="E557" s="112">
        <f t="shared" si="8"/>
        <v>5.912328767123288</v>
      </c>
      <c r="F557" s="16">
        <v>6.5820000000000004E-2</v>
      </c>
      <c r="H557" s="16"/>
    </row>
    <row r="558" spans="1:8" x14ac:dyDescent="0.2">
      <c r="A558" s="108" t="s">
        <v>425</v>
      </c>
      <c r="B558" s="108">
        <v>121.97</v>
      </c>
      <c r="C558" s="16">
        <v>5.6500000000000002E-2</v>
      </c>
      <c r="D558" s="111">
        <v>43296</v>
      </c>
      <c r="E558" s="112">
        <f t="shared" si="8"/>
        <v>5.912328767123288</v>
      </c>
      <c r="F558" s="16">
        <v>2.0799999999999999E-2</v>
      </c>
      <c r="H558" s="16"/>
    </row>
    <row r="559" spans="1:8" x14ac:dyDescent="0.2">
      <c r="A559" s="108" t="s">
        <v>328</v>
      </c>
      <c r="B559" s="108">
        <v>121.47</v>
      </c>
      <c r="C559" s="16">
        <v>6.5000000000000002E-2</v>
      </c>
      <c r="D559" s="111">
        <v>43296</v>
      </c>
      <c r="E559" s="112">
        <f t="shared" si="8"/>
        <v>5.912328767123288</v>
      </c>
      <c r="F559" s="16">
        <v>2.912E-2</v>
      </c>
      <c r="H559" s="16"/>
    </row>
    <row r="560" spans="1:8" x14ac:dyDescent="0.2">
      <c r="A560" s="108" t="s">
        <v>290</v>
      </c>
      <c r="B560" s="108">
        <v>121.93</v>
      </c>
      <c r="C560" s="16">
        <v>6.5000000000000002E-2</v>
      </c>
      <c r="D560" s="111">
        <v>43296</v>
      </c>
      <c r="E560" s="112">
        <f t="shared" si="8"/>
        <v>5.912328767123288</v>
      </c>
      <c r="F560" s="16">
        <v>2.843E-2</v>
      </c>
      <c r="H560" s="16"/>
    </row>
    <row r="561" spans="1:8" x14ac:dyDescent="0.2">
      <c r="A561" s="108" t="s">
        <v>269</v>
      </c>
      <c r="B561" s="108">
        <v>125.38</v>
      </c>
      <c r="C561" s="16">
        <v>5.7500000000000002E-2</v>
      </c>
      <c r="D561" s="111">
        <v>43353</v>
      </c>
      <c r="E561" s="112">
        <f t="shared" si="8"/>
        <v>6.0684931506849313</v>
      </c>
      <c r="F561" s="16">
        <v>1.7600000000000001E-2</v>
      </c>
      <c r="H561" s="16"/>
    </row>
    <row r="562" spans="1:8" x14ac:dyDescent="0.2">
      <c r="A562" s="108" t="s">
        <v>426</v>
      </c>
      <c r="B562" s="108">
        <v>123.61</v>
      </c>
      <c r="C562" s="16">
        <v>6.5000000000000002E-2</v>
      </c>
      <c r="D562" s="111">
        <v>43358</v>
      </c>
      <c r="E562" s="112">
        <f t="shared" si="8"/>
        <v>6.0821917808219181</v>
      </c>
      <c r="F562" s="16">
        <v>2.674E-2</v>
      </c>
      <c r="H562" s="16"/>
    </row>
    <row r="563" spans="1:8" x14ac:dyDescent="0.2">
      <c r="A563" s="108" t="s">
        <v>427</v>
      </c>
      <c r="B563" s="108">
        <v>101.91</v>
      </c>
      <c r="C563" s="16">
        <v>6.3500000000000001E-2</v>
      </c>
      <c r="D563" s="111">
        <v>43358</v>
      </c>
      <c r="E563" s="112">
        <f t="shared" si="8"/>
        <v>6.0821917808219181</v>
      </c>
      <c r="F563" s="16">
        <v>6.0010000000000001E-2</v>
      </c>
      <c r="H563" s="16"/>
    </row>
    <row r="564" spans="1:8" x14ac:dyDescent="0.2">
      <c r="A564" s="108" t="s">
        <v>427</v>
      </c>
      <c r="B564" s="108">
        <v>98.25</v>
      </c>
      <c r="C564" s="16">
        <v>6.3500000000000001E-2</v>
      </c>
      <c r="D564" s="111">
        <v>43358</v>
      </c>
      <c r="E564" s="112">
        <f t="shared" si="8"/>
        <v>6.0821917808219181</v>
      </c>
      <c r="F564" s="16">
        <v>6.6720000000000002E-2</v>
      </c>
      <c r="H564" s="16"/>
    </row>
    <row r="565" spans="1:8" x14ac:dyDescent="0.2">
      <c r="A565" s="108" t="s">
        <v>253</v>
      </c>
      <c r="B565" s="108">
        <v>130.87</v>
      </c>
      <c r="C565" s="16">
        <v>7.0499999999999993E-2</v>
      </c>
      <c r="D565" s="111">
        <v>43374</v>
      </c>
      <c r="E565" s="112">
        <f t="shared" si="8"/>
        <v>6.1260273972602741</v>
      </c>
      <c r="F565" s="16">
        <v>2.1659999999999999E-2</v>
      </c>
      <c r="H565" s="16"/>
    </row>
    <row r="566" spans="1:8" x14ac:dyDescent="0.2">
      <c r="A566" s="108" t="s">
        <v>308</v>
      </c>
      <c r="B566" s="108">
        <v>135.16999999999999</v>
      </c>
      <c r="C566" s="16">
        <v>8.2500000000000004E-2</v>
      </c>
      <c r="D566" s="111">
        <v>43388</v>
      </c>
      <c r="E566" s="112">
        <f t="shared" si="8"/>
        <v>6.1643835616438354</v>
      </c>
      <c r="F566" s="16">
        <v>2.6230000000000003E-2</v>
      </c>
      <c r="H566" s="16"/>
    </row>
    <row r="567" spans="1:8" x14ac:dyDescent="0.2">
      <c r="A567" s="108" t="s">
        <v>428</v>
      </c>
      <c r="B567" s="108">
        <v>102.54</v>
      </c>
      <c r="C567" s="16">
        <v>2.7000000000000003E-2</v>
      </c>
      <c r="D567" s="111">
        <v>43405</v>
      </c>
      <c r="E567" s="112">
        <f t="shared" si="8"/>
        <v>6.2109589041095887</v>
      </c>
      <c r="F567" s="16">
        <v>2.3E-2</v>
      </c>
      <c r="H567" s="16"/>
    </row>
    <row r="568" spans="1:8" x14ac:dyDescent="0.2">
      <c r="A568" s="108" t="s">
        <v>296</v>
      </c>
      <c r="B568" s="108">
        <v>134.71</v>
      </c>
      <c r="C568" s="16">
        <v>7.4999999999999997E-2</v>
      </c>
      <c r="D568" s="111">
        <v>43405</v>
      </c>
      <c r="E568" s="112">
        <f t="shared" si="8"/>
        <v>6.2109589041095887</v>
      </c>
      <c r="F568" s="16">
        <v>2.0840000000000001E-2</v>
      </c>
      <c r="H568" s="16"/>
    </row>
    <row r="569" spans="1:8" x14ac:dyDescent="0.2">
      <c r="A569" s="108" t="s">
        <v>273</v>
      </c>
      <c r="B569" s="108">
        <v>128</v>
      </c>
      <c r="C569" s="16">
        <v>6.5500000000000003E-2</v>
      </c>
      <c r="D569" s="111">
        <v>43405</v>
      </c>
      <c r="E569" s="112">
        <f t="shared" si="8"/>
        <v>6.2109589041095887</v>
      </c>
      <c r="F569" s="16">
        <v>2.1680000000000001E-2</v>
      </c>
      <c r="H569" s="16"/>
    </row>
    <row r="570" spans="1:8" x14ac:dyDescent="0.2">
      <c r="A570" s="108" t="s">
        <v>429</v>
      </c>
      <c r="B570" s="108">
        <v>127.75</v>
      </c>
      <c r="C570" s="16">
        <v>6.5000000000000002E-2</v>
      </c>
      <c r="D570" s="111">
        <v>43405</v>
      </c>
      <c r="E570" s="112">
        <f t="shared" si="8"/>
        <v>6.2109589041095887</v>
      </c>
      <c r="F570" s="16">
        <v>2.1589999999999998E-2</v>
      </c>
      <c r="H570" s="16"/>
    </row>
    <row r="571" spans="1:8" x14ac:dyDescent="0.2">
      <c r="A571" s="108" t="s">
        <v>257</v>
      </c>
      <c r="B571" s="108">
        <v>138.74</v>
      </c>
      <c r="C571" s="16">
        <v>8.7499999999999994E-2</v>
      </c>
      <c r="D571" s="111">
        <v>43405</v>
      </c>
      <c r="E571" s="112">
        <f t="shared" si="8"/>
        <v>6.2109589041095887</v>
      </c>
      <c r="F571" s="16">
        <v>2.5950000000000001E-2</v>
      </c>
      <c r="H571" s="16"/>
    </row>
    <row r="572" spans="1:8" x14ac:dyDescent="0.2">
      <c r="A572" s="108" t="s">
        <v>384</v>
      </c>
      <c r="B572" s="108">
        <v>104.71</v>
      </c>
      <c r="C572" s="16">
        <v>6.8750000000000006E-2</v>
      </c>
      <c r="D572" s="111">
        <v>43419</v>
      </c>
      <c r="E572" s="112">
        <f t="shared" si="8"/>
        <v>6.2493150684931509</v>
      </c>
      <c r="F572" s="16">
        <v>6.0350000000000001E-2</v>
      </c>
      <c r="H572" s="16"/>
    </row>
    <row r="573" spans="1:8" x14ac:dyDescent="0.2">
      <c r="A573" s="108" t="s">
        <v>388</v>
      </c>
      <c r="B573" s="108">
        <v>136.36000000000001</v>
      </c>
      <c r="C573" s="16">
        <v>7.9000000000000001E-2</v>
      </c>
      <c r="D573" s="111">
        <v>43449</v>
      </c>
      <c r="E573" s="112">
        <f t="shared" si="8"/>
        <v>6.3315068493150681</v>
      </c>
      <c r="F573" s="16">
        <v>2.2789999999999998E-2</v>
      </c>
      <c r="H573" s="16"/>
    </row>
    <row r="574" spans="1:8" x14ac:dyDescent="0.2">
      <c r="A574" s="108" t="s">
        <v>430</v>
      </c>
      <c r="B574" s="108">
        <v>125.48</v>
      </c>
      <c r="C574" s="16">
        <v>6.4000000000000001E-2</v>
      </c>
      <c r="D574" s="111">
        <v>43449</v>
      </c>
      <c r="E574" s="112">
        <f t="shared" si="8"/>
        <v>6.3315068493150681</v>
      </c>
      <c r="F574" s="16">
        <v>2.4380000000000002E-2</v>
      </c>
      <c r="H574" s="16"/>
    </row>
    <row r="575" spans="1:8" x14ac:dyDescent="0.2">
      <c r="A575" s="108" t="s">
        <v>425</v>
      </c>
      <c r="B575" s="108">
        <v>121.94</v>
      </c>
      <c r="C575" s="16">
        <v>5.5E-2</v>
      </c>
      <c r="D575" s="111">
        <v>43480</v>
      </c>
      <c r="E575" s="112">
        <f t="shared" si="8"/>
        <v>6.4164383561643836</v>
      </c>
      <c r="F575" s="16">
        <v>2.1589999999999998E-2</v>
      </c>
      <c r="H575" s="16"/>
    </row>
    <row r="576" spans="1:8" x14ac:dyDescent="0.2">
      <c r="A576" s="108" t="s">
        <v>361</v>
      </c>
      <c r="B576" s="108">
        <v>128.32</v>
      </c>
      <c r="C576" s="16">
        <v>7.1249999999999994E-2</v>
      </c>
      <c r="D576" s="111">
        <v>43480</v>
      </c>
      <c r="E576" s="112">
        <f t="shared" si="8"/>
        <v>6.4164383561643836</v>
      </c>
      <c r="F576" s="16">
        <v>2.7229999999999997E-2</v>
      </c>
      <c r="H576" s="16"/>
    </row>
    <row r="577" spans="1:8" x14ac:dyDescent="0.2">
      <c r="A577" s="108" t="s">
        <v>371</v>
      </c>
      <c r="B577" s="108">
        <v>131</v>
      </c>
      <c r="C577" s="16">
        <v>8.5000000000000006E-2</v>
      </c>
      <c r="D577" s="111">
        <v>43480</v>
      </c>
      <c r="E577" s="112">
        <f t="shared" si="8"/>
        <v>6.4164383561643836</v>
      </c>
      <c r="F577" s="16">
        <v>3.5369999999999999E-2</v>
      </c>
      <c r="H577" s="16"/>
    </row>
    <row r="578" spans="1:8" x14ac:dyDescent="0.2">
      <c r="A578" s="108" t="s">
        <v>293</v>
      </c>
      <c r="B578" s="108">
        <v>121.22</v>
      </c>
      <c r="C578" s="16">
        <v>5.2499999999999998E-2</v>
      </c>
      <c r="D578" s="111">
        <v>43480</v>
      </c>
      <c r="E578" s="112">
        <f t="shared" si="8"/>
        <v>6.4164383561643836</v>
      </c>
      <c r="F578" s="16">
        <v>2.035E-2</v>
      </c>
      <c r="H578" s="16"/>
    </row>
    <row r="579" spans="1:8" x14ac:dyDescent="0.2">
      <c r="A579" s="108" t="s">
        <v>347</v>
      </c>
      <c r="B579" s="108">
        <v>116.25</v>
      </c>
      <c r="C579" s="16">
        <v>5.7000000000000002E-2</v>
      </c>
      <c r="D579" s="111">
        <v>43497</v>
      </c>
      <c r="E579" s="112">
        <f t="shared" si="8"/>
        <v>6.463013698630137</v>
      </c>
      <c r="F579" s="16">
        <v>3.1480000000000001E-2</v>
      </c>
      <c r="H579" s="16"/>
    </row>
    <row r="580" spans="1:8" x14ac:dyDescent="0.2">
      <c r="A580" s="108" t="s">
        <v>235</v>
      </c>
      <c r="B580" s="108">
        <v>124.24</v>
      </c>
      <c r="C580" s="16">
        <v>5.7500000000000002E-2</v>
      </c>
      <c r="D580" s="111">
        <v>43497</v>
      </c>
      <c r="E580" s="112">
        <f t="shared" ref="E580:E643" si="9">(D580-DATE(2012,8,17))/365</f>
        <v>6.463013698630137</v>
      </c>
      <c r="F580" s="16">
        <v>2.0899999999999998E-2</v>
      </c>
      <c r="H580" s="16"/>
    </row>
    <row r="581" spans="1:8" x14ac:dyDescent="0.2">
      <c r="A581" s="108" t="s">
        <v>405</v>
      </c>
      <c r="B581" s="108">
        <v>118.75</v>
      </c>
      <c r="C581" s="16">
        <v>0.05</v>
      </c>
      <c r="D581" s="111">
        <v>43497</v>
      </c>
      <c r="E581" s="112">
        <f t="shared" si="9"/>
        <v>6.463013698630137</v>
      </c>
      <c r="F581" s="16">
        <v>2.1610000000000001E-2</v>
      </c>
      <c r="H581" s="16"/>
    </row>
    <row r="582" spans="1:8" x14ac:dyDescent="0.2">
      <c r="A582" s="108" t="s">
        <v>360</v>
      </c>
      <c r="B582" s="108">
        <v>126.77</v>
      </c>
      <c r="C582" s="16">
        <v>6.1249999999999999E-2</v>
      </c>
      <c r="D582" s="111">
        <v>43497</v>
      </c>
      <c r="E582" s="112">
        <f t="shared" si="9"/>
        <v>6.463013698630137</v>
      </c>
      <c r="F582" s="16">
        <v>2.0830000000000001E-2</v>
      </c>
      <c r="H582" s="16"/>
    </row>
    <row r="583" spans="1:8" x14ac:dyDescent="0.2">
      <c r="A583" s="108" t="s">
        <v>246</v>
      </c>
      <c r="B583" s="108">
        <v>120.42</v>
      </c>
      <c r="C583" s="16">
        <v>5.7999999999999996E-2</v>
      </c>
      <c r="D583" s="111">
        <v>43511</v>
      </c>
      <c r="E583" s="112">
        <f t="shared" si="9"/>
        <v>6.5013698630136982</v>
      </c>
      <c r="F583" s="16">
        <v>2.665E-2</v>
      </c>
      <c r="H583" s="16"/>
    </row>
    <row r="584" spans="1:8" x14ac:dyDescent="0.2">
      <c r="A584" s="108" t="s">
        <v>353</v>
      </c>
      <c r="B584" s="108">
        <v>88.69</v>
      </c>
      <c r="C584" s="16">
        <v>5.4000000000000006E-2</v>
      </c>
      <c r="D584" s="111">
        <v>43511</v>
      </c>
      <c r="E584" s="112">
        <f t="shared" si="9"/>
        <v>6.5013698630136982</v>
      </c>
      <c r="F584" s="16">
        <v>7.4550000000000005E-2</v>
      </c>
      <c r="H584" s="16"/>
    </row>
    <row r="585" spans="1:8" x14ac:dyDescent="0.2">
      <c r="A585" s="108" t="s">
        <v>253</v>
      </c>
      <c r="B585" s="108">
        <v>130.63</v>
      </c>
      <c r="C585" s="16">
        <v>7.1500000000000008E-2</v>
      </c>
      <c r="D585" s="111">
        <v>43511</v>
      </c>
      <c r="E585" s="112">
        <f t="shared" si="9"/>
        <v>6.5013698630136982</v>
      </c>
      <c r="F585" s="16">
        <v>2.4809999999999999E-2</v>
      </c>
      <c r="H585" s="16"/>
    </row>
    <row r="586" spans="1:8" x14ac:dyDescent="0.2">
      <c r="A586" s="108" t="s">
        <v>348</v>
      </c>
      <c r="B586" s="108">
        <v>116.9</v>
      </c>
      <c r="C586" s="16">
        <v>4.9500000000000002E-2</v>
      </c>
      <c r="D586" s="111">
        <v>43511</v>
      </c>
      <c r="E586" s="112">
        <f t="shared" si="9"/>
        <v>6.5013698630136982</v>
      </c>
      <c r="F586" s="16">
        <v>2.383E-2</v>
      </c>
      <c r="H586" s="16"/>
    </row>
    <row r="587" spans="1:8" x14ac:dyDescent="0.2">
      <c r="A587" s="108" t="s">
        <v>327</v>
      </c>
      <c r="B587" s="108">
        <v>108.18</v>
      </c>
      <c r="C587" s="16">
        <v>7.4999999999999997E-2</v>
      </c>
      <c r="D587" s="111">
        <v>43511</v>
      </c>
      <c r="E587" s="112">
        <f t="shared" si="9"/>
        <v>6.5013698630136982</v>
      </c>
      <c r="F587" s="16">
        <v>6.0789999999999997E-2</v>
      </c>
      <c r="H587" s="16"/>
    </row>
    <row r="588" spans="1:8" x14ac:dyDescent="0.2">
      <c r="A588" s="108" t="s">
        <v>316</v>
      </c>
      <c r="B588" s="108">
        <v>118.65</v>
      </c>
      <c r="C588" s="16">
        <v>0.05</v>
      </c>
      <c r="D588" s="111">
        <v>43511</v>
      </c>
      <c r="E588" s="112">
        <f t="shared" si="9"/>
        <v>6.5013698630136982</v>
      </c>
      <c r="F588" s="16">
        <v>2.188E-2</v>
      </c>
      <c r="H588" s="16"/>
    </row>
    <row r="589" spans="1:8" x14ac:dyDescent="0.2">
      <c r="A589" s="108" t="s">
        <v>335</v>
      </c>
      <c r="B589" s="108">
        <v>127.47</v>
      </c>
      <c r="C589" s="16">
        <v>7.7170000000000002E-2</v>
      </c>
      <c r="D589" s="111">
        <v>43511</v>
      </c>
      <c r="E589" s="112">
        <f t="shared" si="9"/>
        <v>6.5013698630136982</v>
      </c>
      <c r="F589" s="16">
        <v>3.388E-2</v>
      </c>
      <c r="H589" s="16"/>
    </row>
    <row r="590" spans="1:8" x14ac:dyDescent="0.2">
      <c r="A590" s="108" t="s">
        <v>318</v>
      </c>
      <c r="B590" s="108">
        <v>126.55</v>
      </c>
      <c r="C590" s="16">
        <v>7.0000000000000007E-2</v>
      </c>
      <c r="D590" s="111">
        <v>43511</v>
      </c>
      <c r="E590" s="112">
        <f t="shared" si="9"/>
        <v>6.5013698630136982</v>
      </c>
      <c r="F590" s="16">
        <v>2.8910000000000002E-2</v>
      </c>
      <c r="H590" s="16"/>
    </row>
    <row r="591" spans="1:8" x14ac:dyDescent="0.2">
      <c r="A591" s="108" t="s">
        <v>247</v>
      </c>
      <c r="B591" s="108">
        <v>116.25</v>
      </c>
      <c r="C591" s="16">
        <v>0.05</v>
      </c>
      <c r="D591" s="111">
        <v>43525</v>
      </c>
      <c r="E591" s="112">
        <f t="shared" si="9"/>
        <v>6.5397260273972604</v>
      </c>
      <c r="F591" s="16">
        <v>2.5319999999999999E-2</v>
      </c>
      <c r="H591" s="16"/>
    </row>
    <row r="592" spans="1:8" x14ac:dyDescent="0.2">
      <c r="A592" s="108" t="s">
        <v>305</v>
      </c>
      <c r="B592" s="108">
        <v>114.83</v>
      </c>
      <c r="C592" s="16">
        <v>4.7500000000000001E-2</v>
      </c>
      <c r="D592" s="111">
        <v>43534</v>
      </c>
      <c r="E592" s="112">
        <f t="shared" si="9"/>
        <v>6.5643835616438357</v>
      </c>
      <c r="F592" s="16">
        <v>2.5070000000000002E-2</v>
      </c>
      <c r="H592" s="16"/>
    </row>
    <row r="593" spans="1:8" x14ac:dyDescent="0.2">
      <c r="A593" s="108" t="s">
        <v>322</v>
      </c>
      <c r="B593" s="108">
        <v>124.71</v>
      </c>
      <c r="C593" s="16">
        <v>0.06</v>
      </c>
      <c r="D593" s="111">
        <v>43539</v>
      </c>
      <c r="E593" s="112">
        <f t="shared" si="9"/>
        <v>6.5780821917808217</v>
      </c>
      <c r="F593" s="16">
        <v>2.298E-2</v>
      </c>
      <c r="H593" s="16"/>
    </row>
    <row r="594" spans="1:8" x14ac:dyDescent="0.2">
      <c r="A594" s="108" t="s">
        <v>336</v>
      </c>
      <c r="B594" s="108">
        <v>122.89</v>
      </c>
      <c r="C594" s="16">
        <v>5.5E-2</v>
      </c>
      <c r="D594" s="111">
        <v>43539</v>
      </c>
      <c r="E594" s="112">
        <f t="shared" si="9"/>
        <v>6.5780821917808217</v>
      </c>
      <c r="F594" s="16">
        <v>2.0969999999999999E-2</v>
      </c>
      <c r="H594" s="16"/>
    </row>
    <row r="595" spans="1:8" x14ac:dyDescent="0.2">
      <c r="A595" s="108" t="s">
        <v>239</v>
      </c>
      <c r="B595" s="108">
        <v>122.17</v>
      </c>
      <c r="C595" s="16">
        <v>5.7500000000000002E-2</v>
      </c>
      <c r="D595" s="111">
        <v>43539</v>
      </c>
      <c r="E595" s="112">
        <f t="shared" si="9"/>
        <v>6.5780821917808217</v>
      </c>
      <c r="F595" s="16">
        <v>2.4140000000000002E-2</v>
      </c>
      <c r="H595" s="16"/>
    </row>
    <row r="596" spans="1:8" x14ac:dyDescent="0.2">
      <c r="A596" s="108" t="s">
        <v>395</v>
      </c>
      <c r="B596" s="108">
        <v>121.65</v>
      </c>
      <c r="C596" s="16">
        <v>7.8750000000000001E-2</v>
      </c>
      <c r="D596" s="111">
        <v>43539</v>
      </c>
      <c r="E596" s="112">
        <f t="shared" si="9"/>
        <v>6.5780821917808217</v>
      </c>
      <c r="F596" s="16">
        <v>4.3730000000000005E-2</v>
      </c>
      <c r="H596" s="16"/>
    </row>
    <row r="597" spans="1:8" x14ac:dyDescent="0.2">
      <c r="A597" s="108" t="s">
        <v>431</v>
      </c>
      <c r="B597" s="108">
        <v>130.05000000000001</v>
      </c>
      <c r="C597" s="16">
        <v>6.9500000000000006E-2</v>
      </c>
      <c r="D597" s="111">
        <v>43544</v>
      </c>
      <c r="E597" s="112">
        <f t="shared" si="9"/>
        <v>6.5917808219178085</v>
      </c>
      <c r="F597" s="16">
        <v>2.4329999999999997E-2</v>
      </c>
      <c r="H597" s="16"/>
    </row>
    <row r="598" spans="1:8" x14ac:dyDescent="0.2">
      <c r="A598" s="108" t="s">
        <v>325</v>
      </c>
      <c r="B598" s="108">
        <v>125.9</v>
      </c>
      <c r="C598" s="16">
        <v>6.5000000000000002E-2</v>
      </c>
      <c r="D598" s="111">
        <v>43556</v>
      </c>
      <c r="E598" s="112">
        <f t="shared" si="9"/>
        <v>6.624657534246575</v>
      </c>
      <c r="F598" s="16">
        <v>2.598E-2</v>
      </c>
      <c r="H598" s="16"/>
    </row>
    <row r="599" spans="1:8" x14ac:dyDescent="0.2">
      <c r="A599" s="108" t="s">
        <v>332</v>
      </c>
      <c r="B599" s="108">
        <v>126.23</v>
      </c>
      <c r="C599" s="16">
        <v>6.9500000000000006E-2</v>
      </c>
      <c r="D599" s="111">
        <v>43556</v>
      </c>
      <c r="E599" s="112">
        <f t="shared" si="9"/>
        <v>6.624657534246575</v>
      </c>
      <c r="F599" s="16">
        <v>2.9449999999999997E-2</v>
      </c>
      <c r="H599" s="16"/>
    </row>
    <row r="600" spans="1:8" x14ac:dyDescent="0.2">
      <c r="A600" s="108" t="s">
        <v>257</v>
      </c>
      <c r="B600" s="108">
        <v>124.91</v>
      </c>
      <c r="C600" s="16">
        <v>6.3500000000000001E-2</v>
      </c>
      <c r="D600" s="111">
        <v>43556</v>
      </c>
      <c r="E600" s="112">
        <f t="shared" si="9"/>
        <v>6.624657534246575</v>
      </c>
      <c r="F600" s="16">
        <v>2.597E-2</v>
      </c>
      <c r="H600" s="16"/>
    </row>
    <row r="601" spans="1:8" x14ac:dyDescent="0.2">
      <c r="A601" s="108" t="s">
        <v>339</v>
      </c>
      <c r="B601" s="108">
        <v>117</v>
      </c>
      <c r="C601" s="16">
        <v>5.8749999999999997E-2</v>
      </c>
      <c r="D601" s="111">
        <v>43586</v>
      </c>
      <c r="E601" s="112">
        <f t="shared" si="9"/>
        <v>6.7068493150684931</v>
      </c>
      <c r="F601" s="16">
        <v>3.2739999999999998E-2</v>
      </c>
      <c r="H601" s="16"/>
    </row>
    <row r="602" spans="1:8" x14ac:dyDescent="0.2">
      <c r="A602" s="108" t="s">
        <v>328</v>
      </c>
      <c r="B602" s="108">
        <v>137</v>
      </c>
      <c r="C602" s="16">
        <v>0.09</v>
      </c>
      <c r="D602" s="111">
        <v>43586</v>
      </c>
      <c r="E602" s="112">
        <f t="shared" si="9"/>
        <v>6.7068493150684931</v>
      </c>
      <c r="F602" s="16">
        <v>3.3279999999999997E-2</v>
      </c>
      <c r="H602" s="16"/>
    </row>
    <row r="603" spans="1:8" x14ac:dyDescent="0.2">
      <c r="A603" s="108" t="s">
        <v>432</v>
      </c>
      <c r="B603" s="108">
        <v>124.18</v>
      </c>
      <c r="C603" s="16">
        <v>8.5000000000000006E-2</v>
      </c>
      <c r="D603" s="111">
        <v>43600</v>
      </c>
      <c r="E603" s="112">
        <f t="shared" si="9"/>
        <v>6.7452054794520544</v>
      </c>
      <c r="F603" s="16">
        <v>4.6269999999999999E-2</v>
      </c>
      <c r="H603" s="16"/>
    </row>
    <row r="604" spans="1:8" x14ac:dyDescent="0.2">
      <c r="A604" s="108" t="s">
        <v>323</v>
      </c>
      <c r="B604" s="108">
        <v>123.72</v>
      </c>
      <c r="C604" s="16">
        <v>6.6250000000000003E-2</v>
      </c>
      <c r="D604" s="111">
        <v>43600</v>
      </c>
      <c r="E604" s="112">
        <f t="shared" si="9"/>
        <v>6.7452054794520544</v>
      </c>
      <c r="F604" s="16">
        <v>3.0440000000000002E-2</v>
      </c>
      <c r="H604" s="16"/>
    </row>
    <row r="605" spans="1:8" x14ac:dyDescent="0.2">
      <c r="A605" s="108" t="s">
        <v>327</v>
      </c>
      <c r="B605" s="108">
        <v>112</v>
      </c>
      <c r="C605" s="16">
        <v>6.7500000000000004E-2</v>
      </c>
      <c r="D605" s="111">
        <v>43600</v>
      </c>
      <c r="E605" s="112">
        <f t="shared" si="9"/>
        <v>6.7452054794520544</v>
      </c>
      <c r="F605" s="16">
        <v>4.8150000000000005E-2</v>
      </c>
      <c r="H605" s="16"/>
    </row>
    <row r="606" spans="1:8" x14ac:dyDescent="0.2">
      <c r="A606" s="108" t="s">
        <v>351</v>
      </c>
      <c r="B606" s="108">
        <v>118.74</v>
      </c>
      <c r="C606" s="16">
        <v>6.8750000000000006E-2</v>
      </c>
      <c r="D606" s="111">
        <v>43600</v>
      </c>
      <c r="E606" s="112">
        <f t="shared" si="9"/>
        <v>6.7452054794520544</v>
      </c>
      <c r="F606" s="16">
        <v>3.9480000000000001E-2</v>
      </c>
      <c r="H606" s="16"/>
    </row>
    <row r="607" spans="1:8" x14ac:dyDescent="0.2">
      <c r="A607" s="108" t="s">
        <v>330</v>
      </c>
      <c r="B607" s="108">
        <v>123.61</v>
      </c>
      <c r="C607" s="16">
        <v>7.4499999999999997E-2</v>
      </c>
      <c r="D607" s="111">
        <v>43601</v>
      </c>
      <c r="E607" s="112">
        <f t="shared" si="9"/>
        <v>6.7479452054794518</v>
      </c>
      <c r="F607" s="16">
        <v>3.7870000000000001E-2</v>
      </c>
      <c r="H607" s="16"/>
    </row>
    <row r="608" spans="1:8" x14ac:dyDescent="0.2">
      <c r="A608" s="108" t="s">
        <v>289</v>
      </c>
      <c r="B608" s="108">
        <v>130.28</v>
      </c>
      <c r="C608" s="16">
        <v>8.1250000000000003E-2</v>
      </c>
      <c r="D608" s="111">
        <v>43605</v>
      </c>
      <c r="E608" s="112">
        <f t="shared" si="9"/>
        <v>6.7589041095890412</v>
      </c>
      <c r="F608" s="16">
        <v>3.4849999999999999E-2</v>
      </c>
      <c r="H608" s="16"/>
    </row>
    <row r="609" spans="1:8" x14ac:dyDescent="0.2">
      <c r="A609" s="108" t="s">
        <v>229</v>
      </c>
      <c r="B609" s="108">
        <v>119.76</v>
      </c>
      <c r="C609" s="16">
        <v>8.5000000000000006E-2</v>
      </c>
      <c r="D609" s="111">
        <v>43607</v>
      </c>
      <c r="E609" s="112">
        <f t="shared" si="9"/>
        <v>6.7643835616438359</v>
      </c>
      <c r="F609" s="16">
        <v>5.2670000000000002E-2</v>
      </c>
      <c r="H609" s="16"/>
    </row>
    <row r="610" spans="1:8" x14ac:dyDescent="0.2">
      <c r="A610" s="108" t="s">
        <v>275</v>
      </c>
      <c r="B610" s="108">
        <v>101.15</v>
      </c>
      <c r="C610" s="16">
        <v>7.6249999999999998E-2</v>
      </c>
      <c r="D610" s="111">
        <v>43617</v>
      </c>
      <c r="E610" s="112">
        <f t="shared" si="9"/>
        <v>6.7917808219178086</v>
      </c>
      <c r="F610" s="16">
        <v>7.4230000000000004E-2</v>
      </c>
      <c r="H610" s="16"/>
    </row>
    <row r="611" spans="1:8" x14ac:dyDescent="0.2">
      <c r="A611" s="108" t="s">
        <v>261</v>
      </c>
      <c r="B611" s="108">
        <v>121.26</v>
      </c>
      <c r="C611" s="16">
        <v>5.1249999999999997E-2</v>
      </c>
      <c r="D611" s="111">
        <v>43617</v>
      </c>
      <c r="E611" s="112">
        <f t="shared" si="9"/>
        <v>6.7917808219178086</v>
      </c>
      <c r="F611" s="16">
        <v>2.052E-2</v>
      </c>
      <c r="H611" s="16"/>
    </row>
    <row r="612" spans="1:8" x14ac:dyDescent="0.2">
      <c r="A612" s="108" t="s">
        <v>414</v>
      </c>
      <c r="B612" s="108">
        <v>122.9</v>
      </c>
      <c r="C612" s="16">
        <v>5.9000000000000004E-2</v>
      </c>
      <c r="D612" s="111">
        <v>43618</v>
      </c>
      <c r="E612" s="112">
        <f t="shared" si="9"/>
        <v>6.7945205479452051</v>
      </c>
      <c r="F612" s="16">
        <v>2.53E-2</v>
      </c>
      <c r="H612" s="16"/>
    </row>
    <row r="613" spans="1:8" x14ac:dyDescent="0.2">
      <c r="A613" s="108" t="s">
        <v>331</v>
      </c>
      <c r="B613" s="108">
        <v>126.28</v>
      </c>
      <c r="C613" s="16">
        <v>6.7000000000000004E-2</v>
      </c>
      <c r="D613" s="111">
        <v>43626</v>
      </c>
      <c r="E613" s="112">
        <f t="shared" si="9"/>
        <v>6.816438356164384</v>
      </c>
      <c r="F613" s="16">
        <v>2.802E-2</v>
      </c>
      <c r="H613" s="16"/>
    </row>
    <row r="614" spans="1:8" x14ac:dyDescent="0.2">
      <c r="A614" s="108" t="s">
        <v>271</v>
      </c>
      <c r="B614" s="108">
        <v>120.06</v>
      </c>
      <c r="C614" s="16">
        <v>5.8749999999999997E-2</v>
      </c>
      <c r="D614" s="111">
        <v>43631</v>
      </c>
      <c r="E614" s="112">
        <f t="shared" si="9"/>
        <v>6.8301369863013699</v>
      </c>
      <c r="F614" s="16">
        <v>2.8929999999999997E-2</v>
      </c>
      <c r="H614" s="16"/>
    </row>
    <row r="615" spans="1:8" x14ac:dyDescent="0.2">
      <c r="A615" s="108" t="s">
        <v>234</v>
      </c>
      <c r="B615" s="108">
        <v>118.31</v>
      </c>
      <c r="C615" s="16">
        <v>7.3749999999999996E-2</v>
      </c>
      <c r="D615" s="111">
        <v>43631</v>
      </c>
      <c r="E615" s="112">
        <f t="shared" si="9"/>
        <v>6.8301369863013699</v>
      </c>
      <c r="F615" s="16">
        <v>4.4850000000000001E-2</v>
      </c>
      <c r="H615" s="16"/>
    </row>
    <row r="616" spans="1:8" x14ac:dyDescent="0.2">
      <c r="A616" s="108" t="s">
        <v>230</v>
      </c>
      <c r="B616" s="108">
        <v>121.84</v>
      </c>
      <c r="C616" s="16">
        <v>8.7499999999999994E-2</v>
      </c>
      <c r="D616" s="111">
        <v>43647</v>
      </c>
      <c r="E616" s="112">
        <f t="shared" si="9"/>
        <v>6.8739726027397259</v>
      </c>
      <c r="F616" s="16">
        <v>5.2240000000000002E-2</v>
      </c>
      <c r="H616" s="16"/>
    </row>
    <row r="617" spans="1:8" x14ac:dyDescent="0.2">
      <c r="A617" s="108" t="s">
        <v>338</v>
      </c>
      <c r="B617" s="108">
        <v>118.74</v>
      </c>
      <c r="C617" s="16">
        <v>0.05</v>
      </c>
      <c r="D617" s="111">
        <v>43654</v>
      </c>
      <c r="E617" s="112">
        <f t="shared" si="9"/>
        <v>6.8931506849315065</v>
      </c>
      <c r="F617" s="16">
        <v>2.3E-2</v>
      </c>
      <c r="H617" s="16"/>
    </row>
    <row r="618" spans="1:8" x14ac:dyDescent="0.2">
      <c r="A618" s="108" t="s">
        <v>227</v>
      </c>
      <c r="B618" s="108">
        <v>112.18</v>
      </c>
      <c r="C618" s="16">
        <v>6.3750000000000001E-2</v>
      </c>
      <c r="D618" s="111">
        <v>43661</v>
      </c>
      <c r="E618" s="112">
        <f t="shared" si="9"/>
        <v>6.912328767123288</v>
      </c>
      <c r="F618" s="16">
        <v>4.471E-2</v>
      </c>
      <c r="H618" s="16"/>
    </row>
    <row r="619" spans="1:8" x14ac:dyDescent="0.2">
      <c r="A619" s="108" t="s">
        <v>433</v>
      </c>
      <c r="B619" s="108">
        <v>115.69</v>
      </c>
      <c r="C619" s="16">
        <v>4.8750000000000002E-2</v>
      </c>
      <c r="D619" s="111">
        <v>43661</v>
      </c>
      <c r="E619" s="112">
        <f t="shared" si="9"/>
        <v>6.912328767123288</v>
      </c>
      <c r="F619" s="16">
        <v>2.5929999999999998E-2</v>
      </c>
      <c r="H619" s="16"/>
    </row>
    <row r="620" spans="1:8" x14ac:dyDescent="0.2">
      <c r="A620" s="108" t="s">
        <v>353</v>
      </c>
      <c r="B620" s="108">
        <v>98.66</v>
      </c>
      <c r="C620" s="16">
        <v>6.4000000000000001E-2</v>
      </c>
      <c r="D620" s="111">
        <v>43692</v>
      </c>
      <c r="E620" s="112">
        <f t="shared" si="9"/>
        <v>6.9972602739726026</v>
      </c>
      <c r="F620" s="16">
        <v>6.6220000000000001E-2</v>
      </c>
      <c r="H620" s="16"/>
    </row>
    <row r="621" spans="1:8" x14ac:dyDescent="0.2">
      <c r="A621" s="108" t="s">
        <v>353</v>
      </c>
      <c r="B621" s="108">
        <v>93.12</v>
      </c>
      <c r="C621" s="16">
        <v>4.6500000000000007E-2</v>
      </c>
      <c r="D621" s="111">
        <v>43692</v>
      </c>
      <c r="E621" s="112">
        <f t="shared" si="9"/>
        <v>6.9972602739726026</v>
      </c>
      <c r="F621" s="16">
        <v>5.7660000000000003E-2</v>
      </c>
      <c r="H621" s="16"/>
    </row>
    <row r="622" spans="1:8" x14ac:dyDescent="0.2">
      <c r="A622" s="108" t="s">
        <v>390</v>
      </c>
      <c r="B622" s="108">
        <v>118.81</v>
      </c>
      <c r="C622" s="16">
        <v>5.2000000000000005E-2</v>
      </c>
      <c r="D622" s="111">
        <v>43692</v>
      </c>
      <c r="E622" s="112">
        <f t="shared" si="9"/>
        <v>6.9972602739726026</v>
      </c>
      <c r="F622" s="16">
        <v>2.5009999999999998E-2</v>
      </c>
      <c r="H622" s="16"/>
    </row>
    <row r="623" spans="1:8" x14ac:dyDescent="0.2">
      <c r="A623" s="108" t="s">
        <v>327</v>
      </c>
      <c r="B623" s="108">
        <v>95.42</v>
      </c>
      <c r="C623" s="16">
        <v>4.2500000000000003E-2</v>
      </c>
      <c r="D623" s="111">
        <v>43692</v>
      </c>
      <c r="E623" s="112">
        <f t="shared" si="9"/>
        <v>6.9972602739726026</v>
      </c>
      <c r="F623" s="16">
        <v>4.9669999999999999E-2</v>
      </c>
      <c r="H623" s="16"/>
    </row>
    <row r="624" spans="1:8" x14ac:dyDescent="0.2">
      <c r="A624" s="108" t="s">
        <v>353</v>
      </c>
      <c r="B624" s="108">
        <v>89.94</v>
      </c>
      <c r="C624" s="16">
        <v>4.7500000000000001E-2</v>
      </c>
      <c r="D624" s="111">
        <v>43723</v>
      </c>
      <c r="E624" s="112">
        <f t="shared" si="9"/>
        <v>7.0821917808219181</v>
      </c>
      <c r="F624" s="16">
        <v>6.4089999999999994E-2</v>
      </c>
      <c r="H624" s="16"/>
    </row>
    <row r="625" spans="1:8" x14ac:dyDescent="0.2">
      <c r="A625" s="108" t="s">
        <v>327</v>
      </c>
      <c r="B625" s="108">
        <v>101</v>
      </c>
      <c r="C625" s="16">
        <v>5.0499999999999996E-2</v>
      </c>
      <c r="D625" s="111">
        <v>43723</v>
      </c>
      <c r="E625" s="112">
        <f t="shared" si="9"/>
        <v>7.0821917808219181</v>
      </c>
      <c r="F625" s="16">
        <v>4.8930000000000001E-2</v>
      </c>
      <c r="H625" s="16"/>
    </row>
    <row r="626" spans="1:8" x14ac:dyDescent="0.2">
      <c r="A626" s="108" t="s">
        <v>434</v>
      </c>
      <c r="B626" s="108">
        <v>125.59</v>
      </c>
      <c r="C626" s="16">
        <v>6.1500000000000006E-2</v>
      </c>
      <c r="D626" s="111">
        <v>43723</v>
      </c>
      <c r="E626" s="112">
        <f t="shared" si="9"/>
        <v>7.0821917808219181</v>
      </c>
      <c r="F626" s="16">
        <v>2.512E-2</v>
      </c>
      <c r="H626" s="16"/>
    </row>
    <row r="627" spans="1:8" x14ac:dyDescent="0.2">
      <c r="A627" s="108" t="s">
        <v>373</v>
      </c>
      <c r="B627" s="108">
        <v>110.39</v>
      </c>
      <c r="C627" s="16">
        <v>5.6250000000000001E-2</v>
      </c>
      <c r="D627" s="111">
        <v>43723</v>
      </c>
      <c r="E627" s="112">
        <f t="shared" si="9"/>
        <v>7.0821917808219181</v>
      </c>
      <c r="F627" s="16">
        <v>4.0549999999999996E-2</v>
      </c>
      <c r="H627" s="16"/>
    </row>
    <row r="628" spans="1:8" x14ac:dyDescent="0.2">
      <c r="A628" s="108" t="s">
        <v>260</v>
      </c>
      <c r="B628" s="108">
        <v>90.16</v>
      </c>
      <c r="C628" s="16">
        <v>5.6250000000000001E-2</v>
      </c>
      <c r="D628" s="111">
        <v>43731</v>
      </c>
      <c r="E628" s="112">
        <f t="shared" si="9"/>
        <v>7.1041095890410961</v>
      </c>
      <c r="F628" s="16">
        <v>7.2980000000000003E-2</v>
      </c>
      <c r="H628" s="16"/>
    </row>
    <row r="629" spans="1:8" x14ac:dyDescent="0.2">
      <c r="A629" s="108" t="s">
        <v>315</v>
      </c>
      <c r="B629" s="108">
        <v>114.02</v>
      </c>
      <c r="C629" s="16">
        <v>4.7E-2</v>
      </c>
      <c r="D629" s="111">
        <v>43739</v>
      </c>
      <c r="E629" s="112">
        <f t="shared" si="9"/>
        <v>7.1260273972602741</v>
      </c>
      <c r="F629" s="16">
        <v>2.7019999999999999E-2</v>
      </c>
      <c r="H629" s="16"/>
    </row>
    <row r="630" spans="1:8" x14ac:dyDescent="0.2">
      <c r="A630" s="108" t="s">
        <v>276</v>
      </c>
      <c r="B630" s="108">
        <v>119.16</v>
      </c>
      <c r="C630" s="16">
        <v>4.8750000000000002E-2</v>
      </c>
      <c r="D630" s="111">
        <v>43753</v>
      </c>
      <c r="E630" s="112">
        <f t="shared" si="9"/>
        <v>7.1643835616438354</v>
      </c>
      <c r="F630" s="16">
        <v>2.2099999999999998E-2</v>
      </c>
      <c r="H630" s="16"/>
    </row>
    <row r="631" spans="1:8" x14ac:dyDescent="0.2">
      <c r="A631" s="108" t="s">
        <v>273</v>
      </c>
      <c r="B631" s="108">
        <v>101.55</v>
      </c>
      <c r="C631" s="16">
        <v>0.03</v>
      </c>
      <c r="D631" s="111">
        <v>43753</v>
      </c>
      <c r="E631" s="112">
        <f t="shared" si="9"/>
        <v>7.1643835616438354</v>
      </c>
      <c r="F631" s="16">
        <v>2.7810000000000001E-2</v>
      </c>
      <c r="H631" s="16"/>
    </row>
    <row r="632" spans="1:8" x14ac:dyDescent="0.2">
      <c r="A632" s="108" t="s">
        <v>435</v>
      </c>
      <c r="B632" s="108">
        <v>111.61</v>
      </c>
      <c r="C632" s="16">
        <v>7.3749999999999996E-2</v>
      </c>
      <c r="D632" s="111">
        <v>43753</v>
      </c>
      <c r="E632" s="112">
        <f t="shared" si="9"/>
        <v>7.1643835616438354</v>
      </c>
      <c r="F632" s="16">
        <v>5.534E-2</v>
      </c>
      <c r="H632" s="16"/>
    </row>
    <row r="633" spans="1:8" x14ac:dyDescent="0.2">
      <c r="A633" s="108" t="s">
        <v>326</v>
      </c>
      <c r="B633" s="108">
        <v>115.23</v>
      </c>
      <c r="C633" s="16">
        <v>4.3749999999999997E-2</v>
      </c>
      <c r="D633" s="111">
        <v>43754</v>
      </c>
      <c r="E633" s="112">
        <f t="shared" si="9"/>
        <v>7.1671232876712327</v>
      </c>
      <c r="F633" s="16">
        <v>2.2540000000000001E-2</v>
      </c>
      <c r="H633" s="16"/>
    </row>
    <row r="634" spans="1:8" x14ac:dyDescent="0.2">
      <c r="A634" s="108" t="s">
        <v>344</v>
      </c>
      <c r="B634" s="108">
        <v>115.5</v>
      </c>
      <c r="C634" s="16">
        <v>4.7E-2</v>
      </c>
      <c r="D634" s="111">
        <v>43765</v>
      </c>
      <c r="E634" s="112">
        <f t="shared" si="9"/>
        <v>7.1972602739726028</v>
      </c>
      <c r="F634" s="16">
        <v>2.5249999999999998E-2</v>
      </c>
      <c r="H634" s="16"/>
    </row>
    <row r="635" spans="1:8" x14ac:dyDescent="0.2">
      <c r="A635" s="108" t="s">
        <v>244</v>
      </c>
      <c r="B635" s="108">
        <v>112.25</v>
      </c>
      <c r="C635" s="16">
        <v>4.1500000000000002E-2</v>
      </c>
      <c r="D635" s="111">
        <v>43784</v>
      </c>
      <c r="E635" s="112">
        <f t="shared" si="9"/>
        <v>7.2493150684931509</v>
      </c>
      <c r="F635" s="16">
        <v>2.4460000000000003E-2</v>
      </c>
      <c r="H635" s="16"/>
    </row>
    <row r="636" spans="1:8" x14ac:dyDescent="0.2">
      <c r="A636" s="108" t="s">
        <v>382</v>
      </c>
      <c r="B636" s="108">
        <v>108.5</v>
      </c>
      <c r="C636" s="16">
        <v>4.2500000000000003E-2</v>
      </c>
      <c r="D636" s="111">
        <v>43784</v>
      </c>
      <c r="E636" s="112">
        <f t="shared" si="9"/>
        <v>7.2493150684931509</v>
      </c>
      <c r="F636" s="16">
        <v>3.04E-2</v>
      </c>
      <c r="H636" s="16"/>
    </row>
    <row r="637" spans="1:8" x14ac:dyDescent="0.2">
      <c r="A637" s="108" t="s">
        <v>436</v>
      </c>
      <c r="B637" s="108">
        <v>114</v>
      </c>
      <c r="C637" s="16">
        <v>6.4500000000000002E-2</v>
      </c>
      <c r="D637" s="111">
        <v>43784</v>
      </c>
      <c r="E637" s="112">
        <f t="shared" si="9"/>
        <v>7.2493150684931509</v>
      </c>
      <c r="F637" s="16">
        <v>4.3490000000000001E-2</v>
      </c>
      <c r="H637" s="16"/>
    </row>
    <row r="638" spans="1:8" x14ac:dyDescent="0.2">
      <c r="A638" s="108" t="s">
        <v>350</v>
      </c>
      <c r="B638" s="108">
        <v>113.16</v>
      </c>
      <c r="C638" s="16">
        <v>0.05</v>
      </c>
      <c r="D638" s="111">
        <v>43809</v>
      </c>
      <c r="E638" s="112">
        <f t="shared" si="9"/>
        <v>7.3178082191780822</v>
      </c>
      <c r="F638" s="16">
        <v>3.1320000000000001E-2</v>
      </c>
      <c r="H638" s="16"/>
    </row>
    <row r="639" spans="1:8" x14ac:dyDescent="0.2">
      <c r="A639" s="108" t="s">
        <v>353</v>
      </c>
      <c r="B639" s="108">
        <v>92.5</v>
      </c>
      <c r="C639" s="16">
        <v>0.05</v>
      </c>
      <c r="D639" s="111">
        <v>43814</v>
      </c>
      <c r="E639" s="112">
        <f t="shared" si="9"/>
        <v>7.3315068493150681</v>
      </c>
      <c r="F639" s="16">
        <v>6.1980000000000007E-2</v>
      </c>
      <c r="H639" s="16"/>
    </row>
    <row r="640" spans="1:8" x14ac:dyDescent="0.2">
      <c r="A640" s="108" t="s">
        <v>437</v>
      </c>
      <c r="B640" s="108">
        <v>105.5</v>
      </c>
      <c r="C640" s="16">
        <v>3.7999999999999999E-2</v>
      </c>
      <c r="D640" s="111">
        <v>43831</v>
      </c>
      <c r="E640" s="112">
        <f t="shared" si="9"/>
        <v>7.3780821917808215</v>
      </c>
      <c r="F640" s="16">
        <v>3.0280000000000001E-2</v>
      </c>
      <c r="H640" s="16"/>
    </row>
    <row r="641" spans="1:8" x14ac:dyDescent="0.2">
      <c r="A641" s="108" t="s">
        <v>437</v>
      </c>
      <c r="B641" s="108">
        <v>126</v>
      </c>
      <c r="C641" s="16">
        <v>6.5500000000000003E-2</v>
      </c>
      <c r="D641" s="111">
        <v>43831</v>
      </c>
      <c r="E641" s="112">
        <f t="shared" si="9"/>
        <v>7.3780821917808215</v>
      </c>
      <c r="F641" s="16">
        <v>2.9159999999999998E-2</v>
      </c>
      <c r="H641" s="16"/>
    </row>
    <row r="642" spans="1:8" x14ac:dyDescent="0.2">
      <c r="A642" s="108" t="s">
        <v>267</v>
      </c>
      <c r="B642" s="108">
        <v>120.08</v>
      </c>
      <c r="C642" s="16">
        <v>5.3749999999999999E-2</v>
      </c>
      <c r="D642" s="111">
        <v>43845</v>
      </c>
      <c r="E642" s="112">
        <f t="shared" si="9"/>
        <v>7.4164383561643836</v>
      </c>
      <c r="F642" s="16">
        <v>2.614E-2</v>
      </c>
      <c r="H642" s="16"/>
    </row>
    <row r="643" spans="1:8" x14ac:dyDescent="0.2">
      <c r="A643" s="108" t="s">
        <v>438</v>
      </c>
      <c r="B643" s="108">
        <v>112.81</v>
      </c>
      <c r="C643" s="16">
        <v>4.9500000000000002E-2</v>
      </c>
      <c r="D643" s="111">
        <v>43845</v>
      </c>
      <c r="E643" s="112">
        <f t="shared" si="9"/>
        <v>7.4164383561643836</v>
      </c>
      <c r="F643" s="16">
        <v>3.15E-2</v>
      </c>
      <c r="H643" s="16"/>
    </row>
    <row r="644" spans="1:8" x14ac:dyDescent="0.2">
      <c r="A644" s="108" t="s">
        <v>348</v>
      </c>
      <c r="B644" s="108">
        <v>115.75</v>
      </c>
      <c r="C644" s="16">
        <v>4.4500000000000005E-2</v>
      </c>
      <c r="D644" s="111">
        <v>43845</v>
      </c>
      <c r="E644" s="112">
        <f t="shared" ref="E644:E707" si="10">(D644-DATE(2012,8,17))/365</f>
        <v>7.4164383561643836</v>
      </c>
      <c r="F644" s="16">
        <v>2.3119999999999998E-2</v>
      </c>
      <c r="H644" s="16"/>
    </row>
    <row r="645" spans="1:8" x14ac:dyDescent="0.2">
      <c r="A645" s="108" t="s">
        <v>235</v>
      </c>
      <c r="B645" s="108">
        <v>126.23</v>
      </c>
      <c r="C645" s="16">
        <v>0.06</v>
      </c>
      <c r="D645" s="111">
        <v>43845</v>
      </c>
      <c r="E645" s="112">
        <f t="shared" si="10"/>
        <v>7.4164383561643836</v>
      </c>
      <c r="F645" s="16">
        <v>2.4230000000000002E-2</v>
      </c>
      <c r="H645" s="16"/>
    </row>
    <row r="646" spans="1:8" x14ac:dyDescent="0.2">
      <c r="A646" s="108" t="s">
        <v>239</v>
      </c>
      <c r="B646" s="108">
        <v>118.98</v>
      </c>
      <c r="C646" s="16">
        <v>4.6249999999999999E-2</v>
      </c>
      <c r="D646" s="111">
        <v>43845</v>
      </c>
      <c r="E646" s="112">
        <f t="shared" si="10"/>
        <v>7.4164383561643836</v>
      </c>
      <c r="F646" s="16">
        <v>2.0739999999999998E-2</v>
      </c>
      <c r="H646" s="16"/>
    </row>
    <row r="647" spans="1:8" x14ac:dyDescent="0.2">
      <c r="A647" s="108" t="s">
        <v>393</v>
      </c>
      <c r="B647" s="108">
        <v>114.66</v>
      </c>
      <c r="C647" s="16">
        <v>4.3749999999999997E-2</v>
      </c>
      <c r="D647" s="111">
        <v>43845</v>
      </c>
      <c r="E647" s="112">
        <f t="shared" si="10"/>
        <v>7.4164383561643836</v>
      </c>
      <c r="F647" s="16">
        <v>2.3789999999999999E-2</v>
      </c>
      <c r="H647" s="16"/>
    </row>
    <row r="648" spans="1:8" x14ac:dyDescent="0.2">
      <c r="A648" s="108" t="s">
        <v>395</v>
      </c>
      <c r="B648" s="108">
        <v>108.93</v>
      </c>
      <c r="C648" s="16">
        <v>5.7500000000000002E-2</v>
      </c>
      <c r="D648" s="111">
        <v>43850</v>
      </c>
      <c r="E648" s="112">
        <f t="shared" si="10"/>
        <v>7.4301369863013695</v>
      </c>
      <c r="F648" s="16">
        <v>4.4299999999999999E-2</v>
      </c>
      <c r="H648" s="16"/>
    </row>
    <row r="649" spans="1:8" x14ac:dyDescent="0.2">
      <c r="A649" s="108" t="s">
        <v>353</v>
      </c>
      <c r="B649" s="108">
        <v>90.62</v>
      </c>
      <c r="C649" s="16">
        <v>4.7500000000000001E-2</v>
      </c>
      <c r="D649" s="111">
        <v>43876</v>
      </c>
      <c r="E649" s="112">
        <f t="shared" si="10"/>
        <v>7.5013698630136982</v>
      </c>
      <c r="F649" s="16">
        <v>6.2260000000000003E-2</v>
      </c>
      <c r="H649" s="16"/>
    </row>
    <row r="650" spans="1:8" x14ac:dyDescent="0.2">
      <c r="A650" s="108" t="s">
        <v>322</v>
      </c>
      <c r="B650" s="108">
        <v>118.2</v>
      </c>
      <c r="C650" s="16">
        <v>4.8750000000000002E-2</v>
      </c>
      <c r="D650" s="111">
        <v>43876</v>
      </c>
      <c r="E650" s="112">
        <f t="shared" si="10"/>
        <v>7.5013698630136982</v>
      </c>
      <c r="F650" s="16">
        <v>2.4160000000000001E-2</v>
      </c>
      <c r="H650" s="16"/>
    </row>
    <row r="651" spans="1:8" x14ac:dyDescent="0.2">
      <c r="A651" s="108" t="s">
        <v>230</v>
      </c>
      <c r="B651" s="108">
        <v>113.83</v>
      </c>
      <c r="C651" s="16">
        <v>6.25E-2</v>
      </c>
      <c r="D651" s="111">
        <v>43876</v>
      </c>
      <c r="E651" s="112">
        <f t="shared" si="10"/>
        <v>7.5013698630136982</v>
      </c>
      <c r="F651" s="16">
        <v>4.2359999999999995E-2</v>
      </c>
      <c r="H651" s="16"/>
    </row>
    <row r="652" spans="1:8" x14ac:dyDescent="0.2">
      <c r="A652" s="108" t="s">
        <v>439</v>
      </c>
      <c r="B652" s="108">
        <v>109.31</v>
      </c>
      <c r="C652" s="16">
        <v>5.2999999999999999E-2</v>
      </c>
      <c r="D652" s="111">
        <v>43905</v>
      </c>
      <c r="E652" s="112">
        <f t="shared" si="10"/>
        <v>7.580821917808219</v>
      </c>
      <c r="F652" s="16">
        <v>3.9699999999999999E-2</v>
      </c>
      <c r="H652" s="16"/>
    </row>
    <row r="653" spans="1:8" x14ac:dyDescent="0.2">
      <c r="A653" s="108" t="s">
        <v>347</v>
      </c>
      <c r="B653" s="108">
        <v>108.67</v>
      </c>
      <c r="C653" s="16">
        <v>4.4999999999999998E-2</v>
      </c>
      <c r="D653" s="111">
        <v>43905</v>
      </c>
      <c r="E653" s="112">
        <f t="shared" si="10"/>
        <v>7.580821917808219</v>
      </c>
      <c r="F653" s="16">
        <v>3.2959999999999996E-2</v>
      </c>
      <c r="H653" s="16"/>
    </row>
    <row r="654" spans="1:8" x14ac:dyDescent="0.2">
      <c r="A654" s="108" t="s">
        <v>327</v>
      </c>
      <c r="B654" s="108">
        <v>95.82</v>
      </c>
      <c r="C654" s="16">
        <v>5.3749999999999999E-2</v>
      </c>
      <c r="D654" s="111">
        <v>43905</v>
      </c>
      <c r="E654" s="112">
        <f t="shared" si="10"/>
        <v>7.580821917808219</v>
      </c>
      <c r="F654" s="16">
        <v>6.0220000000000003E-2</v>
      </c>
      <c r="H654" s="16"/>
    </row>
    <row r="655" spans="1:8" x14ac:dyDescent="0.2">
      <c r="A655" s="108" t="s">
        <v>283</v>
      </c>
      <c r="B655" s="108">
        <v>114.22</v>
      </c>
      <c r="C655" s="16">
        <v>4.4999999999999998E-2</v>
      </c>
      <c r="D655" s="111">
        <v>43916</v>
      </c>
      <c r="E655" s="112">
        <f t="shared" si="10"/>
        <v>7.6109589041095891</v>
      </c>
      <c r="F655" s="16">
        <v>2.588E-2</v>
      </c>
      <c r="H655" s="16"/>
    </row>
    <row r="656" spans="1:8" x14ac:dyDescent="0.2">
      <c r="A656" s="108" t="s">
        <v>440</v>
      </c>
      <c r="B656" s="108">
        <v>103.8</v>
      </c>
      <c r="C656" s="16">
        <v>5.5E-2</v>
      </c>
      <c r="D656" s="111">
        <v>43922</v>
      </c>
      <c r="E656" s="112">
        <f t="shared" si="10"/>
        <v>7.6273972602739724</v>
      </c>
      <c r="F656" s="16">
        <v>4.938E-2</v>
      </c>
      <c r="H656" s="16"/>
    </row>
    <row r="657" spans="1:8" x14ac:dyDescent="0.2">
      <c r="A657" s="108" t="s">
        <v>370</v>
      </c>
      <c r="B657" s="108">
        <v>112.66</v>
      </c>
      <c r="C657" s="16">
        <v>4.6249999999999999E-2</v>
      </c>
      <c r="D657" s="111">
        <v>43936</v>
      </c>
      <c r="E657" s="112">
        <f t="shared" si="10"/>
        <v>7.6657534246575345</v>
      </c>
      <c r="F657" s="16">
        <v>2.9100000000000001E-2</v>
      </c>
      <c r="H657" s="16"/>
    </row>
    <row r="658" spans="1:8" x14ac:dyDescent="0.2">
      <c r="A658" s="108" t="s">
        <v>376</v>
      </c>
      <c r="B658" s="108">
        <v>91.8</v>
      </c>
      <c r="C658" s="16">
        <v>0.05</v>
      </c>
      <c r="D658" s="111">
        <v>43936</v>
      </c>
      <c r="E658" s="112">
        <f t="shared" si="10"/>
        <v>7.6657534246575345</v>
      </c>
      <c r="F658" s="16">
        <v>6.2600000000000003E-2</v>
      </c>
      <c r="H658" s="16"/>
    </row>
    <row r="659" spans="1:8" x14ac:dyDescent="0.2">
      <c r="A659" s="108" t="s">
        <v>360</v>
      </c>
      <c r="B659" s="108">
        <v>115.69</v>
      </c>
      <c r="C659" s="16">
        <v>4.4999999999999998E-2</v>
      </c>
      <c r="D659" s="111">
        <v>43936</v>
      </c>
      <c r="E659" s="112">
        <f t="shared" si="10"/>
        <v>7.6657534246575345</v>
      </c>
      <c r="F659" s="16">
        <v>2.418E-2</v>
      </c>
      <c r="H659" s="16"/>
    </row>
    <row r="660" spans="1:8" x14ac:dyDescent="0.2">
      <c r="A660" s="108" t="s">
        <v>251</v>
      </c>
      <c r="B660" s="108">
        <v>115.57</v>
      </c>
      <c r="C660" s="16">
        <v>4.4500000000000005E-2</v>
      </c>
      <c r="D660" s="111">
        <v>43997</v>
      </c>
      <c r="E660" s="112">
        <f t="shared" si="10"/>
        <v>7.8328767123287673</v>
      </c>
      <c r="F660" s="16">
        <v>2.4209999999999999E-2</v>
      </c>
      <c r="H660" s="16"/>
    </row>
    <row r="661" spans="1:8" x14ac:dyDescent="0.2">
      <c r="A661" s="108" t="s">
        <v>327</v>
      </c>
      <c r="B661" s="108">
        <v>99.95</v>
      </c>
      <c r="C661" s="16">
        <v>0.06</v>
      </c>
      <c r="D661" s="111">
        <v>43997</v>
      </c>
      <c r="E661" s="112">
        <f t="shared" si="10"/>
        <v>7.8328767123287673</v>
      </c>
      <c r="F661" s="16">
        <v>6.0069999999999998E-2</v>
      </c>
      <c r="H661" s="16"/>
    </row>
    <row r="662" spans="1:8" x14ac:dyDescent="0.2">
      <c r="A662" s="108" t="s">
        <v>275</v>
      </c>
      <c r="B662" s="108">
        <v>89.49</v>
      </c>
      <c r="C662" s="16">
        <v>5.6250000000000001E-2</v>
      </c>
      <c r="D662" s="111">
        <v>44013</v>
      </c>
      <c r="E662" s="112">
        <f t="shared" si="10"/>
        <v>7.8767123287671232</v>
      </c>
      <c r="F662" s="16">
        <v>7.2929999999999995E-2</v>
      </c>
      <c r="H662" s="16"/>
    </row>
    <row r="663" spans="1:8" x14ac:dyDescent="0.2">
      <c r="A663" s="108" t="s">
        <v>405</v>
      </c>
      <c r="B663" s="108">
        <v>110.1</v>
      </c>
      <c r="C663" s="16">
        <v>3.5000000000000003E-2</v>
      </c>
      <c r="D663" s="111">
        <v>44027</v>
      </c>
      <c r="E663" s="112">
        <f t="shared" si="10"/>
        <v>7.9150684931506845</v>
      </c>
      <c r="F663" s="16">
        <v>2.2069999999999999E-2</v>
      </c>
      <c r="H663" s="16"/>
    </row>
    <row r="664" spans="1:8" x14ac:dyDescent="0.2">
      <c r="A664" s="108" t="s">
        <v>441</v>
      </c>
      <c r="B664" s="108">
        <v>112.03</v>
      </c>
      <c r="C664" s="16">
        <v>3.875E-2</v>
      </c>
      <c r="D664" s="111">
        <v>44027</v>
      </c>
      <c r="E664" s="112">
        <f t="shared" si="10"/>
        <v>7.9150684931506845</v>
      </c>
      <c r="F664" s="16">
        <v>2.3269999999999999E-2</v>
      </c>
      <c r="H664" s="16"/>
    </row>
    <row r="665" spans="1:8" x14ac:dyDescent="0.2">
      <c r="A665" s="108" t="s">
        <v>334</v>
      </c>
      <c r="B665" s="108">
        <v>106.9</v>
      </c>
      <c r="C665" s="16">
        <v>4.4500000000000005E-2</v>
      </c>
      <c r="D665" s="111">
        <v>44034</v>
      </c>
      <c r="E665" s="112">
        <f t="shared" si="10"/>
        <v>7.934246575342466</v>
      </c>
      <c r="F665" s="16">
        <v>3.5159999999999997E-2</v>
      </c>
      <c r="H665" s="16"/>
    </row>
    <row r="666" spans="1:8" x14ac:dyDescent="0.2">
      <c r="A666" s="108" t="s">
        <v>260</v>
      </c>
      <c r="B666" s="108">
        <v>88.31</v>
      </c>
      <c r="C666" s="16">
        <v>5.5E-2</v>
      </c>
      <c r="D666" s="111">
        <v>44036</v>
      </c>
      <c r="E666" s="112">
        <f t="shared" si="10"/>
        <v>7.9397260273972599</v>
      </c>
      <c r="F666" s="16">
        <v>7.349E-2</v>
      </c>
      <c r="H666" s="16"/>
    </row>
    <row r="667" spans="1:8" x14ac:dyDescent="0.2">
      <c r="A667" s="108" t="s">
        <v>229</v>
      </c>
      <c r="B667" s="108">
        <v>102.76</v>
      </c>
      <c r="C667" s="16">
        <v>5.3749999999999999E-2</v>
      </c>
      <c r="D667" s="111">
        <v>44052</v>
      </c>
      <c r="E667" s="112">
        <f t="shared" si="10"/>
        <v>7.9835616438356167</v>
      </c>
      <c r="F667" s="16">
        <v>4.9790000000000001E-2</v>
      </c>
      <c r="H667" s="16"/>
    </row>
    <row r="668" spans="1:8" x14ac:dyDescent="0.2">
      <c r="A668" s="108" t="s">
        <v>353</v>
      </c>
      <c r="B668" s="108">
        <v>93.5</v>
      </c>
      <c r="C668" s="16">
        <v>0.05</v>
      </c>
      <c r="D668" s="111">
        <v>44058</v>
      </c>
      <c r="E668" s="112">
        <f t="shared" si="10"/>
        <v>8</v>
      </c>
      <c r="F668" s="16">
        <v>5.9669999999999994E-2</v>
      </c>
      <c r="H668" s="16"/>
    </row>
    <row r="669" spans="1:8" x14ac:dyDescent="0.2">
      <c r="A669" s="108" t="s">
        <v>353</v>
      </c>
      <c r="B669" s="108">
        <v>88.6</v>
      </c>
      <c r="C669" s="16">
        <v>4.7500000000000001E-2</v>
      </c>
      <c r="D669" s="111">
        <v>44058</v>
      </c>
      <c r="E669" s="112">
        <f t="shared" si="10"/>
        <v>8</v>
      </c>
      <c r="F669" s="16">
        <v>6.4829999999999999E-2</v>
      </c>
      <c r="H669" s="16"/>
    </row>
    <row r="670" spans="1:8" x14ac:dyDescent="0.2">
      <c r="A670" s="108" t="s">
        <v>297</v>
      </c>
      <c r="B670" s="108">
        <v>96.46</v>
      </c>
      <c r="C670" s="16">
        <v>5.6250000000000001E-2</v>
      </c>
      <c r="D670" s="111">
        <v>44067</v>
      </c>
      <c r="E670" s="112">
        <f t="shared" si="10"/>
        <v>8.0246575342465754</v>
      </c>
      <c r="F670" s="16">
        <v>6.1539999999999997E-2</v>
      </c>
      <c r="H670" s="16"/>
    </row>
    <row r="671" spans="1:8" x14ac:dyDescent="0.2">
      <c r="A671" s="108" t="s">
        <v>442</v>
      </c>
      <c r="B671" s="108">
        <v>106.5</v>
      </c>
      <c r="C671" s="16">
        <v>3.95E-2</v>
      </c>
      <c r="D671" s="111">
        <v>44075</v>
      </c>
      <c r="E671" s="112">
        <f t="shared" si="10"/>
        <v>8.0465753424657542</v>
      </c>
      <c r="F671" s="16">
        <v>3.0960000000000001E-2</v>
      </c>
      <c r="H671" s="16"/>
    </row>
    <row r="672" spans="1:8" x14ac:dyDescent="0.2">
      <c r="A672" s="108" t="s">
        <v>315</v>
      </c>
      <c r="B672" s="108">
        <v>105</v>
      </c>
      <c r="C672" s="16">
        <v>3.6000000000000004E-2</v>
      </c>
      <c r="D672" s="111">
        <v>44075</v>
      </c>
      <c r="E672" s="112">
        <f t="shared" si="10"/>
        <v>8.0465753424657542</v>
      </c>
      <c r="F672" s="16">
        <v>2.947E-2</v>
      </c>
      <c r="H672" s="16"/>
    </row>
    <row r="673" spans="1:8" x14ac:dyDescent="0.2">
      <c r="A673" s="108" t="s">
        <v>443</v>
      </c>
      <c r="B673" s="108">
        <v>106.73</v>
      </c>
      <c r="C673" s="16">
        <v>3.3750000000000002E-2</v>
      </c>
      <c r="D673" s="111">
        <v>44089</v>
      </c>
      <c r="E673" s="112">
        <f t="shared" si="10"/>
        <v>8.0849315068493155</v>
      </c>
      <c r="F673" s="16">
        <v>2.5160000000000002E-2</v>
      </c>
      <c r="H673" s="16"/>
    </row>
    <row r="674" spans="1:8" x14ac:dyDescent="0.2">
      <c r="A674" s="108" t="s">
        <v>353</v>
      </c>
      <c r="B674" s="108">
        <v>92</v>
      </c>
      <c r="C674" s="16">
        <v>4.7500000000000001E-2</v>
      </c>
      <c r="D674" s="111">
        <v>44089</v>
      </c>
      <c r="E674" s="112">
        <f t="shared" si="10"/>
        <v>8.0849315068493155</v>
      </c>
      <c r="F674" s="16">
        <v>5.9299999999999999E-2</v>
      </c>
      <c r="H674" s="16"/>
    </row>
    <row r="675" spans="1:8" x14ac:dyDescent="0.2">
      <c r="A675" s="108" t="s">
        <v>377</v>
      </c>
      <c r="B675" s="108">
        <v>109.97</v>
      </c>
      <c r="C675" s="16">
        <v>3.95E-2</v>
      </c>
      <c r="D675" s="111">
        <v>44089</v>
      </c>
      <c r="E675" s="112">
        <f t="shared" si="10"/>
        <v>8.0849315068493155</v>
      </c>
      <c r="F675" s="16">
        <v>2.6690000000000002E-2</v>
      </c>
      <c r="H675" s="16"/>
    </row>
    <row r="676" spans="1:8" x14ac:dyDescent="0.2">
      <c r="A676" s="108" t="s">
        <v>444</v>
      </c>
      <c r="B676" s="108">
        <v>106.85</v>
      </c>
      <c r="C676" s="16">
        <v>5.3749999999999999E-2</v>
      </c>
      <c r="D676" s="111">
        <v>44089</v>
      </c>
      <c r="E676" s="112">
        <f t="shared" si="10"/>
        <v>8.0849315068493155</v>
      </c>
      <c r="F676" s="16">
        <v>4.4249999999999998E-2</v>
      </c>
      <c r="H676" s="16"/>
    </row>
    <row r="677" spans="1:8" x14ac:dyDescent="0.2">
      <c r="A677" s="108" t="s">
        <v>373</v>
      </c>
      <c r="B677" s="108">
        <v>103.52</v>
      </c>
      <c r="C677" s="16">
        <v>4.6249999999999999E-2</v>
      </c>
      <c r="D677" s="111">
        <v>44089</v>
      </c>
      <c r="E677" s="112">
        <f t="shared" si="10"/>
        <v>8.0849315068493155</v>
      </c>
      <c r="F677" s="16">
        <v>4.1420000000000005E-2</v>
      </c>
      <c r="H677" s="16"/>
    </row>
    <row r="678" spans="1:8" x14ac:dyDescent="0.2">
      <c r="A678" s="108" t="s">
        <v>410</v>
      </c>
      <c r="B678" s="108">
        <v>108.05</v>
      </c>
      <c r="C678" s="16">
        <v>3.3750000000000002E-2</v>
      </c>
      <c r="D678" s="111">
        <v>44105</v>
      </c>
      <c r="E678" s="112">
        <f t="shared" si="10"/>
        <v>8.1287671232876715</v>
      </c>
      <c r="F678" s="16">
        <v>2.3599999999999999E-2</v>
      </c>
      <c r="H678" s="16"/>
    </row>
    <row r="679" spans="1:8" x14ac:dyDescent="0.2">
      <c r="A679" s="108" t="s">
        <v>347</v>
      </c>
      <c r="B679" s="108">
        <v>100.72</v>
      </c>
      <c r="C679" s="16">
        <v>3.4500000000000003E-2</v>
      </c>
      <c r="D679" s="111">
        <v>44105</v>
      </c>
      <c r="E679" s="112">
        <f t="shared" si="10"/>
        <v>8.1287671232876715</v>
      </c>
      <c r="F679" s="16">
        <v>3.354E-2</v>
      </c>
      <c r="H679" s="16"/>
    </row>
    <row r="680" spans="1:8" x14ac:dyDescent="0.2">
      <c r="A680" s="108" t="s">
        <v>305</v>
      </c>
      <c r="B680" s="108">
        <v>114.14</v>
      </c>
      <c r="C680" s="16">
        <v>4.4999999999999998E-2</v>
      </c>
      <c r="D680" s="111">
        <v>44105</v>
      </c>
      <c r="E680" s="112">
        <f t="shared" si="10"/>
        <v>8.1287671232876715</v>
      </c>
      <c r="F680" s="16">
        <v>2.69E-2</v>
      </c>
      <c r="H680" s="16"/>
    </row>
    <row r="681" spans="1:8" x14ac:dyDescent="0.2">
      <c r="A681" s="108" t="s">
        <v>445</v>
      </c>
      <c r="B681" s="108">
        <v>84.27</v>
      </c>
      <c r="C681" s="16">
        <v>5.1399999999999994E-2</v>
      </c>
      <c r="D681" s="111">
        <v>44118</v>
      </c>
      <c r="E681" s="112">
        <f t="shared" si="10"/>
        <v>8.1643835616438363</v>
      </c>
      <c r="F681" s="16">
        <v>7.6100000000000001E-2</v>
      </c>
      <c r="H681" s="16"/>
    </row>
    <row r="682" spans="1:8" x14ac:dyDescent="0.2">
      <c r="A682" s="108" t="s">
        <v>430</v>
      </c>
      <c r="B682" s="108">
        <v>104.83</v>
      </c>
      <c r="C682" s="16">
        <v>3.125E-2</v>
      </c>
      <c r="D682" s="111">
        <v>44119</v>
      </c>
      <c r="E682" s="112">
        <f t="shared" si="10"/>
        <v>8.1671232876712327</v>
      </c>
      <c r="F682" s="16">
        <v>2.5150000000000002E-2</v>
      </c>
      <c r="H682" s="16"/>
    </row>
    <row r="683" spans="1:8" x14ac:dyDescent="0.2">
      <c r="A683" s="108" t="s">
        <v>241</v>
      </c>
      <c r="B683" s="108">
        <v>109.76</v>
      </c>
      <c r="C683" s="16">
        <v>3.875E-2</v>
      </c>
      <c r="D683" s="111">
        <v>44119</v>
      </c>
      <c r="E683" s="112">
        <f t="shared" si="10"/>
        <v>8.1671232876712327</v>
      </c>
      <c r="F683" s="16">
        <v>2.6339999999999999E-2</v>
      </c>
      <c r="H683" s="16"/>
    </row>
    <row r="684" spans="1:8" x14ac:dyDescent="0.2">
      <c r="A684" s="108" t="s">
        <v>446</v>
      </c>
      <c r="B684" s="108">
        <v>113.1</v>
      </c>
      <c r="C684" s="16">
        <v>5.4000000000000006E-2</v>
      </c>
      <c r="D684" s="111">
        <v>44136</v>
      </c>
      <c r="E684" s="112">
        <f t="shared" si="10"/>
        <v>8.213698630136987</v>
      </c>
      <c r="F684" s="16">
        <v>3.6639999999999999E-2</v>
      </c>
      <c r="H684" s="16"/>
    </row>
    <row r="685" spans="1:8" x14ac:dyDescent="0.2">
      <c r="A685" s="108" t="s">
        <v>414</v>
      </c>
      <c r="B685" s="108">
        <v>109.13</v>
      </c>
      <c r="C685" s="16">
        <v>3.9E-2</v>
      </c>
      <c r="D685" s="111">
        <v>44136</v>
      </c>
      <c r="E685" s="112">
        <f t="shared" si="10"/>
        <v>8.213698630136987</v>
      </c>
      <c r="F685" s="16">
        <v>2.7389999999999998E-2</v>
      </c>
      <c r="H685" s="16"/>
    </row>
    <row r="686" spans="1:8" x14ac:dyDescent="0.2">
      <c r="A686" s="108" t="s">
        <v>328</v>
      </c>
      <c r="B686" s="108">
        <v>105.49</v>
      </c>
      <c r="C686" s="16">
        <v>3.5000000000000003E-2</v>
      </c>
      <c r="D686" s="111">
        <v>44137</v>
      </c>
      <c r="E686" s="112">
        <f t="shared" si="10"/>
        <v>8.2164383561643834</v>
      </c>
      <c r="F686" s="16">
        <v>2.7999999999999997E-2</v>
      </c>
      <c r="H686" s="16"/>
    </row>
    <row r="687" spans="1:8" x14ac:dyDescent="0.2">
      <c r="A687" s="108" t="s">
        <v>353</v>
      </c>
      <c r="B687" s="108">
        <v>87.75</v>
      </c>
      <c r="C687" s="16">
        <v>4.8000000000000001E-2</v>
      </c>
      <c r="D687" s="111">
        <v>44150</v>
      </c>
      <c r="E687" s="112">
        <f t="shared" si="10"/>
        <v>8.2520547945205482</v>
      </c>
      <c r="F687" s="16">
        <v>6.6360000000000002E-2</v>
      </c>
      <c r="H687" s="16"/>
    </row>
    <row r="688" spans="1:8" x14ac:dyDescent="0.2">
      <c r="A688" s="108" t="s">
        <v>356</v>
      </c>
      <c r="B688" s="108">
        <v>113.36</v>
      </c>
      <c r="C688" s="16">
        <v>5.6250000000000001E-2</v>
      </c>
      <c r="D688" s="111">
        <v>44150</v>
      </c>
      <c r="E688" s="112">
        <f t="shared" si="10"/>
        <v>8.2520547945205482</v>
      </c>
      <c r="F688" s="16">
        <v>3.8469999999999997E-2</v>
      </c>
      <c r="H688" s="16"/>
    </row>
    <row r="689" spans="1:8" x14ac:dyDescent="0.2">
      <c r="A689" s="108" t="s">
        <v>276</v>
      </c>
      <c r="B689" s="108">
        <v>112.89</v>
      </c>
      <c r="C689" s="16">
        <v>4.2500000000000003E-2</v>
      </c>
      <c r="D689" s="111">
        <v>44150</v>
      </c>
      <c r="E689" s="112">
        <f t="shared" si="10"/>
        <v>8.2520547945205482</v>
      </c>
      <c r="F689" s="16">
        <v>2.6259999999999999E-2</v>
      </c>
      <c r="H689" s="16"/>
    </row>
    <row r="690" spans="1:8" x14ac:dyDescent="0.2">
      <c r="A690" s="108" t="s">
        <v>327</v>
      </c>
      <c r="B690" s="108">
        <v>101.55</v>
      </c>
      <c r="C690" s="16">
        <v>0.05</v>
      </c>
      <c r="D690" s="111">
        <v>44150</v>
      </c>
      <c r="E690" s="112">
        <f t="shared" si="10"/>
        <v>8.2520547945205482</v>
      </c>
      <c r="F690" s="16">
        <v>4.7869999999999996E-2</v>
      </c>
      <c r="H690" s="16"/>
    </row>
    <row r="691" spans="1:8" x14ac:dyDescent="0.2">
      <c r="A691" s="108" t="s">
        <v>234</v>
      </c>
      <c r="B691" s="108">
        <v>101.17</v>
      </c>
      <c r="C691" s="16">
        <v>4.4999999999999998E-2</v>
      </c>
      <c r="D691" s="111">
        <v>44150</v>
      </c>
      <c r="E691" s="112">
        <f t="shared" si="10"/>
        <v>8.2520547945205482</v>
      </c>
      <c r="F691" s="16">
        <v>4.3400000000000001E-2</v>
      </c>
      <c r="H691" s="16"/>
    </row>
    <row r="692" spans="1:8" x14ac:dyDescent="0.2">
      <c r="A692" s="108" t="s">
        <v>392</v>
      </c>
      <c r="B692" s="108">
        <v>115.34</v>
      </c>
      <c r="C692" s="16">
        <v>4.1250000000000002E-2</v>
      </c>
      <c r="D692" s="111">
        <v>44166</v>
      </c>
      <c r="E692" s="112">
        <f t="shared" si="10"/>
        <v>8.2958904109589042</v>
      </c>
      <c r="F692" s="16">
        <v>2.2339999999999999E-2</v>
      </c>
      <c r="H692" s="16"/>
    </row>
    <row r="693" spans="1:8" x14ac:dyDescent="0.2">
      <c r="A693" s="108" t="s">
        <v>226</v>
      </c>
      <c r="B693" s="108">
        <v>102.28</v>
      </c>
      <c r="C693" s="16">
        <v>3.7499999999999999E-2</v>
      </c>
      <c r="D693" s="111">
        <v>44166</v>
      </c>
      <c r="E693" s="112">
        <f t="shared" si="10"/>
        <v>8.2958904109589042</v>
      </c>
      <c r="F693" s="16">
        <v>3.4540000000000001E-2</v>
      </c>
      <c r="H693" s="16"/>
    </row>
    <row r="694" spans="1:8" x14ac:dyDescent="0.2">
      <c r="A694" s="108" t="s">
        <v>279</v>
      </c>
      <c r="B694" s="108">
        <v>101.75</v>
      </c>
      <c r="C694" s="16">
        <v>6.4000000000000001E-2</v>
      </c>
      <c r="D694" s="111">
        <v>44180</v>
      </c>
      <c r="E694" s="112">
        <f t="shared" si="10"/>
        <v>8.3342465753424655</v>
      </c>
      <c r="F694" s="16">
        <v>6.1440000000000002E-2</v>
      </c>
      <c r="H694" s="16"/>
    </row>
    <row r="695" spans="1:8" x14ac:dyDescent="0.2">
      <c r="A695" s="108" t="s">
        <v>413</v>
      </c>
      <c r="B695" s="108">
        <v>110.54</v>
      </c>
      <c r="C695" s="16">
        <v>4.6249999999999999E-2</v>
      </c>
      <c r="D695" s="111">
        <v>44180</v>
      </c>
      <c r="E695" s="112">
        <f t="shared" si="10"/>
        <v>8.3342465753424655</v>
      </c>
      <c r="F695" s="16">
        <v>3.2690000000000004E-2</v>
      </c>
      <c r="H695" s="16"/>
    </row>
    <row r="696" spans="1:8" x14ac:dyDescent="0.2">
      <c r="A696" s="108" t="s">
        <v>244</v>
      </c>
      <c r="B696" s="108">
        <v>107.85</v>
      </c>
      <c r="C696" s="16">
        <v>0.04</v>
      </c>
      <c r="D696" s="111">
        <v>44180</v>
      </c>
      <c r="E696" s="112">
        <f t="shared" si="10"/>
        <v>8.3342465753424655</v>
      </c>
      <c r="F696" s="16">
        <v>3.0019999999999998E-2</v>
      </c>
      <c r="H696" s="16"/>
    </row>
    <row r="697" spans="1:8" x14ac:dyDescent="0.2">
      <c r="A697" s="108" t="s">
        <v>275</v>
      </c>
      <c r="B697" s="108">
        <v>91</v>
      </c>
      <c r="C697" s="16">
        <v>5.8749999999999997E-2</v>
      </c>
      <c r="D697" s="111">
        <v>44201</v>
      </c>
      <c r="E697" s="112">
        <f t="shared" si="10"/>
        <v>8.3917808219178074</v>
      </c>
      <c r="F697" s="16">
        <v>7.2419999999999998E-2</v>
      </c>
      <c r="H697" s="16"/>
    </row>
    <row r="698" spans="1:8" x14ac:dyDescent="0.2">
      <c r="A698" s="108" t="s">
        <v>297</v>
      </c>
      <c r="B698" s="108">
        <v>101.04</v>
      </c>
      <c r="C698" s="16">
        <v>6.1249999999999999E-2</v>
      </c>
      <c r="D698" s="111">
        <v>44207</v>
      </c>
      <c r="E698" s="112">
        <f t="shared" si="10"/>
        <v>8.4082191780821915</v>
      </c>
      <c r="F698" s="16">
        <v>5.9740000000000001E-2</v>
      </c>
      <c r="H698" s="16"/>
    </row>
    <row r="699" spans="1:8" x14ac:dyDescent="0.2">
      <c r="A699" s="108" t="s">
        <v>239</v>
      </c>
      <c r="B699" s="108">
        <v>110.78</v>
      </c>
      <c r="C699" s="16">
        <v>3.6249999999999998E-2</v>
      </c>
      <c r="D699" s="111">
        <v>44211</v>
      </c>
      <c r="E699" s="112">
        <f t="shared" si="10"/>
        <v>8.419178082191781</v>
      </c>
      <c r="F699" s="16">
        <v>2.307E-2</v>
      </c>
      <c r="H699" s="16"/>
    </row>
    <row r="700" spans="1:8" x14ac:dyDescent="0.2">
      <c r="A700" s="108" t="s">
        <v>375</v>
      </c>
      <c r="B700" s="108">
        <v>101.73</v>
      </c>
      <c r="C700" s="16">
        <v>6.3750000000000001E-2</v>
      </c>
      <c r="D700" s="111">
        <v>44217</v>
      </c>
      <c r="E700" s="112">
        <f t="shared" si="10"/>
        <v>8.4356164383561651</v>
      </c>
      <c r="F700" s="16">
        <v>6.1239999999999996E-2</v>
      </c>
      <c r="H700" s="16"/>
    </row>
    <row r="701" spans="1:8" x14ac:dyDescent="0.2">
      <c r="A701" s="108" t="s">
        <v>260</v>
      </c>
      <c r="B701" s="108">
        <v>89.56</v>
      </c>
      <c r="C701" s="16">
        <v>5.7500000000000002E-2</v>
      </c>
      <c r="D701" s="111">
        <v>44221</v>
      </c>
      <c r="E701" s="112">
        <f t="shared" si="10"/>
        <v>8.4465753424657528</v>
      </c>
      <c r="F701" s="16">
        <v>7.3349999999999999E-2</v>
      </c>
      <c r="H701" s="16"/>
    </row>
    <row r="702" spans="1:8" x14ac:dyDescent="0.2">
      <c r="A702" s="108" t="s">
        <v>300</v>
      </c>
      <c r="B702" s="108">
        <v>112.49</v>
      </c>
      <c r="C702" s="16">
        <v>4.0999999999999995E-2</v>
      </c>
      <c r="D702" s="111">
        <v>44228</v>
      </c>
      <c r="E702" s="112">
        <f t="shared" si="10"/>
        <v>8.4657534246575334</v>
      </c>
      <c r="F702" s="16">
        <v>2.5619999999999997E-2</v>
      </c>
      <c r="H702" s="16"/>
    </row>
    <row r="703" spans="1:8" x14ac:dyDescent="0.2">
      <c r="A703" s="108" t="s">
        <v>309</v>
      </c>
      <c r="B703" s="108">
        <v>113.08</v>
      </c>
      <c r="C703" s="16">
        <v>4.0999999999999995E-2</v>
      </c>
      <c r="D703" s="111">
        <v>44228</v>
      </c>
      <c r="E703" s="112">
        <f t="shared" si="10"/>
        <v>8.4657534246575334</v>
      </c>
      <c r="F703" s="16">
        <v>2.4940000000000004E-2</v>
      </c>
      <c r="H703" s="16"/>
    </row>
    <row r="704" spans="1:8" x14ac:dyDescent="0.2">
      <c r="A704" s="108" t="s">
        <v>335</v>
      </c>
      <c r="B704" s="108">
        <v>110.81</v>
      </c>
      <c r="C704" s="16">
        <v>4.7500000000000001E-2</v>
      </c>
      <c r="D704" s="111">
        <v>44235</v>
      </c>
      <c r="E704" s="112">
        <f t="shared" si="10"/>
        <v>8.4849315068493159</v>
      </c>
      <c r="F704" s="16">
        <v>3.3709999999999997E-2</v>
      </c>
      <c r="H704" s="16"/>
    </row>
    <row r="705" spans="1:8" x14ac:dyDescent="0.2">
      <c r="A705" s="108" t="s">
        <v>267</v>
      </c>
      <c r="B705" s="108">
        <v>116.53</v>
      </c>
      <c r="C705" s="16">
        <v>4.3749999999999997E-2</v>
      </c>
      <c r="D705" s="111">
        <v>44242</v>
      </c>
      <c r="E705" s="112">
        <f t="shared" si="10"/>
        <v>8.5041095890410965</v>
      </c>
      <c r="F705" s="16">
        <v>2.366E-2</v>
      </c>
      <c r="H705" s="16"/>
    </row>
    <row r="706" spans="1:8" x14ac:dyDescent="0.2">
      <c r="A706" s="108" t="s">
        <v>392</v>
      </c>
      <c r="B706" s="108">
        <v>146.41</v>
      </c>
      <c r="C706" s="16">
        <v>8.8000000000000009E-2</v>
      </c>
      <c r="D706" s="111">
        <v>44242</v>
      </c>
      <c r="E706" s="112">
        <f t="shared" si="10"/>
        <v>8.5041095890410965</v>
      </c>
      <c r="F706" s="16">
        <v>2.9940000000000001E-2</v>
      </c>
      <c r="H706" s="16"/>
    </row>
    <row r="707" spans="1:8" x14ac:dyDescent="0.2">
      <c r="A707" s="108" t="s">
        <v>316</v>
      </c>
      <c r="B707" s="108">
        <v>114.93</v>
      </c>
      <c r="C707" s="16">
        <v>4.2500000000000003E-2</v>
      </c>
      <c r="D707" s="111">
        <v>44256</v>
      </c>
      <c r="E707" s="112">
        <f t="shared" si="10"/>
        <v>8.5424657534246577</v>
      </c>
      <c r="F707" s="16">
        <v>2.4369999999999999E-2</v>
      </c>
      <c r="H707" s="16"/>
    </row>
    <row r="708" spans="1:8" x14ac:dyDescent="0.2">
      <c r="A708" s="108" t="s">
        <v>378</v>
      </c>
      <c r="B708" s="108">
        <v>115.6</v>
      </c>
      <c r="C708" s="16">
        <v>4.7500000000000001E-2</v>
      </c>
      <c r="D708" s="111">
        <v>44256</v>
      </c>
      <c r="E708" s="112">
        <f t="shared" ref="E708:E771" si="11">(D708-DATE(2012,8,17))/365</f>
        <v>8.5424657534246577</v>
      </c>
      <c r="F708" s="16">
        <v>2.8210000000000002E-2</v>
      </c>
      <c r="H708" s="16"/>
    </row>
    <row r="709" spans="1:8" x14ac:dyDescent="0.2">
      <c r="A709" s="108" t="s">
        <v>265</v>
      </c>
      <c r="B709" s="108">
        <v>109</v>
      </c>
      <c r="C709" s="16">
        <v>4.3749999999999997E-2</v>
      </c>
      <c r="D709" s="111">
        <v>44256</v>
      </c>
      <c r="E709" s="112">
        <f t="shared" si="11"/>
        <v>8.5424657534246577</v>
      </c>
      <c r="F709" s="16">
        <v>3.2410000000000001E-2</v>
      </c>
      <c r="H709" s="16"/>
    </row>
    <row r="710" spans="1:8" x14ac:dyDescent="0.2">
      <c r="A710" s="108" t="s">
        <v>359</v>
      </c>
      <c r="B710" s="108">
        <v>113.06</v>
      </c>
      <c r="C710" s="16">
        <v>4.4999999999999998E-2</v>
      </c>
      <c r="D710" s="111">
        <v>44256</v>
      </c>
      <c r="E710" s="112">
        <f t="shared" si="11"/>
        <v>8.5424657534246577</v>
      </c>
      <c r="F710" s="16">
        <v>2.8809999999999999E-2</v>
      </c>
      <c r="H710" s="16"/>
    </row>
    <row r="711" spans="1:8" x14ac:dyDescent="0.2">
      <c r="A711" s="108" t="s">
        <v>360</v>
      </c>
      <c r="B711" s="108">
        <v>148.52000000000001</v>
      </c>
      <c r="C711" s="16">
        <v>8.7499999999999994E-2</v>
      </c>
      <c r="D711" s="111">
        <v>44256</v>
      </c>
      <c r="E711" s="112">
        <f t="shared" si="11"/>
        <v>8.5424657534246577</v>
      </c>
      <c r="F711" s="16">
        <v>2.7679999999999996E-2</v>
      </c>
      <c r="H711" s="16"/>
    </row>
    <row r="712" spans="1:8" x14ac:dyDescent="0.2">
      <c r="A712" s="108" t="s">
        <v>305</v>
      </c>
      <c r="B712" s="108">
        <v>115.92</v>
      </c>
      <c r="C712" s="16">
        <v>4.7419999999999997E-2</v>
      </c>
      <c r="D712" s="111">
        <v>44266</v>
      </c>
      <c r="E712" s="112">
        <f t="shared" si="11"/>
        <v>8.5698630136986296</v>
      </c>
      <c r="F712" s="16">
        <v>2.7820000000000001E-2</v>
      </c>
      <c r="H712" s="16"/>
    </row>
    <row r="713" spans="1:8" x14ac:dyDescent="0.2">
      <c r="A713" s="108" t="s">
        <v>390</v>
      </c>
      <c r="B713" s="108">
        <v>115.91</v>
      </c>
      <c r="C713" s="16">
        <v>4.4500000000000005E-2</v>
      </c>
      <c r="D713" s="111">
        <v>44270</v>
      </c>
      <c r="E713" s="112">
        <f t="shared" si="11"/>
        <v>8.580821917808219</v>
      </c>
      <c r="F713" s="16">
        <v>2.5179999999999998E-2</v>
      </c>
      <c r="H713" s="16"/>
    </row>
    <row r="714" spans="1:8" x14ac:dyDescent="0.2">
      <c r="A714" s="108" t="s">
        <v>312</v>
      </c>
      <c r="B714" s="108">
        <v>112.96</v>
      </c>
      <c r="C714" s="16">
        <v>4.3749999999999997E-2</v>
      </c>
      <c r="D714" s="111">
        <v>44271</v>
      </c>
      <c r="E714" s="112">
        <f t="shared" si="11"/>
        <v>8.5835616438356173</v>
      </c>
      <c r="F714" s="16">
        <v>2.7820000000000001E-2</v>
      </c>
      <c r="H714" s="16"/>
    </row>
    <row r="715" spans="1:8" x14ac:dyDescent="0.2">
      <c r="A715" s="108" t="s">
        <v>271</v>
      </c>
      <c r="B715" s="108">
        <v>109.54</v>
      </c>
      <c r="C715" s="16">
        <v>4.6249999999999999E-2</v>
      </c>
      <c r="D715" s="111">
        <v>44287</v>
      </c>
      <c r="E715" s="112">
        <f t="shared" si="11"/>
        <v>8.6273972602739732</v>
      </c>
      <c r="F715" s="16">
        <v>3.422E-2</v>
      </c>
      <c r="H715" s="16"/>
    </row>
    <row r="716" spans="1:8" x14ac:dyDescent="0.2">
      <c r="A716" s="108" t="s">
        <v>239</v>
      </c>
      <c r="B716" s="108">
        <v>114.59</v>
      </c>
      <c r="C716" s="16">
        <v>4.2500000000000003E-2</v>
      </c>
      <c r="D716" s="111">
        <v>44287</v>
      </c>
      <c r="E716" s="112">
        <f t="shared" si="11"/>
        <v>8.6273972602739732</v>
      </c>
      <c r="F716" s="16">
        <v>2.4889999999999999E-2</v>
      </c>
      <c r="H716" s="16"/>
    </row>
    <row r="717" spans="1:8" x14ac:dyDescent="0.2">
      <c r="A717" s="108" t="s">
        <v>257</v>
      </c>
      <c r="B717" s="108">
        <v>111.65</v>
      </c>
      <c r="C717" s="16">
        <v>4.5999999999999999E-2</v>
      </c>
      <c r="D717" s="111">
        <v>44287</v>
      </c>
      <c r="E717" s="112">
        <f t="shared" si="11"/>
        <v>8.6273972602739732</v>
      </c>
      <c r="F717" s="16">
        <v>3.1489999999999997E-2</v>
      </c>
      <c r="H717" s="16"/>
    </row>
    <row r="718" spans="1:8" x14ac:dyDescent="0.2">
      <c r="A718" s="108" t="s">
        <v>447</v>
      </c>
      <c r="B718" s="108">
        <v>113.67</v>
      </c>
      <c r="C718" s="16">
        <v>4.8000000000000001E-2</v>
      </c>
      <c r="D718" s="111">
        <v>44317</v>
      </c>
      <c r="E718" s="112">
        <f t="shared" si="11"/>
        <v>8.7095890410958905</v>
      </c>
      <c r="F718" s="16">
        <v>3.1139999999999998E-2</v>
      </c>
      <c r="H718" s="16"/>
    </row>
    <row r="719" spans="1:8" x14ac:dyDescent="0.2">
      <c r="A719" s="108" t="s">
        <v>275</v>
      </c>
      <c r="B719" s="108">
        <v>85.8</v>
      </c>
      <c r="C719" s="16">
        <v>0.05</v>
      </c>
      <c r="D719" s="111">
        <v>44329</v>
      </c>
      <c r="E719" s="112">
        <f t="shared" si="11"/>
        <v>8.742465753424657</v>
      </c>
      <c r="F719" s="16">
        <v>7.0860000000000006E-2</v>
      </c>
      <c r="H719" s="16"/>
    </row>
    <row r="720" spans="1:8" x14ac:dyDescent="0.2">
      <c r="A720" s="108" t="s">
        <v>246</v>
      </c>
      <c r="B720" s="108">
        <v>109.23</v>
      </c>
      <c r="C720" s="16">
        <v>4.4500000000000005E-2</v>
      </c>
      <c r="D720" s="111">
        <v>44331</v>
      </c>
      <c r="E720" s="112">
        <f t="shared" si="11"/>
        <v>8.7479452054794518</v>
      </c>
      <c r="F720" s="16">
        <v>3.3050000000000003E-2</v>
      </c>
      <c r="H720" s="16"/>
    </row>
    <row r="721" spans="1:8" x14ac:dyDescent="0.2">
      <c r="A721" s="108" t="s">
        <v>356</v>
      </c>
      <c r="B721" s="108">
        <v>102.08</v>
      </c>
      <c r="C721" s="16">
        <v>4.1250000000000002E-2</v>
      </c>
      <c r="D721" s="111">
        <v>44331</v>
      </c>
      <c r="E721" s="112">
        <f t="shared" si="11"/>
        <v>8.7479452054794518</v>
      </c>
      <c r="F721" s="16">
        <v>3.8599999999999995E-2</v>
      </c>
      <c r="H721" s="16"/>
    </row>
    <row r="722" spans="1:8" x14ac:dyDescent="0.2">
      <c r="A722" s="108" t="s">
        <v>327</v>
      </c>
      <c r="B722" s="108">
        <v>99.72</v>
      </c>
      <c r="C722" s="16">
        <v>4.4999999999999998E-2</v>
      </c>
      <c r="D722" s="111">
        <v>44331</v>
      </c>
      <c r="E722" s="112">
        <f t="shared" si="11"/>
        <v>8.7479452054794518</v>
      </c>
      <c r="F722" s="16">
        <v>4.5359999999999998E-2</v>
      </c>
      <c r="H722" s="16"/>
    </row>
    <row r="723" spans="1:8" x14ac:dyDescent="0.2">
      <c r="A723" s="108" t="s">
        <v>448</v>
      </c>
      <c r="B723" s="108">
        <v>130.47</v>
      </c>
      <c r="C723" s="16">
        <v>9.1249999999999998E-2</v>
      </c>
      <c r="D723" s="111">
        <v>44331</v>
      </c>
      <c r="E723" s="112">
        <f t="shared" si="11"/>
        <v>8.7479452054794518</v>
      </c>
      <c r="F723" s="16">
        <v>5.0349999999999999E-2</v>
      </c>
      <c r="H723" s="16"/>
    </row>
    <row r="724" spans="1:8" x14ac:dyDescent="0.2">
      <c r="A724" s="108" t="s">
        <v>328</v>
      </c>
      <c r="B724" s="108">
        <v>109.33</v>
      </c>
      <c r="C724" s="16">
        <v>4.1250000000000002E-2</v>
      </c>
      <c r="D724" s="111">
        <v>44336</v>
      </c>
      <c r="E724" s="112">
        <f t="shared" si="11"/>
        <v>8.7616438356164377</v>
      </c>
      <c r="F724" s="16">
        <v>2.9860000000000001E-2</v>
      </c>
      <c r="H724" s="16"/>
    </row>
    <row r="725" spans="1:8" x14ac:dyDescent="0.2">
      <c r="A725" s="108" t="s">
        <v>350</v>
      </c>
      <c r="B725" s="108">
        <v>107.26</v>
      </c>
      <c r="C725" s="16">
        <v>4.2500000000000003E-2</v>
      </c>
      <c r="D725" s="111">
        <v>44340</v>
      </c>
      <c r="E725" s="112">
        <f t="shared" si="11"/>
        <v>8.7726027397260271</v>
      </c>
      <c r="F725" s="16">
        <v>3.3489999999999999E-2</v>
      </c>
      <c r="H725" s="16"/>
    </row>
    <row r="726" spans="1:8" x14ac:dyDescent="0.2">
      <c r="A726" s="108" t="s">
        <v>388</v>
      </c>
      <c r="B726" s="108">
        <v>110.28</v>
      </c>
      <c r="C726" s="16">
        <v>3.9E-2</v>
      </c>
      <c r="D726" s="111">
        <v>44343</v>
      </c>
      <c r="E726" s="112">
        <f t="shared" si="11"/>
        <v>8.7808219178082183</v>
      </c>
      <c r="F726" s="16">
        <v>2.6669999999999999E-2</v>
      </c>
      <c r="H726" s="16"/>
    </row>
    <row r="727" spans="1:8" x14ac:dyDescent="0.2">
      <c r="A727" s="108" t="s">
        <v>449</v>
      </c>
      <c r="B727" s="108">
        <v>108.43</v>
      </c>
      <c r="C727" s="16">
        <v>4.4000000000000004E-2</v>
      </c>
      <c r="D727" s="111">
        <v>44346</v>
      </c>
      <c r="E727" s="112">
        <f t="shared" si="11"/>
        <v>8.7890410958904113</v>
      </c>
      <c r="F727" s="16">
        <v>3.356E-2</v>
      </c>
      <c r="H727" s="16"/>
    </row>
    <row r="728" spans="1:8" x14ac:dyDescent="0.2">
      <c r="A728" s="108" t="s">
        <v>450</v>
      </c>
      <c r="B728" s="108">
        <v>109.56</v>
      </c>
      <c r="C728" s="16">
        <v>4.2999999999999997E-2</v>
      </c>
      <c r="D728" s="111">
        <v>44348</v>
      </c>
      <c r="E728" s="112">
        <f t="shared" si="11"/>
        <v>8.794520547945206</v>
      </c>
      <c r="F728" s="16">
        <v>3.1289999999999998E-2</v>
      </c>
      <c r="H728" s="16"/>
    </row>
    <row r="729" spans="1:8" x14ac:dyDescent="0.2">
      <c r="A729" s="108" t="s">
        <v>336</v>
      </c>
      <c r="B729" s="108">
        <v>113.31</v>
      </c>
      <c r="C729" s="16">
        <v>3.7499999999999999E-2</v>
      </c>
      <c r="D729" s="111">
        <v>44348</v>
      </c>
      <c r="E729" s="112">
        <f t="shared" si="11"/>
        <v>8.794520547945206</v>
      </c>
      <c r="F729" s="16">
        <v>2.1899999999999999E-2</v>
      </c>
      <c r="H729" s="16"/>
    </row>
    <row r="730" spans="1:8" x14ac:dyDescent="0.2">
      <c r="A730" s="108" t="s">
        <v>226</v>
      </c>
      <c r="B730" s="108">
        <v>106.28</v>
      </c>
      <c r="C730" s="16">
        <v>4.2999999999999997E-2</v>
      </c>
      <c r="D730" s="111">
        <v>44348</v>
      </c>
      <c r="E730" s="112">
        <f t="shared" si="11"/>
        <v>8.794520547945206</v>
      </c>
      <c r="F730" s="16">
        <v>3.517E-2</v>
      </c>
      <c r="H730" s="16"/>
    </row>
    <row r="731" spans="1:8" x14ac:dyDescent="0.2">
      <c r="A731" s="108" t="s">
        <v>451</v>
      </c>
      <c r="B731" s="108">
        <v>150.06</v>
      </c>
      <c r="C731" s="16">
        <v>9.2499999999999999E-2</v>
      </c>
      <c r="D731" s="111">
        <v>44348</v>
      </c>
      <c r="E731" s="112">
        <f t="shared" si="11"/>
        <v>8.794520547945206</v>
      </c>
      <c r="F731" s="16">
        <v>3.1210000000000002E-2</v>
      </c>
      <c r="H731" s="16"/>
    </row>
    <row r="732" spans="1:8" x14ac:dyDescent="0.2">
      <c r="A732" s="108" t="s">
        <v>448</v>
      </c>
      <c r="B732" s="108">
        <v>117.77</v>
      </c>
      <c r="C732" s="16">
        <v>9.3000000000000013E-2</v>
      </c>
      <c r="D732" s="111">
        <v>44348</v>
      </c>
      <c r="E732" s="112">
        <f t="shared" si="11"/>
        <v>8.794520547945206</v>
      </c>
      <c r="F732" s="16">
        <v>6.7380000000000009E-2</v>
      </c>
      <c r="H732" s="16"/>
    </row>
    <row r="733" spans="1:8" x14ac:dyDescent="0.2">
      <c r="A733" s="108" t="s">
        <v>347</v>
      </c>
      <c r="B733" s="108">
        <v>104.25</v>
      </c>
      <c r="C733" s="16">
        <v>4.0999999999999995E-2</v>
      </c>
      <c r="D733" s="111">
        <v>44362</v>
      </c>
      <c r="E733" s="112">
        <f t="shared" si="11"/>
        <v>8.8328767123287673</v>
      </c>
      <c r="F733" s="16">
        <v>3.5699999999999996E-2</v>
      </c>
      <c r="H733" s="16"/>
    </row>
    <row r="734" spans="1:8" x14ac:dyDescent="0.2">
      <c r="A734" s="108" t="s">
        <v>385</v>
      </c>
      <c r="B734" s="108">
        <v>110.47</v>
      </c>
      <c r="C734" s="16">
        <v>4.2999999999999997E-2</v>
      </c>
      <c r="D734" s="111">
        <v>44362</v>
      </c>
      <c r="E734" s="112">
        <f t="shared" si="11"/>
        <v>8.8328767123287673</v>
      </c>
      <c r="F734" s="16">
        <v>3.0280000000000001E-2</v>
      </c>
      <c r="H734" s="16"/>
    </row>
    <row r="735" spans="1:8" x14ac:dyDescent="0.2">
      <c r="A735" s="108" t="s">
        <v>269</v>
      </c>
      <c r="B735" s="108">
        <v>110.11</v>
      </c>
      <c r="C735" s="16">
        <v>3.9E-2</v>
      </c>
      <c r="D735" s="111">
        <v>44389</v>
      </c>
      <c r="E735" s="112">
        <f t="shared" si="11"/>
        <v>8.9068493150684933</v>
      </c>
      <c r="F735" s="16">
        <v>2.699E-2</v>
      </c>
      <c r="H735" s="16"/>
    </row>
    <row r="736" spans="1:8" x14ac:dyDescent="0.2">
      <c r="A736" s="108" t="s">
        <v>280</v>
      </c>
      <c r="B736" s="108">
        <v>111.98</v>
      </c>
      <c r="C736" s="16">
        <v>3.875E-2</v>
      </c>
      <c r="D736" s="111">
        <v>44392</v>
      </c>
      <c r="E736" s="112">
        <f t="shared" si="11"/>
        <v>8.9150684931506845</v>
      </c>
      <c r="F736" s="16">
        <v>2.4680000000000001E-2</v>
      </c>
      <c r="H736" s="16"/>
    </row>
    <row r="737" spans="1:8" x14ac:dyDescent="0.2">
      <c r="A737" s="108" t="s">
        <v>231</v>
      </c>
      <c r="B737" s="108">
        <v>93.71</v>
      </c>
      <c r="C737" s="16">
        <v>5.2499999999999998E-2</v>
      </c>
      <c r="D737" s="111">
        <v>44404</v>
      </c>
      <c r="E737" s="112">
        <f t="shared" si="11"/>
        <v>8.9479452054794528</v>
      </c>
      <c r="F737" s="16">
        <v>6.1210000000000007E-2</v>
      </c>
      <c r="H737" s="16"/>
    </row>
    <row r="738" spans="1:8" x14ac:dyDescent="0.2">
      <c r="A738" s="108" t="s">
        <v>260</v>
      </c>
      <c r="B738" s="108">
        <v>86.8</v>
      </c>
      <c r="C738" s="16">
        <v>5.5E-2</v>
      </c>
      <c r="D738" s="111">
        <v>44405</v>
      </c>
      <c r="E738" s="112">
        <f t="shared" si="11"/>
        <v>8.9506849315068493</v>
      </c>
      <c r="F738" s="16">
        <v>7.4380000000000002E-2</v>
      </c>
      <c r="H738" s="16"/>
    </row>
    <row r="739" spans="1:8" x14ac:dyDescent="0.2">
      <c r="A739" s="108" t="s">
        <v>246</v>
      </c>
      <c r="B739" s="108">
        <v>104.95</v>
      </c>
      <c r="C739" s="16">
        <v>3.875E-2</v>
      </c>
      <c r="D739" s="111">
        <v>44423</v>
      </c>
      <c r="E739" s="112">
        <f t="shared" si="11"/>
        <v>9</v>
      </c>
      <c r="F739" s="16">
        <v>3.2750000000000001E-2</v>
      </c>
      <c r="H739" s="16"/>
    </row>
    <row r="740" spans="1:8" x14ac:dyDescent="0.2">
      <c r="A740" s="108" t="s">
        <v>336</v>
      </c>
      <c r="B740" s="108">
        <v>103.16</v>
      </c>
      <c r="C740" s="16">
        <v>2.75E-2</v>
      </c>
      <c r="D740" s="111">
        <v>44424</v>
      </c>
      <c r="E740" s="112">
        <f t="shared" si="11"/>
        <v>9.0027397260273965</v>
      </c>
      <c r="F740" s="16">
        <v>2.383E-2</v>
      </c>
      <c r="H740" s="16"/>
    </row>
    <row r="741" spans="1:8" x14ac:dyDescent="0.2">
      <c r="A741" s="108" t="s">
        <v>452</v>
      </c>
      <c r="B741" s="108">
        <v>102.09</v>
      </c>
      <c r="C741" s="16">
        <v>3.875E-2</v>
      </c>
      <c r="D741" s="111">
        <v>44454</v>
      </c>
      <c r="E741" s="112">
        <f t="shared" si="11"/>
        <v>9.0849315068493155</v>
      </c>
      <c r="F741" s="16">
        <v>3.619E-2</v>
      </c>
      <c r="H741" s="16"/>
    </row>
    <row r="742" spans="1:8" x14ac:dyDescent="0.2">
      <c r="A742" s="108" t="s">
        <v>453</v>
      </c>
      <c r="B742" s="108">
        <v>103.34</v>
      </c>
      <c r="C742" s="16">
        <v>3.3750000000000002E-2</v>
      </c>
      <c r="D742" s="111">
        <v>44454</v>
      </c>
      <c r="E742" s="112">
        <f t="shared" si="11"/>
        <v>9.0849315068493155</v>
      </c>
      <c r="F742" s="16">
        <v>2.9780000000000001E-2</v>
      </c>
      <c r="H742" s="16"/>
    </row>
    <row r="743" spans="1:8" x14ac:dyDescent="0.2">
      <c r="A743" s="108" t="s">
        <v>226</v>
      </c>
      <c r="B743" s="108">
        <v>105.72</v>
      </c>
      <c r="C743" s="16">
        <v>4.3749999999999997E-2</v>
      </c>
      <c r="D743" s="111">
        <v>44454</v>
      </c>
      <c r="E743" s="112">
        <f t="shared" si="11"/>
        <v>9.0849315068493155</v>
      </c>
      <c r="F743" s="16">
        <v>3.6740000000000002E-2</v>
      </c>
      <c r="H743" s="16"/>
    </row>
    <row r="744" spans="1:8" x14ac:dyDescent="0.2">
      <c r="A744" s="108" t="s">
        <v>382</v>
      </c>
      <c r="B744" s="108">
        <v>101.02</v>
      </c>
      <c r="C744" s="16">
        <v>3.3500000000000002E-2</v>
      </c>
      <c r="D744" s="111">
        <v>44454</v>
      </c>
      <c r="E744" s="112">
        <f t="shared" si="11"/>
        <v>9.0849315068493155</v>
      </c>
      <c r="F744" s="16">
        <v>3.227E-2</v>
      </c>
      <c r="H744" s="16"/>
    </row>
    <row r="745" spans="1:8" x14ac:dyDescent="0.2">
      <c r="A745" s="108" t="s">
        <v>328</v>
      </c>
      <c r="B745" s="108">
        <v>104.78</v>
      </c>
      <c r="C745" s="16">
        <v>3.7499999999999999E-2</v>
      </c>
      <c r="D745" s="111">
        <v>44459</v>
      </c>
      <c r="E745" s="112">
        <f t="shared" si="11"/>
        <v>9.0986301369863014</v>
      </c>
      <c r="F745" s="16">
        <v>3.1780000000000003E-2</v>
      </c>
      <c r="H745" s="16"/>
    </row>
    <row r="746" spans="1:8" x14ac:dyDescent="0.2">
      <c r="A746" s="108" t="s">
        <v>454</v>
      </c>
      <c r="B746" s="108">
        <v>145.72</v>
      </c>
      <c r="C746" s="16">
        <v>9.1249999999999998E-2</v>
      </c>
      <c r="D746" s="111">
        <v>44470</v>
      </c>
      <c r="E746" s="112">
        <f t="shared" si="11"/>
        <v>9.1287671232876715</v>
      </c>
      <c r="F746" s="16">
        <v>3.5699999999999996E-2</v>
      </c>
      <c r="H746" s="16"/>
    </row>
    <row r="747" spans="1:8" x14ac:dyDescent="0.2">
      <c r="A747" s="108" t="s">
        <v>394</v>
      </c>
      <c r="B747" s="108">
        <v>104.85</v>
      </c>
      <c r="C747" s="16">
        <v>3.3000000000000002E-2</v>
      </c>
      <c r="D747" s="111">
        <v>44470</v>
      </c>
      <c r="E747" s="112">
        <f t="shared" si="11"/>
        <v>9.1287671232876715</v>
      </c>
      <c r="F747" s="16">
        <v>2.734E-2</v>
      </c>
      <c r="H747" s="16"/>
    </row>
    <row r="748" spans="1:8" x14ac:dyDescent="0.2">
      <c r="A748" s="108" t="s">
        <v>269</v>
      </c>
      <c r="B748" s="108">
        <v>104.7</v>
      </c>
      <c r="C748" s="16">
        <v>3.15E-2</v>
      </c>
      <c r="D748" s="111">
        <v>44484</v>
      </c>
      <c r="E748" s="112">
        <f t="shared" si="11"/>
        <v>9.1671232876712327</v>
      </c>
      <c r="F748" s="16">
        <v>2.606E-2</v>
      </c>
      <c r="H748" s="16"/>
    </row>
    <row r="749" spans="1:8" x14ac:dyDescent="0.2">
      <c r="A749" s="108" t="s">
        <v>455</v>
      </c>
      <c r="B749" s="108">
        <v>104.23</v>
      </c>
      <c r="C749" s="16">
        <v>3.5000000000000003E-2</v>
      </c>
      <c r="D749" s="111">
        <v>44484</v>
      </c>
      <c r="E749" s="112">
        <f t="shared" si="11"/>
        <v>9.1671232876712327</v>
      </c>
      <c r="F749" s="16">
        <v>3.0019999999999998E-2</v>
      </c>
      <c r="H749" s="16"/>
    </row>
    <row r="750" spans="1:8" x14ac:dyDescent="0.2">
      <c r="A750" s="108" t="s">
        <v>305</v>
      </c>
      <c r="B750" s="108">
        <v>104.93</v>
      </c>
      <c r="C750" s="16">
        <v>3.5610000000000003E-2</v>
      </c>
      <c r="D750" s="111">
        <v>44501</v>
      </c>
      <c r="E750" s="112">
        <f t="shared" si="11"/>
        <v>9.213698630136987</v>
      </c>
      <c r="F750" s="16">
        <v>2.9830000000000002E-2</v>
      </c>
      <c r="H750" s="16"/>
    </row>
    <row r="751" spans="1:8" x14ac:dyDescent="0.2">
      <c r="A751" s="108" t="s">
        <v>257</v>
      </c>
      <c r="B751" s="108">
        <v>102.22</v>
      </c>
      <c r="C751" s="16">
        <v>3.5000000000000003E-2</v>
      </c>
      <c r="D751" s="111">
        <v>44501</v>
      </c>
      <c r="E751" s="112">
        <f t="shared" si="11"/>
        <v>9.213698630136987</v>
      </c>
      <c r="F751" s="16">
        <v>3.2370000000000003E-2</v>
      </c>
      <c r="H751" s="16"/>
    </row>
    <row r="752" spans="1:8" x14ac:dyDescent="0.2">
      <c r="A752" s="108" t="s">
        <v>387</v>
      </c>
      <c r="B752" s="108">
        <v>104.39</v>
      </c>
      <c r="C752" s="16">
        <v>0.03</v>
      </c>
      <c r="D752" s="111">
        <v>44503</v>
      </c>
      <c r="E752" s="112">
        <f t="shared" si="11"/>
        <v>9.2191780821917817</v>
      </c>
      <c r="F752" s="16">
        <v>2.4980000000000002E-2</v>
      </c>
      <c r="H752" s="16"/>
    </row>
    <row r="753" spans="1:8" x14ac:dyDescent="0.2">
      <c r="A753" s="108" t="s">
        <v>456</v>
      </c>
      <c r="B753" s="108">
        <v>100.82</v>
      </c>
      <c r="C753" s="16">
        <v>3.6499999999999998E-2</v>
      </c>
      <c r="D753" s="111">
        <v>44510</v>
      </c>
      <c r="E753" s="112">
        <f t="shared" si="11"/>
        <v>9.2383561643835623</v>
      </c>
      <c r="F753" s="16">
        <v>3.551E-2</v>
      </c>
      <c r="H753" s="16"/>
    </row>
    <row r="754" spans="1:8" x14ac:dyDescent="0.2">
      <c r="A754" s="108" t="s">
        <v>347</v>
      </c>
      <c r="B754" s="108">
        <v>100.06</v>
      </c>
      <c r="C754" s="16">
        <v>3.875E-2</v>
      </c>
      <c r="D754" s="111">
        <v>44515</v>
      </c>
      <c r="E754" s="112">
        <f t="shared" si="11"/>
        <v>9.2520547945205482</v>
      </c>
      <c r="F754" s="16">
        <v>3.8670000000000003E-2</v>
      </c>
      <c r="H754" s="16"/>
    </row>
    <row r="755" spans="1:8" x14ac:dyDescent="0.2">
      <c r="A755" s="108" t="s">
        <v>283</v>
      </c>
      <c r="B755" s="108">
        <v>101.45</v>
      </c>
      <c r="C755" s="16">
        <v>2.8999999999999998E-2</v>
      </c>
      <c r="D755" s="111">
        <v>44515</v>
      </c>
      <c r="E755" s="112">
        <f t="shared" si="11"/>
        <v>9.2520547945205482</v>
      </c>
      <c r="F755" s="16">
        <v>2.733E-2</v>
      </c>
      <c r="H755" s="16"/>
    </row>
    <row r="756" spans="1:8" x14ac:dyDescent="0.2">
      <c r="A756" s="108" t="s">
        <v>265</v>
      </c>
      <c r="B756" s="108">
        <v>105.7</v>
      </c>
      <c r="C756" s="16">
        <v>4.1250000000000002E-2</v>
      </c>
      <c r="D756" s="111">
        <v>44531</v>
      </c>
      <c r="E756" s="112">
        <f t="shared" si="11"/>
        <v>9.2958904109589042</v>
      </c>
      <c r="F756" s="16">
        <v>3.4460000000000005E-2</v>
      </c>
      <c r="H756" s="16"/>
    </row>
    <row r="757" spans="1:8" x14ac:dyDescent="0.2">
      <c r="A757" s="108" t="s">
        <v>229</v>
      </c>
      <c r="B757" s="108">
        <v>97.3</v>
      </c>
      <c r="C757" s="16">
        <v>4.4999999999999998E-2</v>
      </c>
      <c r="D757" s="111">
        <v>44575</v>
      </c>
      <c r="E757" s="112">
        <f t="shared" si="11"/>
        <v>9.4164383561643827</v>
      </c>
      <c r="F757" s="16">
        <v>4.8379999999999999E-2</v>
      </c>
      <c r="H757" s="16"/>
    </row>
    <row r="758" spans="1:8" x14ac:dyDescent="0.2">
      <c r="A758" s="108" t="s">
        <v>405</v>
      </c>
      <c r="B758" s="108">
        <v>103.92</v>
      </c>
      <c r="C758" s="16">
        <v>2.6249999999999999E-2</v>
      </c>
      <c r="D758" s="111">
        <v>44576</v>
      </c>
      <c r="E758" s="112">
        <f t="shared" si="11"/>
        <v>9.419178082191781</v>
      </c>
      <c r="F758" s="16">
        <v>2.1909999999999999E-2</v>
      </c>
      <c r="H758" s="16"/>
    </row>
    <row r="759" spans="1:8" x14ac:dyDescent="0.2">
      <c r="A759" s="108" t="s">
        <v>457</v>
      </c>
      <c r="B759" s="108">
        <v>131.52000000000001</v>
      </c>
      <c r="C759" s="16">
        <v>7.85E-2</v>
      </c>
      <c r="D759" s="111">
        <v>44576</v>
      </c>
      <c r="E759" s="112">
        <f t="shared" si="11"/>
        <v>9.419178082191781</v>
      </c>
      <c r="F759" s="16">
        <v>4.027E-2</v>
      </c>
      <c r="H759" s="16"/>
    </row>
    <row r="760" spans="1:8" x14ac:dyDescent="0.2">
      <c r="A760" s="108" t="s">
        <v>458</v>
      </c>
      <c r="B760" s="108">
        <v>138.08000000000001</v>
      </c>
      <c r="C760" s="16">
        <v>8.2500000000000004E-2</v>
      </c>
      <c r="D760" s="111">
        <v>44593</v>
      </c>
      <c r="E760" s="112">
        <f t="shared" si="11"/>
        <v>9.4657534246575334</v>
      </c>
      <c r="F760" s="16">
        <v>3.7170000000000002E-2</v>
      </c>
      <c r="H760" s="16"/>
    </row>
    <row r="761" spans="1:8" x14ac:dyDescent="0.2">
      <c r="A761" s="108" t="s">
        <v>459</v>
      </c>
      <c r="B761" s="108">
        <v>101.5</v>
      </c>
      <c r="C761" s="16">
        <v>0.05</v>
      </c>
      <c r="D761" s="111">
        <v>44643</v>
      </c>
      <c r="E761" s="112">
        <f t="shared" si="11"/>
        <v>9.6027397260273979</v>
      </c>
      <c r="F761" s="16">
        <v>4.8140000000000002E-2</v>
      </c>
      <c r="H761" s="16"/>
    </row>
    <row r="762" spans="1:8" x14ac:dyDescent="0.2">
      <c r="A762" s="108" t="s">
        <v>327</v>
      </c>
      <c r="B762" s="108">
        <v>101.57</v>
      </c>
      <c r="C762" s="16">
        <v>4.7500000000000001E-2</v>
      </c>
      <c r="D762" s="111">
        <v>44696</v>
      </c>
      <c r="E762" s="112">
        <f t="shared" si="11"/>
        <v>9.7479452054794518</v>
      </c>
      <c r="F762" s="16">
        <v>4.5609999999999998E-2</v>
      </c>
      <c r="H762" s="16"/>
    </row>
    <row r="763" spans="1:8" x14ac:dyDescent="0.2">
      <c r="A763" s="108" t="s">
        <v>460</v>
      </c>
      <c r="B763" s="108">
        <v>131.16</v>
      </c>
      <c r="C763" s="16">
        <v>0.08</v>
      </c>
      <c r="D763" s="111">
        <v>44713</v>
      </c>
      <c r="E763" s="112">
        <f t="shared" si="11"/>
        <v>9.794520547945206</v>
      </c>
      <c r="F763" s="16">
        <v>4.2839999999999996E-2</v>
      </c>
      <c r="H763" s="16"/>
    </row>
    <row r="764" spans="1:8" x14ac:dyDescent="0.2">
      <c r="A764" s="108" t="s">
        <v>327</v>
      </c>
      <c r="B764" s="108">
        <v>108</v>
      </c>
      <c r="C764" s="16">
        <v>5.7000000000000002E-2</v>
      </c>
      <c r="D764" s="111">
        <v>44727</v>
      </c>
      <c r="E764" s="112">
        <f t="shared" si="11"/>
        <v>9.8328767123287673</v>
      </c>
      <c r="F764" s="16">
        <v>4.734E-2</v>
      </c>
      <c r="H764" s="16"/>
    </row>
    <row r="765" spans="1:8" x14ac:dyDescent="0.2">
      <c r="A765" s="108" t="s">
        <v>327</v>
      </c>
      <c r="B765" s="108">
        <v>103.06</v>
      </c>
      <c r="C765" s="16">
        <v>0.05</v>
      </c>
      <c r="D765" s="111">
        <v>44788</v>
      </c>
      <c r="E765" s="112">
        <f t="shared" si="11"/>
        <v>10</v>
      </c>
      <c r="F765" s="16">
        <v>4.6369999999999995E-2</v>
      </c>
      <c r="H765" s="16"/>
    </row>
    <row r="766" spans="1:8" x14ac:dyDescent="0.2">
      <c r="A766" s="108" t="s">
        <v>295</v>
      </c>
      <c r="B766" s="108">
        <v>140.88</v>
      </c>
      <c r="C766" s="16">
        <v>0.08</v>
      </c>
      <c r="D766" s="111">
        <v>44819</v>
      </c>
      <c r="E766" s="112">
        <f t="shared" si="11"/>
        <v>10.084931506849315</v>
      </c>
      <c r="F766" s="16">
        <v>3.4329999999999999E-2</v>
      </c>
      <c r="H766" s="16"/>
    </row>
    <row r="767" spans="1:8" x14ac:dyDescent="0.2">
      <c r="A767" s="108" t="s">
        <v>411</v>
      </c>
      <c r="B767" s="108">
        <v>113.5</v>
      </c>
      <c r="C767" s="16">
        <v>4.1250000000000002E-2</v>
      </c>
      <c r="D767" s="111">
        <v>44819</v>
      </c>
      <c r="E767" s="112">
        <f t="shared" si="11"/>
        <v>10.084931506849315</v>
      </c>
      <c r="F767" s="16">
        <v>2.6760000000000003E-2</v>
      </c>
      <c r="H767" s="16"/>
    </row>
    <row r="768" spans="1:8" x14ac:dyDescent="0.2">
      <c r="A768" s="108" t="s">
        <v>410</v>
      </c>
      <c r="B768" s="108">
        <v>127.98</v>
      </c>
      <c r="C768" s="16">
        <v>5.8749999999999997E-2</v>
      </c>
      <c r="D768" s="111">
        <v>44896</v>
      </c>
      <c r="E768" s="112">
        <f t="shared" si="11"/>
        <v>10.295890410958904</v>
      </c>
      <c r="F768" s="16">
        <v>2.8879999999999999E-2</v>
      </c>
      <c r="H768" s="16"/>
    </row>
    <row r="769" spans="1:8" x14ac:dyDescent="0.2">
      <c r="A769" s="108" t="s">
        <v>461</v>
      </c>
      <c r="B769" s="108">
        <v>142</v>
      </c>
      <c r="C769" s="16">
        <v>8.7499999999999994E-2</v>
      </c>
      <c r="D769" s="111">
        <v>44941</v>
      </c>
      <c r="E769" s="112">
        <f t="shared" si="11"/>
        <v>10.419178082191781</v>
      </c>
      <c r="F769" s="16">
        <v>4.027E-2</v>
      </c>
      <c r="H769" s="16"/>
    </row>
    <row r="770" spans="1:8" x14ac:dyDescent="0.2">
      <c r="A770" s="108" t="s">
        <v>264</v>
      </c>
      <c r="B770" s="108">
        <v>147.80000000000001</v>
      </c>
      <c r="C770" s="16">
        <v>7.6249999999999998E-2</v>
      </c>
      <c r="D770" s="111">
        <v>45061</v>
      </c>
      <c r="E770" s="112">
        <f t="shared" si="11"/>
        <v>10.747945205479452</v>
      </c>
      <c r="F770" s="16">
        <v>2.7360000000000002E-2</v>
      </c>
      <c r="H770" s="16"/>
    </row>
    <row r="771" spans="1:8" x14ac:dyDescent="0.2">
      <c r="A771" s="108" t="s">
        <v>425</v>
      </c>
      <c r="B771" s="108">
        <v>134</v>
      </c>
      <c r="C771" s="16">
        <v>7.2599999999999998E-2</v>
      </c>
      <c r="D771" s="111">
        <v>45128</v>
      </c>
      <c r="E771" s="112">
        <f t="shared" si="11"/>
        <v>10.931506849315069</v>
      </c>
      <c r="F771" s="16">
        <v>3.6479999999999999E-2</v>
      </c>
      <c r="H771" s="16"/>
    </row>
    <row r="772" spans="1:8" x14ac:dyDescent="0.2">
      <c r="A772" s="108" t="s">
        <v>462</v>
      </c>
      <c r="B772" s="108">
        <v>128</v>
      </c>
      <c r="C772" s="16">
        <v>7.0000000000000007E-2</v>
      </c>
      <c r="D772" s="111">
        <v>45184</v>
      </c>
      <c r="E772" s="112">
        <f t="shared" ref="E772:E835" si="12">(D772-DATE(2012,8,17))/365</f>
        <v>11.084931506849315</v>
      </c>
      <c r="F772" s="16">
        <v>3.9969999999999999E-2</v>
      </c>
      <c r="H772" s="16"/>
    </row>
    <row r="773" spans="1:8" x14ac:dyDescent="0.2">
      <c r="A773" s="108" t="s">
        <v>463</v>
      </c>
      <c r="B773" s="108">
        <v>134</v>
      </c>
      <c r="C773" s="16">
        <v>7.6499999999999999E-2</v>
      </c>
      <c r="D773" s="111">
        <v>45261</v>
      </c>
      <c r="E773" s="112">
        <f t="shared" si="12"/>
        <v>11.295890410958904</v>
      </c>
      <c r="F773" s="16">
        <v>4.045E-2</v>
      </c>
      <c r="H773" s="16"/>
    </row>
    <row r="774" spans="1:8" x14ac:dyDescent="0.2">
      <c r="A774" s="108" t="s">
        <v>464</v>
      </c>
      <c r="B774" s="108">
        <v>135</v>
      </c>
      <c r="C774" s="16">
        <v>7.3749999999999996E-2</v>
      </c>
      <c r="D774" s="111">
        <v>45337</v>
      </c>
      <c r="E774" s="112">
        <f t="shared" si="12"/>
        <v>11.504109589041096</v>
      </c>
      <c r="F774" s="16">
        <v>3.7699999999999997E-2</v>
      </c>
      <c r="H774" s="16"/>
    </row>
    <row r="775" spans="1:8" x14ac:dyDescent="0.2">
      <c r="A775" s="108" t="s">
        <v>323</v>
      </c>
      <c r="B775" s="108">
        <v>135.94</v>
      </c>
      <c r="C775" s="16">
        <v>7.0000000000000007E-2</v>
      </c>
      <c r="D775" s="111">
        <v>45427</v>
      </c>
      <c r="E775" s="112">
        <f t="shared" si="12"/>
        <v>11.75068493150685</v>
      </c>
      <c r="F775" s="16">
        <v>3.4300000000000004E-2</v>
      </c>
      <c r="H775" s="16"/>
    </row>
    <row r="776" spans="1:8" x14ac:dyDescent="0.2">
      <c r="A776" s="108" t="s">
        <v>327</v>
      </c>
      <c r="B776" s="108">
        <v>103.54</v>
      </c>
      <c r="C776" s="16">
        <v>5.0999999999999997E-2</v>
      </c>
      <c r="D776" s="111">
        <v>45458</v>
      </c>
      <c r="E776" s="112">
        <f t="shared" si="12"/>
        <v>11.835616438356164</v>
      </c>
      <c r="F776" s="16">
        <v>4.7249999999999993E-2</v>
      </c>
      <c r="H776" s="16"/>
    </row>
    <row r="777" spans="1:8" x14ac:dyDescent="0.2">
      <c r="A777" s="108" t="s">
        <v>327</v>
      </c>
      <c r="B777" s="108">
        <v>103.87</v>
      </c>
      <c r="C777" s="16">
        <v>5.2499999999999998E-2</v>
      </c>
      <c r="D777" s="111">
        <v>45519</v>
      </c>
      <c r="E777" s="112">
        <f t="shared" si="12"/>
        <v>12.002739726027396</v>
      </c>
      <c r="F777" s="16">
        <v>4.8419999999999998E-2</v>
      </c>
      <c r="H777" s="16"/>
    </row>
    <row r="778" spans="1:8" x14ac:dyDescent="0.2">
      <c r="A778" s="108" t="s">
        <v>447</v>
      </c>
      <c r="B778" s="108">
        <v>118.07</v>
      </c>
      <c r="C778" s="16">
        <v>5.4000000000000006E-2</v>
      </c>
      <c r="D778" s="111">
        <v>45597</v>
      </c>
      <c r="E778" s="112">
        <f t="shared" si="12"/>
        <v>12.216438356164383</v>
      </c>
      <c r="F778" s="16">
        <v>3.635E-2</v>
      </c>
      <c r="H778" s="16"/>
    </row>
    <row r="779" spans="1:8" x14ac:dyDescent="0.2">
      <c r="A779" s="108" t="s">
        <v>465</v>
      </c>
      <c r="B779" s="108">
        <v>109.5</v>
      </c>
      <c r="C779" s="16">
        <v>5.8099999999999999E-2</v>
      </c>
      <c r="D779" s="111">
        <v>45731</v>
      </c>
      <c r="E779" s="112">
        <f t="shared" si="12"/>
        <v>12.583561643835617</v>
      </c>
      <c r="F779" s="16">
        <v>4.8320000000000002E-2</v>
      </c>
      <c r="H779" s="16"/>
    </row>
    <row r="780" spans="1:8" x14ac:dyDescent="0.2">
      <c r="A780" s="108" t="s">
        <v>322</v>
      </c>
      <c r="B780" s="108">
        <v>136</v>
      </c>
      <c r="C780" s="16">
        <v>7.2499999999999995E-2</v>
      </c>
      <c r="D780" s="111">
        <v>45823</v>
      </c>
      <c r="E780" s="112">
        <f t="shared" si="12"/>
        <v>12.835616438356164</v>
      </c>
      <c r="F780" s="16">
        <v>3.8190000000000002E-2</v>
      </c>
      <c r="H780" s="16"/>
    </row>
    <row r="781" spans="1:8" x14ac:dyDescent="0.2">
      <c r="A781" s="108" t="s">
        <v>462</v>
      </c>
      <c r="B781" s="108">
        <v>133</v>
      </c>
      <c r="C781" s="16">
        <v>7.6249999999999998E-2</v>
      </c>
      <c r="D781" s="111">
        <v>45823</v>
      </c>
      <c r="E781" s="112">
        <f t="shared" si="12"/>
        <v>12.835616438356164</v>
      </c>
      <c r="F781" s="16">
        <v>4.3700000000000003E-2</v>
      </c>
      <c r="H781" s="16"/>
    </row>
    <row r="782" spans="1:8" x14ac:dyDescent="0.2">
      <c r="A782" s="108" t="s">
        <v>327</v>
      </c>
      <c r="B782" s="108">
        <v>106.05</v>
      </c>
      <c r="C782" s="16">
        <v>0.05</v>
      </c>
      <c r="D782" s="111">
        <v>45884</v>
      </c>
      <c r="E782" s="112">
        <f t="shared" si="12"/>
        <v>13.002739726027396</v>
      </c>
      <c r="F782" s="16">
        <v>4.4109999999999996E-2</v>
      </c>
      <c r="H782" s="16"/>
    </row>
    <row r="783" spans="1:8" x14ac:dyDescent="0.2">
      <c r="A783" s="108" t="s">
        <v>466</v>
      </c>
      <c r="B783" s="108">
        <v>123.75</v>
      </c>
      <c r="C783" s="16">
        <v>7.0000000000000007E-2</v>
      </c>
      <c r="D783" s="111">
        <v>45931</v>
      </c>
      <c r="E783" s="112">
        <f t="shared" si="12"/>
        <v>13.131506849315068</v>
      </c>
      <c r="F783" s="16">
        <v>4.6519999999999999E-2</v>
      </c>
      <c r="H783" s="16"/>
    </row>
    <row r="784" spans="1:8" x14ac:dyDescent="0.2">
      <c r="A784" s="108" t="s">
        <v>467</v>
      </c>
      <c r="B784" s="108">
        <v>131.06</v>
      </c>
      <c r="C784" s="16">
        <v>7.3749999999999996E-2</v>
      </c>
      <c r="D784" s="111">
        <v>45992</v>
      </c>
      <c r="E784" s="112">
        <f t="shared" si="12"/>
        <v>13.298630136986301</v>
      </c>
      <c r="F784" s="16">
        <v>4.3830000000000001E-2</v>
      </c>
      <c r="H784" s="16"/>
    </row>
    <row r="785" spans="1:8" x14ac:dyDescent="0.2">
      <c r="A785" s="108" t="s">
        <v>315</v>
      </c>
      <c r="B785" s="108">
        <v>139.04</v>
      </c>
      <c r="C785" s="16">
        <v>7.0000000000000007E-2</v>
      </c>
      <c r="D785" s="111">
        <v>46006</v>
      </c>
      <c r="E785" s="112">
        <f t="shared" si="12"/>
        <v>13.336986301369864</v>
      </c>
      <c r="F785" s="16">
        <v>3.465E-2</v>
      </c>
      <c r="H785" s="16"/>
    </row>
    <row r="786" spans="1:8" x14ac:dyDescent="0.2">
      <c r="A786" s="108" t="s">
        <v>468</v>
      </c>
      <c r="B786" s="108">
        <v>115.25</v>
      </c>
      <c r="C786" s="16">
        <v>7.0000000000000007E-2</v>
      </c>
      <c r="D786" s="111">
        <v>46068</v>
      </c>
      <c r="E786" s="112">
        <f t="shared" si="12"/>
        <v>13.506849315068493</v>
      </c>
      <c r="F786" s="16">
        <v>5.4429999999999999E-2</v>
      </c>
      <c r="H786" s="16"/>
    </row>
    <row r="787" spans="1:8" x14ac:dyDescent="0.2">
      <c r="A787" s="108" t="s">
        <v>469</v>
      </c>
      <c r="B787" s="108">
        <v>133.38</v>
      </c>
      <c r="C787" s="16">
        <v>7.1249999999999994E-2</v>
      </c>
      <c r="D787" s="111">
        <v>46096</v>
      </c>
      <c r="E787" s="112">
        <f t="shared" si="12"/>
        <v>13.583561643835617</v>
      </c>
      <c r="F787" s="16">
        <v>4.0289999999999999E-2</v>
      </c>
      <c r="H787" s="16"/>
    </row>
    <row r="788" spans="1:8" x14ac:dyDescent="0.2">
      <c r="A788" s="108" t="s">
        <v>260</v>
      </c>
      <c r="B788" s="108">
        <v>92.45</v>
      </c>
      <c r="C788" s="16">
        <v>6.25E-2</v>
      </c>
      <c r="D788" s="111">
        <v>46243</v>
      </c>
      <c r="E788" s="112">
        <f t="shared" si="12"/>
        <v>13.986301369863014</v>
      </c>
      <c r="F788" s="16">
        <v>7.084E-2</v>
      </c>
      <c r="H788" s="16"/>
    </row>
    <row r="789" spans="1:8" x14ac:dyDescent="0.2">
      <c r="A789" s="108" t="s">
        <v>426</v>
      </c>
      <c r="B789" s="108">
        <v>137</v>
      </c>
      <c r="C789" s="16">
        <v>7.6249999999999998E-2</v>
      </c>
      <c r="D789" s="111">
        <v>46249</v>
      </c>
      <c r="E789" s="112">
        <f t="shared" si="12"/>
        <v>14.002739726027396</v>
      </c>
      <c r="F789" s="16">
        <v>4.2209999999999998E-2</v>
      </c>
      <c r="H789" s="16"/>
    </row>
    <row r="790" spans="1:8" x14ac:dyDescent="0.2">
      <c r="A790" s="108" t="s">
        <v>470</v>
      </c>
      <c r="B790" s="108">
        <v>126.4</v>
      </c>
      <c r="C790" s="16">
        <v>7.2999999999999995E-2</v>
      </c>
      <c r="D790" s="111">
        <v>46249</v>
      </c>
      <c r="E790" s="112">
        <f t="shared" si="12"/>
        <v>14.002739726027396</v>
      </c>
      <c r="F790" s="16">
        <v>4.7789999999999999E-2</v>
      </c>
      <c r="H790" s="16"/>
    </row>
    <row r="791" spans="1:8" x14ac:dyDescent="0.2">
      <c r="A791" s="108" t="s">
        <v>384</v>
      </c>
      <c r="B791" s="108">
        <v>93.92</v>
      </c>
      <c r="C791" s="16">
        <v>6.2199999999999998E-2</v>
      </c>
      <c r="D791" s="111">
        <v>46280</v>
      </c>
      <c r="E791" s="112">
        <f t="shared" si="12"/>
        <v>14.087671232876712</v>
      </c>
      <c r="F791" s="16">
        <v>6.88E-2</v>
      </c>
      <c r="H791" s="16"/>
    </row>
    <row r="792" spans="1:8" x14ac:dyDescent="0.2">
      <c r="A792" s="108" t="s">
        <v>471</v>
      </c>
      <c r="B792" s="108">
        <v>125.83</v>
      </c>
      <c r="C792" s="16">
        <v>7.6249999999999998E-2</v>
      </c>
      <c r="D792" s="111">
        <v>46310</v>
      </c>
      <c r="E792" s="112">
        <f t="shared" si="12"/>
        <v>14.169863013698631</v>
      </c>
      <c r="F792" s="16">
        <v>5.1210000000000006E-2</v>
      </c>
      <c r="H792" s="16"/>
    </row>
    <row r="793" spans="1:8" x14ac:dyDescent="0.2">
      <c r="A793" s="108" t="s">
        <v>295</v>
      </c>
      <c r="B793" s="108">
        <v>137.27000000000001</v>
      </c>
      <c r="C793" s="16">
        <v>6.9500000000000006E-2</v>
      </c>
      <c r="D793" s="111">
        <v>46341</v>
      </c>
      <c r="E793" s="112">
        <f t="shared" si="12"/>
        <v>14.254794520547945</v>
      </c>
      <c r="F793" s="16">
        <v>3.6859999999999997E-2</v>
      </c>
      <c r="H793" s="16"/>
    </row>
    <row r="794" spans="1:8" x14ac:dyDescent="0.2">
      <c r="A794" s="108" t="s">
        <v>231</v>
      </c>
      <c r="B794" s="108">
        <v>98.62</v>
      </c>
      <c r="C794" s="16">
        <v>5.9500000000000004E-2</v>
      </c>
      <c r="D794" s="111">
        <v>46402</v>
      </c>
      <c r="E794" s="112">
        <f t="shared" si="12"/>
        <v>14.421917808219177</v>
      </c>
      <c r="F794" s="16">
        <v>6.0899999999999996E-2</v>
      </c>
      <c r="H794" s="16"/>
    </row>
    <row r="795" spans="1:8" x14ac:dyDescent="0.2">
      <c r="A795" s="108" t="s">
        <v>258</v>
      </c>
      <c r="B795" s="108">
        <v>142</v>
      </c>
      <c r="C795" s="16">
        <v>7.4999999999999997E-2</v>
      </c>
      <c r="D795" s="111">
        <v>46461</v>
      </c>
      <c r="E795" s="112">
        <f t="shared" si="12"/>
        <v>14.583561643835617</v>
      </c>
      <c r="F795" s="16">
        <v>3.841E-2</v>
      </c>
      <c r="H795" s="16"/>
    </row>
    <row r="796" spans="1:8" x14ac:dyDescent="0.2">
      <c r="A796" s="108" t="s">
        <v>472</v>
      </c>
      <c r="B796" s="108">
        <v>119</v>
      </c>
      <c r="C796" s="16">
        <v>6.7500000000000004E-2</v>
      </c>
      <c r="D796" s="111">
        <v>46522</v>
      </c>
      <c r="E796" s="112">
        <f t="shared" si="12"/>
        <v>14.75068493150685</v>
      </c>
      <c r="F796" s="16">
        <v>4.9729999999999996E-2</v>
      </c>
      <c r="H796" s="16"/>
    </row>
    <row r="797" spans="1:8" x14ac:dyDescent="0.2">
      <c r="A797" s="108" t="s">
        <v>472</v>
      </c>
      <c r="B797" s="108">
        <v>120</v>
      </c>
      <c r="C797" s="16">
        <v>6.7500000000000004E-2</v>
      </c>
      <c r="D797" s="111">
        <v>46522</v>
      </c>
      <c r="E797" s="112">
        <f t="shared" si="12"/>
        <v>14.75068493150685</v>
      </c>
      <c r="F797" s="16">
        <v>4.8910000000000002E-2</v>
      </c>
      <c r="H797" s="16"/>
    </row>
    <row r="798" spans="1:8" x14ac:dyDescent="0.2">
      <c r="A798" s="108" t="s">
        <v>415</v>
      </c>
      <c r="B798" s="108">
        <v>124</v>
      </c>
      <c r="C798" s="16">
        <v>6.8750000000000006E-2</v>
      </c>
      <c r="D798" s="111">
        <v>46675</v>
      </c>
      <c r="E798" s="112">
        <f t="shared" si="12"/>
        <v>15.169863013698631</v>
      </c>
      <c r="F798" s="16">
        <v>4.7100000000000003E-2</v>
      </c>
      <c r="H798" s="16"/>
    </row>
    <row r="799" spans="1:8" x14ac:dyDescent="0.2">
      <c r="A799" s="108" t="s">
        <v>473</v>
      </c>
      <c r="B799" s="108">
        <v>128</v>
      </c>
      <c r="C799" s="16">
        <v>7.0199999999999999E-2</v>
      </c>
      <c r="D799" s="111">
        <v>46722</v>
      </c>
      <c r="E799" s="112">
        <f t="shared" si="12"/>
        <v>15.298630136986301</v>
      </c>
      <c r="F799" s="16">
        <v>4.539E-2</v>
      </c>
      <c r="H799" s="16"/>
    </row>
    <row r="800" spans="1:8" x14ac:dyDescent="0.2">
      <c r="A800" s="108" t="s">
        <v>474</v>
      </c>
      <c r="B800" s="108">
        <v>128</v>
      </c>
      <c r="C800" s="16">
        <v>7.0199999999999999E-2</v>
      </c>
      <c r="D800" s="111">
        <v>46722</v>
      </c>
      <c r="E800" s="112">
        <f t="shared" si="12"/>
        <v>15.298630136986301</v>
      </c>
      <c r="F800" s="16">
        <v>4.539E-2</v>
      </c>
      <c r="H800" s="16"/>
    </row>
    <row r="801" spans="1:8" x14ac:dyDescent="0.2">
      <c r="A801" s="108" t="s">
        <v>475</v>
      </c>
      <c r="B801" s="108">
        <v>131</v>
      </c>
      <c r="C801" s="16">
        <v>6.7500000000000004E-2</v>
      </c>
      <c r="D801" s="111">
        <v>46753</v>
      </c>
      <c r="E801" s="112">
        <f t="shared" si="12"/>
        <v>15.383561643835616</v>
      </c>
      <c r="F801" s="16">
        <v>4.0989999999999999E-2</v>
      </c>
      <c r="H801" s="16"/>
    </row>
    <row r="802" spans="1:8" x14ac:dyDescent="0.2">
      <c r="A802" s="108" t="s">
        <v>415</v>
      </c>
      <c r="B802" s="108">
        <v>112.91</v>
      </c>
      <c r="C802" s="16">
        <v>6.5500000000000003E-2</v>
      </c>
      <c r="D802" s="111">
        <v>46767</v>
      </c>
      <c r="E802" s="112">
        <f t="shared" si="12"/>
        <v>15.421917808219177</v>
      </c>
      <c r="F802" s="16">
        <v>5.3449999999999998E-2</v>
      </c>
      <c r="H802" s="16"/>
    </row>
    <row r="803" spans="1:8" x14ac:dyDescent="0.2">
      <c r="A803" s="108" t="s">
        <v>229</v>
      </c>
      <c r="B803" s="108">
        <v>111</v>
      </c>
      <c r="C803" s="16">
        <v>6.6250000000000003E-2</v>
      </c>
      <c r="D803" s="111">
        <v>46767</v>
      </c>
      <c r="E803" s="112">
        <f t="shared" si="12"/>
        <v>15.421917808219177</v>
      </c>
      <c r="F803" s="16">
        <v>5.5810000000000005E-2</v>
      </c>
      <c r="H803" s="16"/>
    </row>
    <row r="804" spans="1:8" x14ac:dyDescent="0.2">
      <c r="A804" s="108" t="s">
        <v>476</v>
      </c>
      <c r="B804" s="108">
        <v>100.25</v>
      </c>
      <c r="C804" s="16">
        <v>6.8750000000000006E-2</v>
      </c>
      <c r="D804" s="111">
        <v>46767</v>
      </c>
      <c r="E804" s="112">
        <f t="shared" si="12"/>
        <v>15.421917808219177</v>
      </c>
      <c r="F804" s="16">
        <v>6.8479999999999999E-2</v>
      </c>
      <c r="H804" s="16"/>
    </row>
    <row r="805" spans="1:8" x14ac:dyDescent="0.2">
      <c r="A805" s="108" t="s">
        <v>412</v>
      </c>
      <c r="B805" s="108">
        <v>141.21</v>
      </c>
      <c r="C805" s="16">
        <v>6.7000000000000004E-2</v>
      </c>
      <c r="D805" s="111">
        <v>46767</v>
      </c>
      <c r="E805" s="112">
        <f t="shared" si="12"/>
        <v>15.421917808219177</v>
      </c>
      <c r="F805" s="16">
        <v>3.3669999999999999E-2</v>
      </c>
      <c r="H805" s="16"/>
    </row>
    <row r="806" spans="1:8" x14ac:dyDescent="0.2">
      <c r="A806" s="108" t="s">
        <v>477</v>
      </c>
      <c r="B806" s="108">
        <v>128.5</v>
      </c>
      <c r="C806" s="16">
        <v>7.1249999999999994E-2</v>
      </c>
      <c r="D806" s="111">
        <v>46813</v>
      </c>
      <c r="E806" s="112">
        <f t="shared" si="12"/>
        <v>15.547945205479452</v>
      </c>
      <c r="F806" s="16">
        <v>4.6120000000000001E-2</v>
      </c>
      <c r="H806" s="16"/>
    </row>
    <row r="807" spans="1:8" x14ac:dyDescent="0.2">
      <c r="A807" s="108" t="s">
        <v>478</v>
      </c>
      <c r="B807" s="108">
        <v>124</v>
      </c>
      <c r="C807" s="16">
        <v>6.5000000000000002E-2</v>
      </c>
      <c r="D807" s="111">
        <v>46813</v>
      </c>
      <c r="E807" s="112">
        <f t="shared" si="12"/>
        <v>15.547945205479452</v>
      </c>
      <c r="F807" s="16">
        <v>4.4139999999999999E-2</v>
      </c>
      <c r="H807" s="16"/>
    </row>
    <row r="808" spans="1:8" x14ac:dyDescent="0.2">
      <c r="A808" s="108" t="s">
        <v>364</v>
      </c>
      <c r="B808" s="108">
        <v>102.08</v>
      </c>
      <c r="C808" s="16">
        <v>6.8000000000000005E-2</v>
      </c>
      <c r="D808" s="111">
        <v>46827</v>
      </c>
      <c r="E808" s="112">
        <f t="shared" si="12"/>
        <v>15.586301369863014</v>
      </c>
      <c r="F808" s="16">
        <v>6.5879999999999994E-2</v>
      </c>
      <c r="H808" s="16"/>
    </row>
    <row r="809" spans="1:8" x14ac:dyDescent="0.2">
      <c r="A809" s="108" t="s">
        <v>479</v>
      </c>
      <c r="B809" s="108">
        <v>117</v>
      </c>
      <c r="C809" s="16">
        <v>6.5000000000000002E-2</v>
      </c>
      <c r="D809" s="111">
        <v>46858</v>
      </c>
      <c r="E809" s="112">
        <f t="shared" si="12"/>
        <v>15.671232876712329</v>
      </c>
      <c r="F809" s="16">
        <v>4.9699999999999994E-2</v>
      </c>
      <c r="H809" s="16"/>
    </row>
    <row r="810" spans="1:8" x14ac:dyDescent="0.2">
      <c r="A810" s="108" t="s">
        <v>480</v>
      </c>
      <c r="B810" s="108">
        <v>123</v>
      </c>
      <c r="C810" s="16">
        <v>6.5000000000000002E-2</v>
      </c>
      <c r="D810" s="111">
        <v>46858</v>
      </c>
      <c r="E810" s="112">
        <f t="shared" si="12"/>
        <v>15.671232876712329</v>
      </c>
      <c r="F810" s="16">
        <v>4.4989999999999995E-2</v>
      </c>
      <c r="H810" s="16"/>
    </row>
    <row r="811" spans="1:8" x14ac:dyDescent="0.2">
      <c r="A811" s="108" t="s">
        <v>481</v>
      </c>
      <c r="B811" s="108">
        <v>109.27</v>
      </c>
      <c r="C811" s="16">
        <v>6.9199999999999998E-2</v>
      </c>
      <c r="D811" s="111">
        <v>46888</v>
      </c>
      <c r="E811" s="112">
        <f t="shared" si="12"/>
        <v>15.753424657534246</v>
      </c>
      <c r="F811" s="16">
        <v>6.0240000000000002E-2</v>
      </c>
      <c r="H811" s="16"/>
    </row>
    <row r="812" spans="1:8" x14ac:dyDescent="0.2">
      <c r="A812" s="108" t="s">
        <v>482</v>
      </c>
      <c r="B812" s="108">
        <v>135.78</v>
      </c>
      <c r="C812" s="16">
        <v>6.6500000000000004E-2</v>
      </c>
      <c r="D812" s="111">
        <v>46905</v>
      </c>
      <c r="E812" s="112">
        <f t="shared" si="12"/>
        <v>15.8</v>
      </c>
      <c r="F812" s="16">
        <v>3.7269999999999998E-2</v>
      </c>
      <c r="H812" s="16"/>
    </row>
    <row r="813" spans="1:8" x14ac:dyDescent="0.2">
      <c r="A813" s="108" t="s">
        <v>467</v>
      </c>
      <c r="B813" s="108">
        <v>122</v>
      </c>
      <c r="C813" s="16">
        <v>7.2499999999999995E-2</v>
      </c>
      <c r="D813" s="111">
        <v>46905</v>
      </c>
      <c r="E813" s="112">
        <f t="shared" si="12"/>
        <v>15.8</v>
      </c>
      <c r="F813" s="16">
        <v>5.2420000000000001E-2</v>
      </c>
      <c r="H813" s="16"/>
    </row>
    <row r="814" spans="1:8" x14ac:dyDescent="0.2">
      <c r="A814" s="108" t="s">
        <v>388</v>
      </c>
      <c r="B814" s="108">
        <v>137.09</v>
      </c>
      <c r="C814" s="16">
        <v>6.6250000000000003E-2</v>
      </c>
      <c r="D814" s="111">
        <v>46949</v>
      </c>
      <c r="E814" s="112">
        <f t="shared" si="12"/>
        <v>15.920547945205479</v>
      </c>
      <c r="F814" s="16">
        <v>3.6319999999999998E-2</v>
      </c>
      <c r="H814" s="16"/>
    </row>
    <row r="815" spans="1:8" x14ac:dyDescent="0.2">
      <c r="A815" s="108" t="s">
        <v>328</v>
      </c>
      <c r="B815" s="108">
        <v>139.46</v>
      </c>
      <c r="C815" s="16">
        <v>7.1249999999999994E-2</v>
      </c>
      <c r="D815" s="111">
        <v>46949</v>
      </c>
      <c r="E815" s="112">
        <f t="shared" si="12"/>
        <v>15.920547945205479</v>
      </c>
      <c r="F815" s="16">
        <v>3.8809999999999997E-2</v>
      </c>
      <c r="H815" s="16"/>
    </row>
    <row r="816" spans="1:8" x14ac:dyDescent="0.2">
      <c r="A816" s="108" t="s">
        <v>475</v>
      </c>
      <c r="B816" s="108">
        <v>133.85</v>
      </c>
      <c r="C816" s="16">
        <v>6.6500000000000004E-2</v>
      </c>
      <c r="D816" s="111">
        <v>46966</v>
      </c>
      <c r="E816" s="112">
        <f t="shared" si="12"/>
        <v>15.967123287671233</v>
      </c>
      <c r="F816" s="16">
        <v>3.8740000000000004E-2</v>
      </c>
      <c r="H816" s="16"/>
    </row>
    <row r="817" spans="1:8" x14ac:dyDescent="0.2">
      <c r="A817" s="108" t="s">
        <v>360</v>
      </c>
      <c r="B817" s="108">
        <v>138</v>
      </c>
      <c r="C817" s="16">
        <v>6.7000000000000004E-2</v>
      </c>
      <c r="D817" s="111">
        <v>46966</v>
      </c>
      <c r="E817" s="112">
        <f t="shared" si="12"/>
        <v>15.967123287671233</v>
      </c>
      <c r="F817" s="16">
        <v>3.6389999999999999E-2</v>
      </c>
      <c r="H817" s="16"/>
    </row>
    <row r="818" spans="1:8" x14ac:dyDescent="0.2">
      <c r="A818" s="108" t="s">
        <v>483</v>
      </c>
      <c r="B818" s="108">
        <v>114</v>
      </c>
      <c r="C818" s="16">
        <v>0.06</v>
      </c>
      <c r="D818" s="111">
        <v>47088</v>
      </c>
      <c r="E818" s="112">
        <f t="shared" si="12"/>
        <v>16.301369863013697</v>
      </c>
      <c r="F818" s="16">
        <v>4.7869999999999996E-2</v>
      </c>
      <c r="H818" s="16"/>
    </row>
    <row r="819" spans="1:8" x14ac:dyDescent="0.2">
      <c r="A819" s="108" t="s">
        <v>484</v>
      </c>
      <c r="B819" s="108">
        <v>129.63</v>
      </c>
      <c r="C819" s="16">
        <v>7.2499999999999995E-2</v>
      </c>
      <c r="D819" s="111">
        <v>47102</v>
      </c>
      <c r="E819" s="112">
        <f t="shared" si="12"/>
        <v>16.339726027397262</v>
      </c>
      <c r="F819" s="16">
        <v>4.7019999999999999E-2</v>
      </c>
      <c r="H819" s="16"/>
    </row>
    <row r="820" spans="1:8" x14ac:dyDescent="0.2">
      <c r="A820" s="108" t="s">
        <v>485</v>
      </c>
      <c r="B820" s="108">
        <v>143.51</v>
      </c>
      <c r="C820" s="16">
        <v>6.8750000000000006E-2</v>
      </c>
      <c r="D820" s="111">
        <v>47133</v>
      </c>
      <c r="E820" s="112">
        <f t="shared" si="12"/>
        <v>16.424657534246574</v>
      </c>
      <c r="F820" s="16">
        <v>3.4799999999999998E-2</v>
      </c>
      <c r="H820" s="16"/>
    </row>
    <row r="821" spans="1:8" x14ac:dyDescent="0.2">
      <c r="A821" s="108" t="s">
        <v>323</v>
      </c>
      <c r="B821" s="108">
        <v>125.2</v>
      </c>
      <c r="C821" s="16">
        <v>6.8499999999999991E-2</v>
      </c>
      <c r="D821" s="111">
        <v>47178</v>
      </c>
      <c r="E821" s="112">
        <f t="shared" si="12"/>
        <v>16.547945205479451</v>
      </c>
      <c r="F821" s="16">
        <v>4.7009999999999996E-2</v>
      </c>
      <c r="H821" s="16"/>
    </row>
    <row r="822" spans="1:8" x14ac:dyDescent="0.2">
      <c r="A822" s="108" t="s">
        <v>473</v>
      </c>
      <c r="B822" s="108">
        <v>132</v>
      </c>
      <c r="C822" s="16">
        <v>7.0000000000000007E-2</v>
      </c>
      <c r="D822" s="111">
        <v>47186</v>
      </c>
      <c r="E822" s="112">
        <f t="shared" si="12"/>
        <v>16.56986301369863</v>
      </c>
      <c r="F822" s="16">
        <v>4.3459999999999999E-2</v>
      </c>
      <c r="H822" s="16"/>
    </row>
    <row r="823" spans="1:8" x14ac:dyDescent="0.2">
      <c r="A823" s="108" t="s">
        <v>263</v>
      </c>
      <c r="B823" s="108">
        <v>120.54</v>
      </c>
      <c r="C823" s="16">
        <v>6.5000000000000002E-2</v>
      </c>
      <c r="D823" s="111">
        <v>47192</v>
      </c>
      <c r="E823" s="112">
        <f t="shared" si="12"/>
        <v>16.586301369863012</v>
      </c>
      <c r="F823" s="16">
        <v>4.7449999999999999E-2</v>
      </c>
      <c r="H823" s="16"/>
    </row>
    <row r="824" spans="1:8" x14ac:dyDescent="0.2">
      <c r="A824" s="108" t="s">
        <v>370</v>
      </c>
      <c r="B824" s="108">
        <v>125.13</v>
      </c>
      <c r="C824" s="16">
        <v>6.5000000000000002E-2</v>
      </c>
      <c r="D824" s="111">
        <v>47192</v>
      </c>
      <c r="E824" s="112">
        <f t="shared" si="12"/>
        <v>16.586301369863012</v>
      </c>
      <c r="F824" s="16">
        <v>4.4069999999999998E-2</v>
      </c>
      <c r="H824" s="16"/>
    </row>
    <row r="825" spans="1:8" x14ac:dyDescent="0.2">
      <c r="A825" s="108" t="s">
        <v>486</v>
      </c>
      <c r="B825" s="108">
        <v>141.24</v>
      </c>
      <c r="C825" s="16">
        <v>7.0000000000000007E-2</v>
      </c>
      <c r="D825" s="111">
        <v>47207</v>
      </c>
      <c r="E825" s="112">
        <f t="shared" si="12"/>
        <v>16.627397260273973</v>
      </c>
      <c r="F825" s="16">
        <v>3.7440000000000001E-2</v>
      </c>
      <c r="H825" s="16"/>
    </row>
    <row r="826" spans="1:8" x14ac:dyDescent="0.2">
      <c r="A826" s="108" t="s">
        <v>487</v>
      </c>
      <c r="B826" s="108">
        <v>139.16</v>
      </c>
      <c r="C826" s="16">
        <v>6.9500000000000006E-2</v>
      </c>
      <c r="D826" s="111">
        <v>47223</v>
      </c>
      <c r="E826" s="112">
        <f t="shared" si="12"/>
        <v>16.671232876712327</v>
      </c>
      <c r="F826" s="16">
        <v>3.8399999999999997E-2</v>
      </c>
      <c r="H826" s="16"/>
    </row>
    <row r="827" spans="1:8" x14ac:dyDescent="0.2">
      <c r="A827" s="108" t="s">
        <v>225</v>
      </c>
      <c r="B827" s="108">
        <v>130.85</v>
      </c>
      <c r="C827" s="16">
        <v>6.8000000000000005E-2</v>
      </c>
      <c r="D827" s="111">
        <v>47239</v>
      </c>
      <c r="E827" s="112">
        <f t="shared" si="12"/>
        <v>16.715068493150685</v>
      </c>
      <c r="F827" s="16">
        <v>4.2699999999999995E-2</v>
      </c>
      <c r="H827" s="16"/>
    </row>
    <row r="828" spans="1:8" x14ac:dyDescent="0.2">
      <c r="A828" s="108" t="s">
        <v>258</v>
      </c>
      <c r="B828" s="108">
        <v>133.05000000000001</v>
      </c>
      <c r="C828" s="16">
        <v>6.6250000000000003E-2</v>
      </c>
      <c r="D828" s="111">
        <v>47239</v>
      </c>
      <c r="E828" s="112">
        <f t="shared" si="12"/>
        <v>16.715068493150685</v>
      </c>
      <c r="F828" s="16">
        <v>3.9759999999999997E-2</v>
      </c>
      <c r="H828" s="16"/>
    </row>
    <row r="829" spans="1:8" x14ac:dyDescent="0.2">
      <c r="A829" s="108" t="s">
        <v>327</v>
      </c>
      <c r="B829" s="108">
        <v>104</v>
      </c>
      <c r="C829" s="16">
        <v>5.2499999999999998E-2</v>
      </c>
      <c r="D829" s="111">
        <v>47284</v>
      </c>
      <c r="E829" s="112">
        <f t="shared" si="12"/>
        <v>16.838356164383562</v>
      </c>
      <c r="F829" s="16">
        <v>4.9089999999999995E-2</v>
      </c>
      <c r="H829" s="16"/>
    </row>
    <row r="830" spans="1:8" x14ac:dyDescent="0.2">
      <c r="A830" s="108" t="s">
        <v>488</v>
      </c>
      <c r="B830" s="108">
        <v>93</v>
      </c>
      <c r="C830" s="16">
        <v>7.9500000000000001E-2</v>
      </c>
      <c r="D830" s="111">
        <v>47417</v>
      </c>
      <c r="E830" s="112">
        <f t="shared" si="12"/>
        <v>17.202739726027396</v>
      </c>
      <c r="F830" s="16">
        <v>8.7279999999999996E-2</v>
      </c>
      <c r="H830" s="16"/>
    </row>
    <row r="831" spans="1:8" x14ac:dyDescent="0.2">
      <c r="A831" s="108" t="s">
        <v>467</v>
      </c>
      <c r="B831" s="108">
        <v>131.56</v>
      </c>
      <c r="C831" s="16">
        <v>7.7499999999999999E-2</v>
      </c>
      <c r="D831" s="111">
        <v>47437</v>
      </c>
      <c r="E831" s="112">
        <f t="shared" si="12"/>
        <v>17.257534246575343</v>
      </c>
      <c r="F831" s="16">
        <v>5.0549999999999998E-2</v>
      </c>
      <c r="H831" s="16"/>
    </row>
    <row r="832" spans="1:8" x14ac:dyDescent="0.2">
      <c r="A832" s="108" t="s">
        <v>460</v>
      </c>
      <c r="B832" s="108">
        <v>133</v>
      </c>
      <c r="C832" s="16">
        <v>7.85E-2</v>
      </c>
      <c r="D832" s="111">
        <v>47437</v>
      </c>
      <c r="E832" s="112">
        <f t="shared" si="12"/>
        <v>17.257534246575343</v>
      </c>
      <c r="F832" s="16">
        <v>5.0359999999999995E-2</v>
      </c>
      <c r="H832" s="16"/>
    </row>
    <row r="833" spans="1:8" x14ac:dyDescent="0.2">
      <c r="A833" s="108" t="s">
        <v>468</v>
      </c>
      <c r="B833" s="108">
        <v>121</v>
      </c>
      <c r="C833" s="16">
        <v>7.7499999999999999E-2</v>
      </c>
      <c r="D833" s="111">
        <v>47649</v>
      </c>
      <c r="E833" s="112">
        <f t="shared" si="12"/>
        <v>17.838356164383562</v>
      </c>
      <c r="F833" s="16">
        <v>5.8749999999999997E-2</v>
      </c>
      <c r="H833" s="16"/>
    </row>
    <row r="834" spans="1:8" x14ac:dyDescent="0.2">
      <c r="A834" s="108" t="s">
        <v>327</v>
      </c>
      <c r="B834" s="108">
        <v>101.5</v>
      </c>
      <c r="C834" s="16">
        <v>0.05</v>
      </c>
      <c r="D834" s="111">
        <v>47802</v>
      </c>
      <c r="E834" s="112">
        <f t="shared" si="12"/>
        <v>18.257534246575343</v>
      </c>
      <c r="F834" s="16">
        <v>4.8789999999999993E-2</v>
      </c>
      <c r="H834" s="16"/>
    </row>
    <row r="835" spans="1:8" x14ac:dyDescent="0.2">
      <c r="A835" s="108" t="s">
        <v>285</v>
      </c>
      <c r="B835" s="108">
        <v>142.88</v>
      </c>
      <c r="C835" s="16">
        <v>7.7499999999999999E-2</v>
      </c>
      <c r="D835" s="111">
        <v>47818</v>
      </c>
      <c r="E835" s="112">
        <f t="shared" si="12"/>
        <v>18.301369863013697</v>
      </c>
      <c r="F835" s="16">
        <v>4.3979999999999998E-2</v>
      </c>
      <c r="H835" s="16"/>
    </row>
    <row r="836" spans="1:8" x14ac:dyDescent="0.2">
      <c r="A836" s="108" t="s">
        <v>489</v>
      </c>
      <c r="B836" s="108">
        <v>110.5</v>
      </c>
      <c r="C836" s="16">
        <v>8.5999999999999993E-2</v>
      </c>
      <c r="D836" s="111">
        <v>47832</v>
      </c>
      <c r="E836" s="112">
        <f t="shared" ref="E836:E899" si="13">(D836-DATE(2012,8,17))/365</f>
        <v>18.339726027397262</v>
      </c>
      <c r="F836" s="16">
        <v>7.5510000000000008E-2</v>
      </c>
      <c r="H836" s="16"/>
    </row>
    <row r="837" spans="1:8" x14ac:dyDescent="0.2">
      <c r="A837" s="108" t="s">
        <v>490</v>
      </c>
      <c r="B837" s="108">
        <v>138</v>
      </c>
      <c r="C837" s="16">
        <v>8.3499999999999991E-2</v>
      </c>
      <c r="D837" s="111">
        <v>47832</v>
      </c>
      <c r="E837" s="112">
        <f t="shared" si="13"/>
        <v>18.339726027397262</v>
      </c>
      <c r="F837" s="16">
        <v>5.1849999999999993E-2</v>
      </c>
      <c r="H837" s="16"/>
    </row>
    <row r="838" spans="1:8" x14ac:dyDescent="0.2">
      <c r="A838" s="108" t="s">
        <v>306</v>
      </c>
      <c r="B838" s="108">
        <v>145.44</v>
      </c>
      <c r="C838" s="16">
        <v>8.5000000000000006E-2</v>
      </c>
      <c r="D838" s="111">
        <v>47866</v>
      </c>
      <c r="E838" s="112">
        <f t="shared" si="13"/>
        <v>18.432876712328767</v>
      </c>
      <c r="F838" s="16">
        <v>4.8320000000000002E-2</v>
      </c>
      <c r="H838" s="16"/>
    </row>
    <row r="839" spans="1:8" x14ac:dyDescent="0.2">
      <c r="A839" s="108" t="s">
        <v>491</v>
      </c>
      <c r="B839" s="108">
        <v>155.22999999999999</v>
      </c>
      <c r="C839" s="16">
        <v>8.7499999999999994E-2</v>
      </c>
      <c r="D839" s="111">
        <v>47908</v>
      </c>
      <c r="E839" s="112">
        <f t="shared" si="13"/>
        <v>18.547945205479451</v>
      </c>
      <c r="F839" s="16">
        <v>4.4490000000000002E-2</v>
      </c>
      <c r="H839" s="16"/>
    </row>
    <row r="840" spans="1:8" x14ac:dyDescent="0.2">
      <c r="A840" s="108" t="s">
        <v>467</v>
      </c>
      <c r="B840" s="108">
        <v>146.29</v>
      </c>
      <c r="C840" s="16">
        <v>8.8749999999999996E-2</v>
      </c>
      <c r="D840" s="111">
        <v>47983</v>
      </c>
      <c r="E840" s="112">
        <f t="shared" si="13"/>
        <v>18.753424657534246</v>
      </c>
      <c r="F840" s="16">
        <v>5.0959999999999998E-2</v>
      </c>
      <c r="H840" s="16"/>
    </row>
    <row r="841" spans="1:8" x14ac:dyDescent="0.2">
      <c r="A841" s="108" t="s">
        <v>492</v>
      </c>
      <c r="B841" s="108">
        <v>126</v>
      </c>
      <c r="C841" s="16">
        <v>8.3000000000000004E-2</v>
      </c>
      <c r="D841" s="111">
        <v>48061</v>
      </c>
      <c r="E841" s="112">
        <f t="shared" si="13"/>
        <v>18.967123287671232</v>
      </c>
      <c r="F841" s="16">
        <v>6.0250000000000005E-2</v>
      </c>
      <c r="H841" s="16"/>
    </row>
    <row r="842" spans="1:8" x14ac:dyDescent="0.2">
      <c r="A842" s="108" t="s">
        <v>340</v>
      </c>
      <c r="B842" s="108">
        <v>126.71</v>
      </c>
      <c r="C842" s="16">
        <v>6.8750000000000006E-2</v>
      </c>
      <c r="D842" s="111">
        <v>48136</v>
      </c>
      <c r="E842" s="112">
        <f t="shared" si="13"/>
        <v>19.172602739726027</v>
      </c>
      <c r="F842" s="16">
        <v>4.7779999999999996E-2</v>
      </c>
      <c r="H842" s="16"/>
    </row>
    <row r="843" spans="1:8" x14ac:dyDescent="0.2">
      <c r="A843" s="108" t="s">
        <v>263</v>
      </c>
      <c r="B843" s="108">
        <v>146.72</v>
      </c>
      <c r="C843" s="16">
        <v>0.08</v>
      </c>
      <c r="D843" s="111">
        <v>48167</v>
      </c>
      <c r="E843" s="112">
        <f t="shared" si="13"/>
        <v>19.257534246575343</v>
      </c>
      <c r="F843" s="16">
        <v>4.444E-2</v>
      </c>
      <c r="H843" s="16"/>
    </row>
    <row r="844" spans="1:8" x14ac:dyDescent="0.2">
      <c r="A844" s="108" t="s">
        <v>327</v>
      </c>
      <c r="B844" s="108">
        <v>102.78</v>
      </c>
      <c r="C844" s="16">
        <v>5.3499999999999999E-2</v>
      </c>
      <c r="D844" s="111">
        <v>48167</v>
      </c>
      <c r="E844" s="112">
        <f t="shared" si="13"/>
        <v>19.257534246575343</v>
      </c>
      <c r="F844" s="16">
        <v>5.1269999999999996E-2</v>
      </c>
      <c r="H844" s="16"/>
    </row>
    <row r="845" spans="1:8" x14ac:dyDescent="0.2">
      <c r="A845" s="108" t="s">
        <v>493</v>
      </c>
      <c r="B845" s="108">
        <v>148.71</v>
      </c>
      <c r="C845" s="16">
        <v>7.400000000000001E-2</v>
      </c>
      <c r="D845" s="111">
        <v>48183</v>
      </c>
      <c r="E845" s="112">
        <f t="shared" si="13"/>
        <v>19.301369863013697</v>
      </c>
      <c r="F845" s="16">
        <v>3.8769999999999999E-2</v>
      </c>
      <c r="H845" s="16"/>
    </row>
    <row r="846" spans="1:8" x14ac:dyDescent="0.2">
      <c r="A846" s="108" t="s">
        <v>494</v>
      </c>
      <c r="B846" s="108">
        <v>132.99</v>
      </c>
      <c r="C846" s="16">
        <v>7.1249999999999994E-2</v>
      </c>
      <c r="D846" s="111">
        <v>48197</v>
      </c>
      <c r="E846" s="112">
        <f t="shared" si="13"/>
        <v>19.339726027397262</v>
      </c>
      <c r="F846" s="16">
        <v>4.5890000000000007E-2</v>
      </c>
      <c r="H846" s="16"/>
    </row>
    <row r="847" spans="1:8" x14ac:dyDescent="0.2">
      <c r="A847" s="108" t="s">
        <v>336</v>
      </c>
      <c r="B847" s="108">
        <v>149.01</v>
      </c>
      <c r="C847" s="16">
        <v>7.0000000000000007E-2</v>
      </c>
      <c r="D847" s="111">
        <v>48274</v>
      </c>
      <c r="E847" s="112">
        <f t="shared" si="13"/>
        <v>19.550684931506851</v>
      </c>
      <c r="F847" s="16">
        <v>3.5769999999999996E-2</v>
      </c>
      <c r="H847" s="16"/>
    </row>
    <row r="848" spans="1:8" x14ac:dyDescent="0.2">
      <c r="A848" s="108" t="s">
        <v>495</v>
      </c>
      <c r="B848" s="108">
        <v>126.06</v>
      </c>
      <c r="C848" s="16">
        <v>7.3749999999999996E-2</v>
      </c>
      <c r="D848" s="111">
        <v>48305</v>
      </c>
      <c r="E848" s="112">
        <f t="shared" si="13"/>
        <v>19.635616438356163</v>
      </c>
      <c r="F848" s="16">
        <v>5.2699999999999997E-2</v>
      </c>
      <c r="H848" s="16"/>
    </row>
    <row r="849" spans="1:8" x14ac:dyDescent="0.2">
      <c r="A849" s="108" t="s">
        <v>229</v>
      </c>
      <c r="B849" s="108">
        <v>103.25</v>
      </c>
      <c r="C849" s="16">
        <v>6.6250000000000003E-2</v>
      </c>
      <c r="D849" s="111">
        <v>48380</v>
      </c>
      <c r="E849" s="112">
        <f t="shared" si="13"/>
        <v>19.841095890410958</v>
      </c>
      <c r="F849" s="16">
        <v>6.3390000000000002E-2</v>
      </c>
      <c r="H849" s="16"/>
    </row>
    <row r="850" spans="1:8" x14ac:dyDescent="0.2">
      <c r="A850" s="108" t="s">
        <v>285</v>
      </c>
      <c r="B850" s="108">
        <v>145.87</v>
      </c>
      <c r="C850" s="16">
        <v>7.7499999999999999E-2</v>
      </c>
      <c r="D850" s="111">
        <v>48380</v>
      </c>
      <c r="E850" s="112">
        <f t="shared" si="13"/>
        <v>19.841095890410958</v>
      </c>
      <c r="F850" s="16">
        <v>4.3499999999999997E-2</v>
      </c>
      <c r="H850" s="16"/>
    </row>
    <row r="851" spans="1:8" x14ac:dyDescent="0.2">
      <c r="A851" s="108" t="s">
        <v>276</v>
      </c>
      <c r="B851" s="108">
        <v>142.41</v>
      </c>
      <c r="C851" s="16">
        <v>0.06</v>
      </c>
      <c r="D851" s="111">
        <v>48441</v>
      </c>
      <c r="E851" s="112">
        <f t="shared" si="13"/>
        <v>20.008219178082193</v>
      </c>
      <c r="F851" s="16">
        <v>3.1859999999999999E-2</v>
      </c>
      <c r="H851" s="16"/>
    </row>
    <row r="852" spans="1:8" x14ac:dyDescent="0.2">
      <c r="A852" s="108" t="s">
        <v>247</v>
      </c>
      <c r="B852" s="108">
        <v>137.27000000000001</v>
      </c>
      <c r="C852" s="16">
        <v>6.8000000000000005E-2</v>
      </c>
      <c r="D852" s="111">
        <v>48446</v>
      </c>
      <c r="E852" s="112">
        <f t="shared" si="13"/>
        <v>20.021917808219179</v>
      </c>
      <c r="F852" s="16">
        <v>4.1100000000000005E-2</v>
      </c>
      <c r="H852" s="16"/>
    </row>
    <row r="853" spans="1:8" x14ac:dyDescent="0.2">
      <c r="A853" s="108" t="s">
        <v>496</v>
      </c>
      <c r="B853" s="108">
        <v>123</v>
      </c>
      <c r="C853" s="16">
        <v>6.3500000000000001E-2</v>
      </c>
      <c r="D853" s="111">
        <v>48502</v>
      </c>
      <c r="E853" s="112">
        <f t="shared" si="13"/>
        <v>20.175342465753424</v>
      </c>
      <c r="F853" s="16">
        <v>4.6199999999999998E-2</v>
      </c>
      <c r="H853" s="16"/>
    </row>
    <row r="854" spans="1:8" x14ac:dyDescent="0.2">
      <c r="A854" s="108" t="s">
        <v>441</v>
      </c>
      <c r="B854" s="108">
        <v>128</v>
      </c>
      <c r="C854" s="16">
        <v>6.3500000000000001E-2</v>
      </c>
      <c r="D854" s="111">
        <v>48519</v>
      </c>
      <c r="E854" s="112">
        <f t="shared" si="13"/>
        <v>20.221917808219178</v>
      </c>
      <c r="F854" s="16">
        <v>4.3060000000000001E-2</v>
      </c>
      <c r="H854" s="16"/>
    </row>
    <row r="855" spans="1:8" x14ac:dyDescent="0.2">
      <c r="A855" s="108" t="s">
        <v>497</v>
      </c>
      <c r="B855" s="108">
        <v>110.12</v>
      </c>
      <c r="C855" s="16">
        <v>7.3499999999999996E-2</v>
      </c>
      <c r="D855" s="111">
        <v>48545</v>
      </c>
      <c r="E855" s="112">
        <f t="shared" si="13"/>
        <v>20.293150684931508</v>
      </c>
      <c r="F855" s="16">
        <v>6.4619999999999997E-2</v>
      </c>
      <c r="H855" s="16"/>
    </row>
    <row r="856" spans="1:8" x14ac:dyDescent="0.2">
      <c r="A856" s="108" t="s">
        <v>327</v>
      </c>
      <c r="B856" s="108">
        <v>104</v>
      </c>
      <c r="C856" s="16">
        <v>5.2499999999999998E-2</v>
      </c>
      <c r="D856" s="111">
        <v>48563</v>
      </c>
      <c r="E856" s="112">
        <f t="shared" si="13"/>
        <v>20.342465753424658</v>
      </c>
      <c r="F856" s="16">
        <v>4.9439999999999998E-2</v>
      </c>
      <c r="H856" s="16"/>
    </row>
    <row r="857" spans="1:8" x14ac:dyDescent="0.2">
      <c r="A857" s="108" t="s">
        <v>335</v>
      </c>
      <c r="B857" s="108">
        <v>120.3</v>
      </c>
      <c r="C857" s="16">
        <v>6.5000000000000002E-2</v>
      </c>
      <c r="D857" s="111">
        <v>48563</v>
      </c>
      <c r="E857" s="112">
        <f t="shared" si="13"/>
        <v>20.342465753424658</v>
      </c>
      <c r="F857" s="16">
        <v>4.938E-2</v>
      </c>
      <c r="H857" s="16"/>
    </row>
    <row r="858" spans="1:8" x14ac:dyDescent="0.2">
      <c r="A858" s="108" t="s">
        <v>247</v>
      </c>
      <c r="B858" s="108">
        <v>125</v>
      </c>
      <c r="C858" s="16">
        <v>5.9500000000000004E-2</v>
      </c>
      <c r="D858" s="111">
        <v>48594</v>
      </c>
      <c r="E858" s="112">
        <f t="shared" si="13"/>
        <v>20.427397260273974</v>
      </c>
      <c r="F858" s="16">
        <v>4.1589999999999995E-2</v>
      </c>
      <c r="H858" s="16"/>
    </row>
    <row r="859" spans="1:8" x14ac:dyDescent="0.2">
      <c r="A859" s="108" t="s">
        <v>429</v>
      </c>
      <c r="B859" s="108">
        <v>123</v>
      </c>
      <c r="C859" s="16">
        <v>5.7999999999999996E-2</v>
      </c>
      <c r="D859" s="111">
        <v>48594</v>
      </c>
      <c r="E859" s="112">
        <f t="shared" si="13"/>
        <v>20.427397260273974</v>
      </c>
      <c r="F859" s="16">
        <v>4.1540000000000001E-2</v>
      </c>
      <c r="H859" s="16"/>
    </row>
    <row r="860" spans="1:8" x14ac:dyDescent="0.2">
      <c r="A860" s="108" t="s">
        <v>322</v>
      </c>
      <c r="B860" s="108">
        <v>129.21</v>
      </c>
      <c r="C860" s="16">
        <v>6.1249999999999999E-2</v>
      </c>
      <c r="D860" s="111">
        <v>48625</v>
      </c>
      <c r="E860" s="112">
        <f t="shared" si="13"/>
        <v>20.512328767123286</v>
      </c>
      <c r="F860" s="16">
        <v>4.0570000000000002E-2</v>
      </c>
      <c r="H860" s="16"/>
    </row>
    <row r="861" spans="1:8" x14ac:dyDescent="0.2">
      <c r="A861" s="108" t="s">
        <v>231</v>
      </c>
      <c r="B861" s="108">
        <v>97.02</v>
      </c>
      <c r="C861" s="16">
        <v>6.1249999999999999E-2</v>
      </c>
      <c r="D861" s="111">
        <v>48625</v>
      </c>
      <c r="E861" s="112">
        <f t="shared" si="13"/>
        <v>20.512328767123286</v>
      </c>
      <c r="F861" s="16">
        <v>6.3820000000000002E-2</v>
      </c>
      <c r="H861" s="16"/>
    </row>
    <row r="862" spans="1:8" x14ac:dyDescent="0.2">
      <c r="A862" s="108" t="s">
        <v>229</v>
      </c>
      <c r="B862" s="108">
        <v>94.25</v>
      </c>
      <c r="C862" s="16">
        <v>5.8749999999999997E-2</v>
      </c>
      <c r="D862" s="111">
        <v>48632</v>
      </c>
      <c r="E862" s="112">
        <f t="shared" si="13"/>
        <v>20.531506849315068</v>
      </c>
      <c r="F862" s="16">
        <v>6.3719999999999999E-2</v>
      </c>
      <c r="H862" s="16"/>
    </row>
    <row r="863" spans="1:8" x14ac:dyDescent="0.2">
      <c r="A863" s="108" t="s">
        <v>390</v>
      </c>
      <c r="B863" s="108">
        <v>127</v>
      </c>
      <c r="C863" s="16">
        <v>6.3E-2</v>
      </c>
      <c r="D863" s="111">
        <v>48653</v>
      </c>
      <c r="E863" s="112">
        <f t="shared" si="13"/>
        <v>20.589041095890412</v>
      </c>
      <c r="F863" s="16">
        <v>4.3429999999999996E-2</v>
      </c>
      <c r="H863" s="16"/>
    </row>
    <row r="864" spans="1:8" x14ac:dyDescent="0.2">
      <c r="A864" s="108" t="s">
        <v>498</v>
      </c>
      <c r="B864" s="108">
        <v>114</v>
      </c>
      <c r="C864" s="16">
        <v>5.7000000000000002E-2</v>
      </c>
      <c r="D864" s="111">
        <v>48653</v>
      </c>
      <c r="E864" s="112">
        <f t="shared" si="13"/>
        <v>20.589041095890412</v>
      </c>
      <c r="F864" s="16">
        <v>4.6559999999999997E-2</v>
      </c>
      <c r="H864" s="16"/>
    </row>
    <row r="865" spans="1:8" x14ac:dyDescent="0.2">
      <c r="A865" s="108" t="s">
        <v>499</v>
      </c>
      <c r="B865" s="108">
        <v>132.01</v>
      </c>
      <c r="C865" s="16">
        <v>6.3750000000000001E-2</v>
      </c>
      <c r="D865" s="111">
        <v>48653</v>
      </c>
      <c r="E865" s="112">
        <f t="shared" si="13"/>
        <v>20.589041095890412</v>
      </c>
      <c r="F865" s="16">
        <v>4.1050000000000003E-2</v>
      </c>
      <c r="H865" s="16"/>
    </row>
    <row r="866" spans="1:8" x14ac:dyDescent="0.2">
      <c r="A866" s="108" t="s">
        <v>500</v>
      </c>
      <c r="B866" s="108">
        <v>130</v>
      </c>
      <c r="C866" s="16">
        <v>6.2E-2</v>
      </c>
      <c r="D866" s="111">
        <v>48670</v>
      </c>
      <c r="E866" s="112">
        <f t="shared" si="13"/>
        <v>20.635616438356163</v>
      </c>
      <c r="F866" s="16">
        <v>4.0800000000000003E-2</v>
      </c>
      <c r="H866" s="16"/>
    </row>
    <row r="867" spans="1:8" x14ac:dyDescent="0.2">
      <c r="A867" s="108" t="s">
        <v>501</v>
      </c>
      <c r="B867" s="108">
        <v>121.94</v>
      </c>
      <c r="C867" s="16">
        <v>5.6250000000000001E-2</v>
      </c>
      <c r="D867" s="111">
        <v>48714</v>
      </c>
      <c r="E867" s="112">
        <f t="shared" si="13"/>
        <v>20.756164383561643</v>
      </c>
      <c r="F867" s="16">
        <v>4.0800000000000003E-2</v>
      </c>
      <c r="H867" s="16"/>
    </row>
    <row r="868" spans="1:8" x14ac:dyDescent="0.2">
      <c r="A868" s="108" t="s">
        <v>330</v>
      </c>
      <c r="B868" s="108">
        <v>107</v>
      </c>
      <c r="C868" s="16">
        <v>5.3499999999999999E-2</v>
      </c>
      <c r="D868" s="111">
        <v>48731</v>
      </c>
      <c r="E868" s="112">
        <f t="shared" si="13"/>
        <v>20.802739726027397</v>
      </c>
      <c r="F868" s="16">
        <v>4.8230000000000002E-2</v>
      </c>
      <c r="H868" s="16"/>
    </row>
    <row r="869" spans="1:8" x14ac:dyDescent="0.2">
      <c r="A869" s="108" t="s">
        <v>502</v>
      </c>
      <c r="B869" s="108">
        <v>108.5</v>
      </c>
      <c r="C869" s="16">
        <v>5.4000000000000006E-2</v>
      </c>
      <c r="D869" s="111">
        <v>48745</v>
      </c>
      <c r="E869" s="112">
        <f t="shared" si="13"/>
        <v>20.841095890410958</v>
      </c>
      <c r="F869" s="16">
        <v>4.7640000000000002E-2</v>
      </c>
      <c r="H869" s="16"/>
    </row>
    <row r="870" spans="1:8" x14ac:dyDescent="0.2">
      <c r="A870" s="108" t="s">
        <v>502</v>
      </c>
      <c r="B870" s="108">
        <v>113.79</v>
      </c>
      <c r="C870" s="16">
        <v>5.3749999999999999E-2</v>
      </c>
      <c r="D870" s="111">
        <v>48745</v>
      </c>
      <c r="E870" s="112">
        <f t="shared" si="13"/>
        <v>20.841095890410958</v>
      </c>
      <c r="F870" s="16">
        <v>4.3789999999999996E-2</v>
      </c>
      <c r="H870" s="16"/>
    </row>
    <row r="871" spans="1:8" x14ac:dyDescent="0.2">
      <c r="A871" s="108" t="s">
        <v>503</v>
      </c>
      <c r="B871" s="108">
        <v>106.12</v>
      </c>
      <c r="C871" s="16">
        <v>5.1249999999999997E-2</v>
      </c>
      <c r="D871" s="111">
        <v>48745</v>
      </c>
      <c r="E871" s="112">
        <f t="shared" si="13"/>
        <v>20.841095890410958</v>
      </c>
      <c r="F871" s="16">
        <v>4.6710000000000002E-2</v>
      </c>
      <c r="H871" s="16"/>
    </row>
    <row r="872" spans="1:8" x14ac:dyDescent="0.2">
      <c r="A872" s="108" t="s">
        <v>234</v>
      </c>
      <c r="B872" s="108">
        <v>108.46</v>
      </c>
      <c r="C872" s="16">
        <v>5.7500000000000002E-2</v>
      </c>
      <c r="D872" s="111">
        <v>48775</v>
      </c>
      <c r="E872" s="112">
        <f t="shared" si="13"/>
        <v>20.923287671232877</v>
      </c>
      <c r="F872" s="16">
        <v>5.0990000000000001E-2</v>
      </c>
      <c r="H872" s="16"/>
    </row>
    <row r="873" spans="1:8" x14ac:dyDescent="0.2">
      <c r="A873" s="108" t="s">
        <v>504</v>
      </c>
      <c r="B873" s="108">
        <v>128</v>
      </c>
      <c r="C873" s="16">
        <v>5.7500000000000002E-2</v>
      </c>
      <c r="D873" s="111">
        <v>48867</v>
      </c>
      <c r="E873" s="112">
        <f t="shared" si="13"/>
        <v>21.175342465753424</v>
      </c>
      <c r="F873" s="16">
        <v>3.8450000000000005E-2</v>
      </c>
      <c r="H873" s="16"/>
    </row>
    <row r="874" spans="1:8" x14ac:dyDescent="0.2">
      <c r="A874" s="108" t="s">
        <v>229</v>
      </c>
      <c r="B874" s="108">
        <v>94.97</v>
      </c>
      <c r="C874" s="16">
        <v>0.06</v>
      </c>
      <c r="D874" s="111">
        <v>48883</v>
      </c>
      <c r="E874" s="112">
        <f t="shared" si="13"/>
        <v>21.219178082191782</v>
      </c>
      <c r="F874" s="16">
        <v>6.4299999999999996E-2</v>
      </c>
      <c r="H874" s="16"/>
    </row>
    <row r="875" spans="1:8" x14ac:dyDescent="0.2">
      <c r="A875" s="108" t="s">
        <v>373</v>
      </c>
      <c r="B875" s="108">
        <v>134.78</v>
      </c>
      <c r="C875" s="16">
        <v>8.2500000000000004E-2</v>
      </c>
      <c r="D875" s="111">
        <v>48961</v>
      </c>
      <c r="E875" s="112">
        <f t="shared" si="13"/>
        <v>21.432876712328767</v>
      </c>
      <c r="F875" s="16">
        <v>5.5099999999999996E-2</v>
      </c>
      <c r="H875" s="16"/>
    </row>
    <row r="876" spans="1:8" x14ac:dyDescent="0.2">
      <c r="A876" s="108" t="s">
        <v>251</v>
      </c>
      <c r="B876" s="108">
        <v>120</v>
      </c>
      <c r="C876" s="16">
        <v>5.7000000000000002E-2</v>
      </c>
      <c r="D876" s="111">
        <v>48976</v>
      </c>
      <c r="E876" s="112">
        <f t="shared" si="13"/>
        <v>21.473972602739725</v>
      </c>
      <c r="F876" s="16">
        <v>4.292E-2</v>
      </c>
      <c r="H876" s="16"/>
    </row>
    <row r="877" spans="1:8" x14ac:dyDescent="0.2">
      <c r="A877" s="108" t="s">
        <v>505</v>
      </c>
      <c r="B877" s="108">
        <v>90.75</v>
      </c>
      <c r="C877" s="16">
        <v>6.3449999999999993E-2</v>
      </c>
      <c r="D877" s="111">
        <v>48990</v>
      </c>
      <c r="E877" s="112">
        <f t="shared" si="13"/>
        <v>21.512328767123286</v>
      </c>
      <c r="F877" s="16">
        <v>7.1830000000000005E-2</v>
      </c>
      <c r="H877" s="16"/>
    </row>
    <row r="878" spans="1:8" x14ac:dyDescent="0.2">
      <c r="A878" s="108" t="s">
        <v>361</v>
      </c>
      <c r="B878" s="108">
        <v>120.94</v>
      </c>
      <c r="C878" s="16">
        <v>5.5999999999999994E-2</v>
      </c>
      <c r="D878" s="111">
        <v>49034</v>
      </c>
      <c r="E878" s="112">
        <f t="shared" si="13"/>
        <v>21.632876712328766</v>
      </c>
      <c r="F878" s="16">
        <v>4.1520000000000001E-2</v>
      </c>
      <c r="H878" s="16"/>
    </row>
    <row r="879" spans="1:8" x14ac:dyDescent="0.2">
      <c r="A879" s="108" t="s">
        <v>506</v>
      </c>
      <c r="B879" s="108">
        <v>105</v>
      </c>
      <c r="C879" s="16">
        <v>7.0000000000000007E-2</v>
      </c>
      <c r="D879" s="111">
        <v>49096</v>
      </c>
      <c r="E879" s="112">
        <f t="shared" si="13"/>
        <v>21.802739726027397</v>
      </c>
      <c r="F879" s="16">
        <v>6.5709999999999991E-2</v>
      </c>
      <c r="H879" s="16"/>
    </row>
    <row r="880" spans="1:8" x14ac:dyDescent="0.2">
      <c r="A880" s="108" t="s">
        <v>340</v>
      </c>
      <c r="B880" s="108">
        <v>121.55</v>
      </c>
      <c r="C880" s="16">
        <v>6.5500000000000003E-2</v>
      </c>
      <c r="D880" s="111">
        <v>49110</v>
      </c>
      <c r="E880" s="112">
        <f t="shared" si="13"/>
        <v>21.841095890410958</v>
      </c>
      <c r="F880" s="16">
        <v>4.9520000000000002E-2</v>
      </c>
      <c r="H880" s="16"/>
    </row>
    <row r="881" spans="1:8" x14ac:dyDescent="0.2">
      <c r="A881" s="108" t="s">
        <v>335</v>
      </c>
      <c r="B881" s="108">
        <v>119.94</v>
      </c>
      <c r="C881" s="16">
        <v>6.3750000000000001E-2</v>
      </c>
      <c r="D881" s="111">
        <v>49110</v>
      </c>
      <c r="E881" s="112">
        <f t="shared" si="13"/>
        <v>21.841095890410958</v>
      </c>
      <c r="F881" s="16">
        <v>4.9029999999999997E-2</v>
      </c>
      <c r="H881" s="16"/>
    </row>
    <row r="882" spans="1:8" x14ac:dyDescent="0.2">
      <c r="A882" s="108" t="s">
        <v>341</v>
      </c>
      <c r="B882" s="108">
        <v>121.25</v>
      </c>
      <c r="C882" s="16">
        <v>6.4500000000000002E-2</v>
      </c>
      <c r="D882" s="111">
        <v>49110</v>
      </c>
      <c r="E882" s="112">
        <f t="shared" si="13"/>
        <v>21.841095890410958</v>
      </c>
      <c r="F882" s="16">
        <v>4.8840000000000001E-2</v>
      </c>
      <c r="H882" s="16"/>
    </row>
    <row r="883" spans="1:8" x14ac:dyDescent="0.2">
      <c r="A883" s="108" t="s">
        <v>425</v>
      </c>
      <c r="B883" s="108">
        <v>120.92</v>
      </c>
      <c r="C883" s="16">
        <v>5.9000000000000004E-2</v>
      </c>
      <c r="D883" s="111">
        <v>49171</v>
      </c>
      <c r="E883" s="112">
        <f t="shared" si="13"/>
        <v>22.008219178082193</v>
      </c>
      <c r="F883" s="16">
        <v>4.4290000000000003E-2</v>
      </c>
      <c r="H883" s="16"/>
    </row>
    <row r="884" spans="1:8" x14ac:dyDescent="0.2">
      <c r="A884" s="108" t="s">
        <v>341</v>
      </c>
      <c r="B884" s="108">
        <v>119.52</v>
      </c>
      <c r="C884" s="16">
        <v>6.1500000000000006E-2</v>
      </c>
      <c r="D884" s="111">
        <v>49202</v>
      </c>
      <c r="E884" s="112">
        <f t="shared" si="13"/>
        <v>22.093150684931508</v>
      </c>
      <c r="F884" s="16">
        <v>4.7390000000000002E-2</v>
      </c>
      <c r="H884" s="16"/>
    </row>
    <row r="885" spans="1:8" x14ac:dyDescent="0.2">
      <c r="A885" s="108" t="s">
        <v>332</v>
      </c>
      <c r="B885" s="108">
        <v>111.98</v>
      </c>
      <c r="C885" s="16">
        <v>5.7999999999999996E-2</v>
      </c>
      <c r="D885" s="111">
        <v>49263</v>
      </c>
      <c r="E885" s="112">
        <f t="shared" si="13"/>
        <v>22.260273972602739</v>
      </c>
      <c r="F885" s="16">
        <v>4.9230000000000003E-2</v>
      </c>
      <c r="H885" s="16"/>
    </row>
    <row r="886" spans="1:8" x14ac:dyDescent="0.2">
      <c r="A886" s="108" t="s">
        <v>340</v>
      </c>
      <c r="B886" s="108">
        <v>114.64</v>
      </c>
      <c r="C886" s="16">
        <v>0.06</v>
      </c>
      <c r="D886" s="111">
        <v>49263</v>
      </c>
      <c r="E886" s="112">
        <f t="shared" si="13"/>
        <v>22.260273972602739</v>
      </c>
      <c r="F886" s="16">
        <v>4.9279999999999997E-2</v>
      </c>
      <c r="H886" s="16"/>
    </row>
    <row r="887" spans="1:8" x14ac:dyDescent="0.2">
      <c r="A887" s="108" t="s">
        <v>229</v>
      </c>
      <c r="B887" s="108">
        <v>104.28</v>
      </c>
      <c r="C887" s="16">
        <v>5.8499999999999996E-2</v>
      </c>
      <c r="D887" s="111">
        <v>49289</v>
      </c>
      <c r="E887" s="112">
        <f t="shared" si="13"/>
        <v>22.331506849315069</v>
      </c>
      <c r="F887" s="16">
        <v>5.5190000000000003E-2</v>
      </c>
      <c r="H887" s="16"/>
    </row>
    <row r="888" spans="1:8" x14ac:dyDescent="0.2">
      <c r="A888" s="108" t="s">
        <v>318</v>
      </c>
      <c r="B888" s="108">
        <v>122.3</v>
      </c>
      <c r="C888" s="16">
        <v>5.9500000000000004E-2</v>
      </c>
      <c r="D888" s="111">
        <v>49293</v>
      </c>
      <c r="E888" s="112">
        <f t="shared" si="13"/>
        <v>22.342465753424658</v>
      </c>
      <c r="F888" s="16">
        <v>4.4000000000000004E-2</v>
      </c>
      <c r="H888" s="16"/>
    </row>
    <row r="889" spans="1:8" x14ac:dyDescent="0.2">
      <c r="A889" s="108" t="s">
        <v>380</v>
      </c>
      <c r="B889" s="108">
        <v>112.6</v>
      </c>
      <c r="C889" s="16">
        <v>0.06</v>
      </c>
      <c r="D889" s="111">
        <v>49341</v>
      </c>
      <c r="E889" s="112">
        <f t="shared" si="13"/>
        <v>22.473972602739725</v>
      </c>
      <c r="F889" s="16">
        <v>5.0689999999999999E-2</v>
      </c>
      <c r="H889" s="16"/>
    </row>
    <row r="890" spans="1:8" x14ac:dyDescent="0.2">
      <c r="A890" s="108" t="s">
        <v>507</v>
      </c>
      <c r="B890" s="108">
        <v>85.5</v>
      </c>
      <c r="C890" s="16">
        <v>5.6250000000000001E-2</v>
      </c>
      <c r="D890" s="111">
        <v>49376</v>
      </c>
      <c r="E890" s="112">
        <f t="shared" si="13"/>
        <v>22.56986301369863</v>
      </c>
      <c r="F890" s="16">
        <v>6.8830000000000002E-2</v>
      </c>
      <c r="H890" s="16"/>
    </row>
    <row r="891" spans="1:8" x14ac:dyDescent="0.2">
      <c r="A891" s="108" t="s">
        <v>330</v>
      </c>
      <c r="B891" s="108">
        <v>119.15</v>
      </c>
      <c r="C891" s="16">
        <v>5.5500000000000001E-2</v>
      </c>
      <c r="D891" s="111">
        <v>49438</v>
      </c>
      <c r="E891" s="112">
        <f t="shared" si="13"/>
        <v>22.739726027397261</v>
      </c>
      <c r="F891" s="16">
        <v>4.2510000000000006E-2</v>
      </c>
      <c r="H891" s="16"/>
    </row>
    <row r="892" spans="1:8" x14ac:dyDescent="0.2">
      <c r="A892" s="108" t="s">
        <v>474</v>
      </c>
      <c r="B892" s="108">
        <v>114.25</v>
      </c>
      <c r="C892" s="16">
        <v>5.4829999999999997E-2</v>
      </c>
      <c r="D892" s="111">
        <v>49461</v>
      </c>
      <c r="E892" s="112">
        <f t="shared" si="13"/>
        <v>22.802739726027397</v>
      </c>
      <c r="F892" s="16">
        <v>4.4950000000000004E-2</v>
      </c>
      <c r="H892" s="16"/>
    </row>
    <row r="893" spans="1:8" x14ac:dyDescent="0.2">
      <c r="A893" s="108" t="s">
        <v>390</v>
      </c>
      <c r="B893" s="108">
        <v>127.25</v>
      </c>
      <c r="C893" s="16">
        <v>5.9500000000000004E-2</v>
      </c>
      <c r="D893" s="111">
        <v>49475</v>
      </c>
      <c r="E893" s="112">
        <f t="shared" si="13"/>
        <v>22.841095890410958</v>
      </c>
      <c r="F893" s="16">
        <v>4.1289999999999993E-2</v>
      </c>
      <c r="H893" s="16"/>
    </row>
    <row r="894" spans="1:8" x14ac:dyDescent="0.2">
      <c r="A894" s="108" t="s">
        <v>335</v>
      </c>
      <c r="B894" s="108">
        <v>112.2</v>
      </c>
      <c r="C894" s="16">
        <v>5.7000000000000002E-2</v>
      </c>
      <c r="D894" s="111">
        <v>49475</v>
      </c>
      <c r="E894" s="112">
        <f t="shared" si="13"/>
        <v>22.841095890410958</v>
      </c>
      <c r="F894" s="16">
        <v>4.827E-2</v>
      </c>
      <c r="H894" s="16"/>
    </row>
    <row r="895" spans="1:8" x14ac:dyDescent="0.2">
      <c r="A895" s="108" t="s">
        <v>425</v>
      </c>
      <c r="B895" s="108">
        <v>114.8</v>
      </c>
      <c r="C895" s="16">
        <v>5.2499999999999998E-2</v>
      </c>
      <c r="D895" s="111">
        <v>49475</v>
      </c>
      <c r="E895" s="112">
        <f t="shared" si="13"/>
        <v>22.841095890410958</v>
      </c>
      <c r="F895" s="16">
        <v>4.249E-2</v>
      </c>
      <c r="H895" s="16"/>
    </row>
    <row r="896" spans="1:8" x14ac:dyDescent="0.2">
      <c r="A896" s="108" t="s">
        <v>508</v>
      </c>
      <c r="B896" s="108">
        <v>124</v>
      </c>
      <c r="C896" s="16">
        <v>5.5E-2</v>
      </c>
      <c r="D896" s="111">
        <v>49520</v>
      </c>
      <c r="E896" s="112">
        <f t="shared" si="13"/>
        <v>22.964383561643835</v>
      </c>
      <c r="F896" s="16">
        <v>3.9320000000000001E-2</v>
      </c>
      <c r="H896" s="16"/>
    </row>
    <row r="897" spans="1:8" x14ac:dyDescent="0.2">
      <c r="A897" s="108" t="s">
        <v>509</v>
      </c>
      <c r="B897" s="108">
        <v>118.31</v>
      </c>
      <c r="C897" s="16">
        <v>5.5E-2</v>
      </c>
      <c r="D897" s="111">
        <v>49520</v>
      </c>
      <c r="E897" s="112">
        <f t="shared" si="13"/>
        <v>22.964383561643835</v>
      </c>
      <c r="F897" s="16">
        <v>4.2630000000000001E-2</v>
      </c>
      <c r="H897" s="16"/>
    </row>
    <row r="898" spans="1:8" x14ac:dyDescent="0.2">
      <c r="A898" s="108" t="s">
        <v>317</v>
      </c>
      <c r="B898" s="108">
        <v>103.31</v>
      </c>
      <c r="C898" s="16">
        <v>5.5E-2</v>
      </c>
      <c r="D898" s="111">
        <v>49522</v>
      </c>
      <c r="E898" s="112">
        <f t="shared" si="13"/>
        <v>22.969863013698632</v>
      </c>
      <c r="F898" s="16">
        <v>5.253E-2</v>
      </c>
      <c r="H898" s="16"/>
    </row>
    <row r="899" spans="1:8" x14ac:dyDescent="0.2">
      <c r="A899" s="108" t="s">
        <v>285</v>
      </c>
      <c r="B899" s="108">
        <v>122.76</v>
      </c>
      <c r="C899" s="16">
        <v>5.8499999999999996E-2</v>
      </c>
      <c r="D899" s="111">
        <v>49567</v>
      </c>
      <c r="E899" s="112">
        <f t="shared" si="13"/>
        <v>23.093150684931508</v>
      </c>
      <c r="F899" s="16">
        <v>4.3099999999999999E-2</v>
      </c>
      <c r="H899" s="16"/>
    </row>
    <row r="900" spans="1:8" x14ac:dyDescent="0.2">
      <c r="A900" s="108" t="s">
        <v>370</v>
      </c>
      <c r="B900" s="108">
        <v>112</v>
      </c>
      <c r="C900" s="16">
        <v>5.5E-2</v>
      </c>
      <c r="D900" s="111">
        <v>49597</v>
      </c>
      <c r="E900" s="112">
        <f t="shared" ref="E900:E963" si="14">(D900-DATE(2012,8,17))/365</f>
        <v>23.175342465753424</v>
      </c>
      <c r="F900" s="16">
        <v>4.6609999999999999E-2</v>
      </c>
      <c r="H900" s="16"/>
    </row>
    <row r="901" spans="1:8" x14ac:dyDescent="0.2">
      <c r="A901" s="108" t="s">
        <v>510</v>
      </c>
      <c r="B901" s="108">
        <v>125.66</v>
      </c>
      <c r="C901" s="16">
        <v>6.4500000000000002E-2</v>
      </c>
      <c r="D901" s="111">
        <v>49597</v>
      </c>
      <c r="E901" s="112">
        <f t="shared" si="14"/>
        <v>23.175342465753424</v>
      </c>
      <c r="F901" s="16">
        <v>4.657E-2</v>
      </c>
      <c r="H901" s="16"/>
    </row>
    <row r="902" spans="1:8" x14ac:dyDescent="0.2">
      <c r="A902" s="108" t="s">
        <v>416</v>
      </c>
      <c r="B902" s="108">
        <v>127.5</v>
      </c>
      <c r="C902" s="16">
        <v>5.7500000000000002E-2</v>
      </c>
      <c r="D902" s="111">
        <v>49614</v>
      </c>
      <c r="E902" s="112">
        <f t="shared" si="14"/>
        <v>23.221917808219178</v>
      </c>
      <c r="F902" s="16">
        <v>3.9599999999999996E-2</v>
      </c>
      <c r="H902" s="16"/>
    </row>
    <row r="903" spans="1:8" x14ac:dyDescent="0.2">
      <c r="A903" s="108" t="s">
        <v>318</v>
      </c>
      <c r="B903" s="108">
        <v>122.91</v>
      </c>
      <c r="C903" s="16">
        <v>5.8499999999999996E-2</v>
      </c>
      <c r="D903" s="111">
        <v>49689</v>
      </c>
      <c r="E903" s="112">
        <f t="shared" si="14"/>
        <v>23.427397260273974</v>
      </c>
      <c r="F903" s="16">
        <v>4.3129999999999995E-2</v>
      </c>
      <c r="H903" s="16"/>
    </row>
    <row r="904" spans="1:8" x14ac:dyDescent="0.2">
      <c r="A904" s="108" t="s">
        <v>251</v>
      </c>
      <c r="B904" s="108">
        <v>135.61000000000001</v>
      </c>
      <c r="C904" s="16">
        <v>5.8499999999999996E-2</v>
      </c>
      <c r="D904" s="111">
        <v>49749</v>
      </c>
      <c r="E904" s="112">
        <f t="shared" si="14"/>
        <v>23.591780821917808</v>
      </c>
      <c r="F904" s="16">
        <v>3.6309999999999995E-2</v>
      </c>
      <c r="H904" s="16"/>
    </row>
    <row r="905" spans="1:8" x14ac:dyDescent="0.2">
      <c r="A905" s="108" t="s">
        <v>511</v>
      </c>
      <c r="B905" s="108">
        <v>127</v>
      </c>
      <c r="C905" s="16">
        <v>5.8499999999999996E-2</v>
      </c>
      <c r="D905" s="111">
        <v>49749</v>
      </c>
      <c r="E905" s="112">
        <f t="shared" si="14"/>
        <v>23.591780821917808</v>
      </c>
      <c r="F905" s="16">
        <v>4.086E-2</v>
      </c>
      <c r="H905" s="16"/>
    </row>
    <row r="906" spans="1:8" x14ac:dyDescent="0.2">
      <c r="A906" s="108" t="s">
        <v>241</v>
      </c>
      <c r="B906" s="108">
        <v>118.24</v>
      </c>
      <c r="C906" s="16">
        <v>5.7999999999999996E-2</v>
      </c>
      <c r="D906" s="111">
        <v>49749</v>
      </c>
      <c r="E906" s="112">
        <f t="shared" si="14"/>
        <v>23.591780821917808</v>
      </c>
      <c r="F906" s="16">
        <v>4.5510000000000002E-2</v>
      </c>
      <c r="H906" s="16"/>
    </row>
    <row r="907" spans="1:8" x14ac:dyDescent="0.2">
      <c r="A907" s="108" t="s">
        <v>234</v>
      </c>
      <c r="B907" s="108">
        <v>104.02</v>
      </c>
      <c r="C907" s="16">
        <v>5.9000000000000004E-2</v>
      </c>
      <c r="D907" s="111">
        <v>49751</v>
      </c>
      <c r="E907" s="112">
        <f t="shared" si="14"/>
        <v>23.597260273972601</v>
      </c>
      <c r="F907" s="16">
        <v>5.5940000000000004E-2</v>
      </c>
      <c r="H907" s="16"/>
    </row>
    <row r="908" spans="1:8" x14ac:dyDescent="0.2">
      <c r="A908" s="108" t="s">
        <v>330</v>
      </c>
      <c r="B908" s="108">
        <v>117.32</v>
      </c>
      <c r="C908" s="16">
        <v>5.9500000000000004E-2</v>
      </c>
      <c r="D908" s="111">
        <v>49766</v>
      </c>
      <c r="E908" s="112">
        <f t="shared" si="14"/>
        <v>23.638356164383563</v>
      </c>
      <c r="F908" s="16">
        <v>4.7419999999999997E-2</v>
      </c>
      <c r="H908" s="16"/>
    </row>
    <row r="909" spans="1:8" x14ac:dyDescent="0.2">
      <c r="A909" s="108" t="s">
        <v>231</v>
      </c>
      <c r="B909" s="108">
        <v>93.88</v>
      </c>
      <c r="C909" s="16">
        <v>6.4500000000000002E-2</v>
      </c>
      <c r="D909" s="111">
        <v>49796</v>
      </c>
      <c r="E909" s="112">
        <f t="shared" si="14"/>
        <v>23.720547945205478</v>
      </c>
      <c r="F909" s="16">
        <v>6.9749999999999993E-2</v>
      </c>
      <c r="H909" s="16"/>
    </row>
    <row r="910" spans="1:8" x14ac:dyDescent="0.2">
      <c r="A910" s="108" t="s">
        <v>246</v>
      </c>
      <c r="B910" s="108">
        <v>128.46</v>
      </c>
      <c r="C910" s="16">
        <v>6.8000000000000005E-2</v>
      </c>
      <c r="D910" s="111">
        <v>49810</v>
      </c>
      <c r="E910" s="112">
        <f t="shared" si="14"/>
        <v>23.758904109589039</v>
      </c>
      <c r="F910" s="16">
        <v>4.8079999999999998E-2</v>
      </c>
      <c r="H910" s="16"/>
    </row>
    <row r="911" spans="1:8" x14ac:dyDescent="0.2">
      <c r="A911" s="108" t="s">
        <v>315</v>
      </c>
      <c r="B911" s="108">
        <v>140</v>
      </c>
      <c r="C911" s="16">
        <v>7.2900000000000006E-2</v>
      </c>
      <c r="D911" s="111">
        <v>49827</v>
      </c>
      <c r="E911" s="112">
        <f t="shared" si="14"/>
        <v>23.805479452054794</v>
      </c>
      <c r="F911" s="16">
        <v>4.5620000000000001E-2</v>
      </c>
      <c r="H911" s="16"/>
    </row>
    <row r="912" spans="1:8" x14ac:dyDescent="0.2">
      <c r="A912" s="108" t="s">
        <v>264</v>
      </c>
      <c r="B912" s="108">
        <v>136.63999999999999</v>
      </c>
      <c r="C912" s="16">
        <v>6.2E-2</v>
      </c>
      <c r="D912" s="111">
        <v>49827</v>
      </c>
      <c r="E912" s="112">
        <f t="shared" si="14"/>
        <v>23.805479452054794</v>
      </c>
      <c r="F912" s="16">
        <v>3.8710000000000001E-2</v>
      </c>
      <c r="H912" s="16"/>
    </row>
    <row r="913" spans="1:8" x14ac:dyDescent="0.2">
      <c r="A913" s="108" t="s">
        <v>512</v>
      </c>
      <c r="B913" s="108">
        <v>125</v>
      </c>
      <c r="C913" s="16">
        <v>6.3500000000000001E-2</v>
      </c>
      <c r="D913" s="111">
        <v>49827</v>
      </c>
      <c r="E913" s="112">
        <f t="shared" si="14"/>
        <v>23.805479452054794</v>
      </c>
      <c r="F913" s="16">
        <v>4.6330000000000003E-2</v>
      </c>
      <c r="H913" s="16"/>
    </row>
    <row r="914" spans="1:8" x14ac:dyDescent="0.2">
      <c r="A914" s="108" t="s">
        <v>442</v>
      </c>
      <c r="B914" s="108">
        <v>130.99</v>
      </c>
      <c r="C914" s="16">
        <v>6.6250000000000003E-2</v>
      </c>
      <c r="D914" s="111">
        <v>49841</v>
      </c>
      <c r="E914" s="112">
        <f t="shared" si="14"/>
        <v>23.843835616438355</v>
      </c>
      <c r="F914" s="16">
        <v>4.521E-2</v>
      </c>
      <c r="H914" s="16"/>
    </row>
    <row r="915" spans="1:8" x14ac:dyDescent="0.2">
      <c r="A915" s="108" t="s">
        <v>474</v>
      </c>
      <c r="B915" s="108">
        <v>141.46</v>
      </c>
      <c r="C915" s="16">
        <v>6.7240000000000008E-2</v>
      </c>
      <c r="D915" s="111">
        <v>49841</v>
      </c>
      <c r="E915" s="112">
        <f t="shared" si="14"/>
        <v>23.843835616438355</v>
      </c>
      <c r="F915" s="16">
        <v>4.0439999999999997E-2</v>
      </c>
      <c r="H915" s="16"/>
    </row>
    <row r="916" spans="1:8" x14ac:dyDescent="0.2">
      <c r="A916" s="108" t="s">
        <v>513</v>
      </c>
      <c r="B916" s="108">
        <v>134</v>
      </c>
      <c r="C916" s="16">
        <v>6.7500000000000004E-2</v>
      </c>
      <c r="D916" s="111">
        <v>49846</v>
      </c>
      <c r="E916" s="112">
        <f t="shared" si="14"/>
        <v>23.857534246575341</v>
      </c>
      <c r="F916" s="16">
        <v>4.4580000000000002E-2</v>
      </c>
      <c r="H916" s="16"/>
    </row>
    <row r="917" spans="1:8" x14ac:dyDescent="0.2">
      <c r="A917" s="108" t="s">
        <v>450</v>
      </c>
      <c r="B917" s="108">
        <v>121</v>
      </c>
      <c r="C917" s="16">
        <v>6.1500000000000006E-2</v>
      </c>
      <c r="D917" s="111">
        <v>49902</v>
      </c>
      <c r="E917" s="112">
        <f t="shared" si="14"/>
        <v>24.010958904109589</v>
      </c>
      <c r="F917" s="16">
        <v>4.7030000000000002E-2</v>
      </c>
      <c r="H917" s="16"/>
    </row>
    <row r="918" spans="1:8" x14ac:dyDescent="0.2">
      <c r="A918" s="108" t="s">
        <v>295</v>
      </c>
      <c r="B918" s="108">
        <v>139</v>
      </c>
      <c r="C918" s="16">
        <v>6.7000000000000004E-2</v>
      </c>
      <c r="D918" s="111">
        <v>49963</v>
      </c>
      <c r="E918" s="112">
        <f t="shared" si="14"/>
        <v>24.17808219178082</v>
      </c>
      <c r="F918" s="16">
        <v>4.1660000000000003E-2</v>
      </c>
      <c r="H918" s="16"/>
    </row>
    <row r="919" spans="1:8" x14ac:dyDescent="0.2">
      <c r="A919" s="108" t="s">
        <v>370</v>
      </c>
      <c r="B919" s="108">
        <v>114.38</v>
      </c>
      <c r="C919" s="16">
        <v>5.7999999999999996E-2</v>
      </c>
      <c r="D919" s="111">
        <v>49963</v>
      </c>
      <c r="E919" s="112">
        <f t="shared" si="14"/>
        <v>24.17808219178082</v>
      </c>
      <c r="F919" s="16">
        <v>4.8029999999999996E-2</v>
      </c>
      <c r="H919" s="16"/>
    </row>
    <row r="920" spans="1:8" x14ac:dyDescent="0.2">
      <c r="A920" s="108" t="s">
        <v>514</v>
      </c>
      <c r="B920" s="108">
        <v>124.5</v>
      </c>
      <c r="C920" s="16">
        <v>5.7999999999999996E-2</v>
      </c>
      <c r="D920" s="111">
        <v>49963</v>
      </c>
      <c r="E920" s="112">
        <f t="shared" si="14"/>
        <v>24.17808219178082</v>
      </c>
      <c r="F920" s="16">
        <v>4.2020000000000002E-2</v>
      </c>
      <c r="H920" s="16"/>
    </row>
    <row r="921" spans="1:8" x14ac:dyDescent="0.2">
      <c r="A921" s="108" t="s">
        <v>294</v>
      </c>
      <c r="B921" s="108">
        <v>133.41999999999999</v>
      </c>
      <c r="C921" s="16">
        <v>5.8749999999999997E-2</v>
      </c>
      <c r="D921" s="111">
        <v>49994</v>
      </c>
      <c r="E921" s="112">
        <f t="shared" si="14"/>
        <v>24.263013698630136</v>
      </c>
      <c r="F921" s="16">
        <v>3.7919999999999995E-2</v>
      </c>
      <c r="H921" s="16"/>
    </row>
    <row r="922" spans="1:8" x14ac:dyDescent="0.2">
      <c r="A922" s="108" t="s">
        <v>319</v>
      </c>
      <c r="B922" s="108">
        <v>125.43</v>
      </c>
      <c r="C922" s="16">
        <v>6.2E-2</v>
      </c>
      <c r="D922" s="111">
        <v>49996</v>
      </c>
      <c r="E922" s="112">
        <f t="shared" si="14"/>
        <v>24.268493150684932</v>
      </c>
      <c r="F922" s="16">
        <v>4.4950000000000004E-2</v>
      </c>
      <c r="H922" s="16"/>
    </row>
    <row r="923" spans="1:8" x14ac:dyDescent="0.2">
      <c r="A923" s="108" t="s">
        <v>373</v>
      </c>
      <c r="B923" s="108">
        <v>119.27</v>
      </c>
      <c r="C923" s="16">
        <v>6.8750000000000006E-2</v>
      </c>
      <c r="D923" s="111">
        <v>50000</v>
      </c>
      <c r="E923" s="112">
        <f t="shared" si="14"/>
        <v>24.279452054794522</v>
      </c>
      <c r="F923" s="16">
        <v>5.4530000000000002E-2</v>
      </c>
      <c r="H923" s="16"/>
    </row>
    <row r="924" spans="1:8" x14ac:dyDescent="0.2">
      <c r="A924" s="108" t="s">
        <v>501</v>
      </c>
      <c r="B924" s="108">
        <v>130.25</v>
      </c>
      <c r="C924" s="16">
        <v>5.7000000000000002E-2</v>
      </c>
      <c r="D924" s="111">
        <v>50010</v>
      </c>
      <c r="E924" s="112">
        <f t="shared" si="14"/>
        <v>24.306849315068494</v>
      </c>
      <c r="F924" s="16">
        <v>3.8120000000000001E-2</v>
      </c>
      <c r="H924" s="16"/>
    </row>
    <row r="925" spans="1:8" x14ac:dyDescent="0.2">
      <c r="A925" s="108" t="s">
        <v>234</v>
      </c>
      <c r="B925" s="108">
        <v>100.52</v>
      </c>
      <c r="C925" s="16">
        <v>5.7000000000000002E-2</v>
      </c>
      <c r="D925" s="111">
        <v>50023</v>
      </c>
      <c r="E925" s="112">
        <f t="shared" si="14"/>
        <v>24.342465753424658</v>
      </c>
      <c r="F925" s="16">
        <v>5.6609999999999994E-2</v>
      </c>
      <c r="H925" s="16"/>
    </row>
    <row r="926" spans="1:8" x14ac:dyDescent="0.2">
      <c r="A926" s="108" t="s">
        <v>408</v>
      </c>
      <c r="B926" s="108">
        <v>107.5</v>
      </c>
      <c r="C926" s="16">
        <v>5.2499999999999998E-2</v>
      </c>
      <c r="D926" s="111">
        <v>50055</v>
      </c>
      <c r="E926" s="112">
        <f t="shared" si="14"/>
        <v>24.43013698630137</v>
      </c>
      <c r="F926" s="16">
        <v>4.7359999999999999E-2</v>
      </c>
      <c r="H926" s="16"/>
    </row>
    <row r="927" spans="1:8" x14ac:dyDescent="0.2">
      <c r="A927" s="108" t="s">
        <v>384</v>
      </c>
      <c r="B927" s="108">
        <v>88.39</v>
      </c>
      <c r="C927" s="16">
        <v>6.1100000000000002E-2</v>
      </c>
      <c r="D927" s="111">
        <v>50069</v>
      </c>
      <c r="E927" s="112">
        <f t="shared" si="14"/>
        <v>24.468493150684932</v>
      </c>
      <c r="F927" s="16">
        <v>7.1059999999999998E-2</v>
      </c>
      <c r="H927" s="16"/>
    </row>
    <row r="928" spans="1:8" x14ac:dyDescent="0.2">
      <c r="A928" s="108" t="s">
        <v>327</v>
      </c>
      <c r="B928" s="108">
        <v>105</v>
      </c>
      <c r="C928" s="16">
        <v>5.7500000000000002E-2</v>
      </c>
      <c r="D928" s="111">
        <v>50086</v>
      </c>
      <c r="E928" s="112">
        <f t="shared" si="14"/>
        <v>24.515068493150686</v>
      </c>
      <c r="F928" s="16">
        <v>5.3869999999999994E-2</v>
      </c>
      <c r="H928" s="16"/>
    </row>
    <row r="929" spans="1:8" x14ac:dyDescent="0.2">
      <c r="A929" s="108" t="s">
        <v>312</v>
      </c>
      <c r="B929" s="108">
        <v>133</v>
      </c>
      <c r="C929" s="16">
        <v>6.1500000000000006E-2</v>
      </c>
      <c r="D929" s="111">
        <v>50098</v>
      </c>
      <c r="E929" s="112">
        <f t="shared" si="14"/>
        <v>24.547945205479451</v>
      </c>
      <c r="F929" s="16">
        <v>4.0500000000000001E-2</v>
      </c>
      <c r="H929" s="16"/>
    </row>
    <row r="930" spans="1:8" x14ac:dyDescent="0.2">
      <c r="A930" s="108" t="s">
        <v>308</v>
      </c>
      <c r="B930" s="108">
        <v>121</v>
      </c>
      <c r="C930" s="16">
        <v>5.7999999999999996E-2</v>
      </c>
      <c r="D930" s="111">
        <v>50100</v>
      </c>
      <c r="E930" s="112">
        <f t="shared" si="14"/>
        <v>24.553424657534247</v>
      </c>
      <c r="F930" s="16">
        <v>4.4119999999999999E-2</v>
      </c>
      <c r="H930" s="16"/>
    </row>
    <row r="931" spans="1:8" x14ac:dyDescent="0.2">
      <c r="A931" s="108" t="s">
        <v>515</v>
      </c>
      <c r="B931" s="108">
        <v>108</v>
      </c>
      <c r="C931" s="16">
        <v>6.9749999999999993E-2</v>
      </c>
      <c r="D931" s="111">
        <v>50106</v>
      </c>
      <c r="E931" s="112">
        <f t="shared" si="14"/>
        <v>24.56986301369863</v>
      </c>
      <c r="F931" s="16">
        <v>6.3350000000000004E-2</v>
      </c>
      <c r="H931" s="16"/>
    </row>
    <row r="932" spans="1:8" x14ac:dyDescent="0.2">
      <c r="A932" s="108" t="s">
        <v>474</v>
      </c>
      <c r="B932" s="108">
        <v>132.38</v>
      </c>
      <c r="C932" s="16">
        <v>6.2740000000000004E-2</v>
      </c>
      <c r="D932" s="111">
        <v>50114</v>
      </c>
      <c r="E932" s="112">
        <f t="shared" si="14"/>
        <v>24.591780821917808</v>
      </c>
      <c r="F932" s="16">
        <v>4.1860000000000001E-2</v>
      </c>
      <c r="H932" s="16"/>
    </row>
    <row r="933" spans="1:8" x14ac:dyDescent="0.2">
      <c r="A933" s="108" t="s">
        <v>516</v>
      </c>
      <c r="B933" s="108">
        <v>117.86</v>
      </c>
      <c r="C933" s="16">
        <v>5.8040000000000001E-2</v>
      </c>
      <c r="D933" s="111">
        <v>50122</v>
      </c>
      <c r="E933" s="112">
        <f t="shared" si="14"/>
        <v>24.613698630136987</v>
      </c>
      <c r="F933" s="16">
        <v>4.6020000000000005E-2</v>
      </c>
      <c r="H933" s="16"/>
    </row>
    <row r="934" spans="1:8" x14ac:dyDescent="0.2">
      <c r="A934" s="108" t="s">
        <v>257</v>
      </c>
      <c r="B934" s="108">
        <v>127.71</v>
      </c>
      <c r="C934" s="16">
        <v>6.25E-2</v>
      </c>
      <c r="D934" s="111">
        <v>50131</v>
      </c>
      <c r="E934" s="112">
        <f t="shared" si="14"/>
        <v>24.638356164383563</v>
      </c>
      <c r="F934" s="16">
        <v>4.4199999999999996E-2</v>
      </c>
      <c r="H934" s="16"/>
    </row>
    <row r="935" spans="1:8" x14ac:dyDescent="0.2">
      <c r="A935" s="108" t="s">
        <v>517</v>
      </c>
      <c r="B935" s="108">
        <v>123.62</v>
      </c>
      <c r="C935" s="16">
        <v>0.06</v>
      </c>
      <c r="D935" s="111">
        <v>50171</v>
      </c>
      <c r="E935" s="112">
        <f t="shared" si="14"/>
        <v>24.747945205479454</v>
      </c>
      <c r="F935" s="16">
        <v>4.4409999999999998E-2</v>
      </c>
      <c r="H935" s="16"/>
    </row>
    <row r="936" spans="1:8" x14ac:dyDescent="0.2">
      <c r="A936" s="108" t="s">
        <v>229</v>
      </c>
      <c r="B936" s="108">
        <v>103.06</v>
      </c>
      <c r="C936" s="16">
        <v>5.8749999999999997E-2</v>
      </c>
      <c r="D936" s="111">
        <v>50189</v>
      </c>
      <c r="E936" s="112">
        <f t="shared" si="14"/>
        <v>24.797260273972604</v>
      </c>
      <c r="F936" s="16">
        <v>5.6469999999999999E-2</v>
      </c>
      <c r="H936" s="16"/>
    </row>
    <row r="937" spans="1:8" x14ac:dyDescent="0.2">
      <c r="A937" s="108" t="s">
        <v>414</v>
      </c>
      <c r="B937" s="108">
        <v>130.81</v>
      </c>
      <c r="C937" s="16">
        <v>6.25E-2</v>
      </c>
      <c r="D937" s="111">
        <v>50206</v>
      </c>
      <c r="E937" s="112">
        <f t="shared" si="14"/>
        <v>24.843835616438355</v>
      </c>
      <c r="F937" s="16">
        <v>4.2590000000000003E-2</v>
      </c>
      <c r="H937" s="16"/>
    </row>
    <row r="938" spans="1:8" x14ac:dyDescent="0.2">
      <c r="A938" s="108" t="s">
        <v>518</v>
      </c>
      <c r="B938" s="108">
        <v>130.52000000000001</v>
      </c>
      <c r="C938" s="16">
        <v>6.5299999999999997E-2</v>
      </c>
      <c r="D938" s="111">
        <v>50236</v>
      </c>
      <c r="E938" s="112">
        <f t="shared" si="14"/>
        <v>24.926027397260274</v>
      </c>
      <c r="F938" s="16">
        <v>4.5090000000000005E-2</v>
      </c>
      <c r="H938" s="16"/>
    </row>
    <row r="939" spans="1:8" x14ac:dyDescent="0.2">
      <c r="A939" s="108" t="s">
        <v>519</v>
      </c>
      <c r="B939" s="108">
        <v>142</v>
      </c>
      <c r="C939" s="16">
        <v>6.4500000000000002E-2</v>
      </c>
      <c r="D939" s="111">
        <v>50267</v>
      </c>
      <c r="E939" s="112">
        <f t="shared" si="14"/>
        <v>25.010958904109589</v>
      </c>
      <c r="F939" s="16">
        <v>3.8589999999999999E-2</v>
      </c>
      <c r="H939" s="16"/>
    </row>
    <row r="940" spans="1:8" x14ac:dyDescent="0.2">
      <c r="A940" s="108" t="s">
        <v>520</v>
      </c>
      <c r="B940" s="108">
        <v>137</v>
      </c>
      <c r="C940" s="16">
        <v>6.3750000000000001E-2</v>
      </c>
      <c r="D940" s="111">
        <v>50267</v>
      </c>
      <c r="E940" s="112">
        <f t="shared" si="14"/>
        <v>25.010958904109589</v>
      </c>
      <c r="F940" s="16">
        <v>4.0460000000000003E-2</v>
      </c>
      <c r="H940" s="16"/>
    </row>
    <row r="941" spans="1:8" x14ac:dyDescent="0.2">
      <c r="A941" s="108" t="s">
        <v>246</v>
      </c>
      <c r="B941" s="108">
        <v>125.57</v>
      </c>
      <c r="C941" s="16">
        <v>6.5000000000000002E-2</v>
      </c>
      <c r="D941" s="111">
        <v>50284</v>
      </c>
      <c r="E941" s="112">
        <f t="shared" si="14"/>
        <v>25.057534246575344</v>
      </c>
      <c r="F941" s="16">
        <v>4.7649999999999998E-2</v>
      </c>
      <c r="H941" s="16"/>
    </row>
    <row r="942" spans="1:8" x14ac:dyDescent="0.2">
      <c r="A942" s="108" t="s">
        <v>247</v>
      </c>
      <c r="B942" s="108">
        <v>135.38</v>
      </c>
      <c r="C942" s="16">
        <v>6.4500000000000002E-2</v>
      </c>
      <c r="D942" s="111">
        <v>50284</v>
      </c>
      <c r="E942" s="112">
        <f t="shared" si="14"/>
        <v>25.057534246575344</v>
      </c>
      <c r="F942" s="16">
        <v>4.1900000000000007E-2</v>
      </c>
      <c r="H942" s="16"/>
    </row>
    <row r="943" spans="1:8" x14ac:dyDescent="0.2">
      <c r="A943" s="108" t="s">
        <v>370</v>
      </c>
      <c r="B943" s="108">
        <v>129.44999999999999</v>
      </c>
      <c r="C943" s="16">
        <v>6.6500000000000004E-2</v>
      </c>
      <c r="D943" s="111">
        <v>50298</v>
      </c>
      <c r="E943" s="112">
        <f t="shared" si="14"/>
        <v>25.095890410958905</v>
      </c>
      <c r="F943" s="16">
        <v>4.6730000000000001E-2</v>
      </c>
      <c r="H943" s="16"/>
    </row>
    <row r="944" spans="1:8" x14ac:dyDescent="0.2">
      <c r="A944" s="108" t="s">
        <v>231</v>
      </c>
      <c r="B944" s="108">
        <v>96.57</v>
      </c>
      <c r="C944" s="16">
        <v>6.7500000000000004E-2</v>
      </c>
      <c r="D944" s="111">
        <v>50314</v>
      </c>
      <c r="E944" s="112">
        <f t="shared" si="14"/>
        <v>25.139726027397259</v>
      </c>
      <c r="F944" s="16">
        <v>7.0389999999999994E-2</v>
      </c>
      <c r="H944" s="16"/>
    </row>
    <row r="945" spans="1:8" x14ac:dyDescent="0.2">
      <c r="A945" s="108" t="s">
        <v>425</v>
      </c>
      <c r="B945" s="108">
        <v>139.12</v>
      </c>
      <c r="C945" s="16">
        <v>6.25E-2</v>
      </c>
      <c r="D945" s="111">
        <v>50328</v>
      </c>
      <c r="E945" s="112">
        <f t="shared" si="14"/>
        <v>25.17808219178082</v>
      </c>
      <c r="F945" s="16">
        <v>3.8490000000000003E-2</v>
      </c>
      <c r="H945" s="16"/>
    </row>
    <row r="946" spans="1:8" x14ac:dyDescent="0.2">
      <c r="A946" s="108" t="s">
        <v>411</v>
      </c>
      <c r="B946" s="108">
        <v>136.6</v>
      </c>
      <c r="C946" s="16">
        <v>6.4000000000000001E-2</v>
      </c>
      <c r="D946" s="111">
        <v>50375</v>
      </c>
      <c r="E946" s="112">
        <f t="shared" si="14"/>
        <v>25.306849315068494</v>
      </c>
      <c r="F946" s="16">
        <v>4.0979999999999996E-2</v>
      </c>
      <c r="H946" s="16"/>
    </row>
    <row r="947" spans="1:8" x14ac:dyDescent="0.2">
      <c r="A947" s="108" t="s">
        <v>442</v>
      </c>
      <c r="B947" s="108">
        <v>129.03</v>
      </c>
      <c r="C947" s="16">
        <v>6.7500000000000004E-2</v>
      </c>
      <c r="D947" s="111">
        <v>50389</v>
      </c>
      <c r="E947" s="112">
        <f t="shared" si="14"/>
        <v>25.345205479452055</v>
      </c>
      <c r="F947" s="16">
        <v>4.7880000000000006E-2</v>
      </c>
      <c r="H947" s="16"/>
    </row>
    <row r="948" spans="1:8" x14ac:dyDescent="0.2">
      <c r="A948" s="108" t="s">
        <v>246</v>
      </c>
      <c r="B948" s="108">
        <v>122.72</v>
      </c>
      <c r="C948" s="16">
        <v>6.3E-2</v>
      </c>
      <c r="D948" s="111">
        <v>50420</v>
      </c>
      <c r="E948" s="112">
        <f t="shared" si="14"/>
        <v>25.43013698630137</v>
      </c>
      <c r="F948" s="16">
        <v>4.7690000000000003E-2</v>
      </c>
      <c r="H948" s="16"/>
    </row>
    <row r="949" spans="1:8" x14ac:dyDescent="0.2">
      <c r="A949" s="108" t="s">
        <v>258</v>
      </c>
      <c r="B949" s="108">
        <v>136.58000000000001</v>
      </c>
      <c r="C949" s="16">
        <v>6.4500000000000002E-2</v>
      </c>
      <c r="D949" s="111">
        <v>50420</v>
      </c>
      <c r="E949" s="112">
        <f t="shared" si="14"/>
        <v>25.43013698630137</v>
      </c>
      <c r="F949" s="16">
        <v>4.1440000000000005E-2</v>
      </c>
      <c r="H949" s="16"/>
    </row>
    <row r="950" spans="1:8" x14ac:dyDescent="0.2">
      <c r="A950" s="108" t="s">
        <v>333</v>
      </c>
      <c r="B950" s="108">
        <v>137.51</v>
      </c>
      <c r="C950" s="16">
        <v>7.0000000000000007E-2</v>
      </c>
      <c r="D950" s="111">
        <v>50420</v>
      </c>
      <c r="E950" s="112">
        <f t="shared" si="14"/>
        <v>25.43013698630137</v>
      </c>
      <c r="F950" s="16">
        <v>4.5339999999999998E-2</v>
      </c>
      <c r="H950" s="16"/>
    </row>
    <row r="951" spans="1:8" x14ac:dyDescent="0.2">
      <c r="A951" s="108" t="s">
        <v>427</v>
      </c>
      <c r="B951" s="108">
        <v>90.99</v>
      </c>
      <c r="C951" s="16">
        <v>6.0499999999999998E-2</v>
      </c>
      <c r="D951" s="111">
        <v>50451</v>
      </c>
      <c r="E951" s="112">
        <f t="shared" si="14"/>
        <v>25.515068493150686</v>
      </c>
      <c r="F951" s="16">
        <v>6.785999999999999E-2</v>
      </c>
      <c r="H951" s="16"/>
    </row>
    <row r="952" spans="1:8" x14ac:dyDescent="0.2">
      <c r="A952" s="108" t="s">
        <v>327</v>
      </c>
      <c r="B952" s="108">
        <v>100.85</v>
      </c>
      <c r="C952" s="16">
        <v>5.7500000000000002E-2</v>
      </c>
      <c r="D952" s="111">
        <v>50451</v>
      </c>
      <c r="E952" s="112">
        <f t="shared" si="14"/>
        <v>25.515068493150686</v>
      </c>
      <c r="F952" s="16">
        <v>5.688E-2</v>
      </c>
      <c r="H952" s="16"/>
    </row>
    <row r="953" spans="1:8" x14ac:dyDescent="0.2">
      <c r="A953" s="108" t="s">
        <v>257</v>
      </c>
      <c r="B953" s="108">
        <v>126.21</v>
      </c>
      <c r="C953" s="16">
        <v>6.4000000000000001E-2</v>
      </c>
      <c r="D953" s="111">
        <v>50451</v>
      </c>
      <c r="E953" s="112">
        <f t="shared" si="14"/>
        <v>25.515068493150686</v>
      </c>
      <c r="F953" s="16">
        <v>4.657E-2</v>
      </c>
      <c r="H953" s="16"/>
    </row>
    <row r="954" spans="1:8" x14ac:dyDescent="0.2">
      <c r="A954" s="108" t="s">
        <v>229</v>
      </c>
      <c r="B954" s="108">
        <v>112.72</v>
      </c>
      <c r="C954" s="16">
        <v>6.8750000000000006E-2</v>
      </c>
      <c r="D954" s="111">
        <v>50469</v>
      </c>
      <c r="E954" s="112">
        <f t="shared" si="14"/>
        <v>25.564383561643837</v>
      </c>
      <c r="F954" s="16">
        <v>5.9139999999999998E-2</v>
      </c>
      <c r="H954" s="16"/>
    </row>
    <row r="955" spans="1:8" x14ac:dyDescent="0.2">
      <c r="A955" s="108" t="s">
        <v>262</v>
      </c>
      <c r="B955" s="108">
        <v>134.75</v>
      </c>
      <c r="C955" s="16">
        <v>6.8750000000000006E-2</v>
      </c>
      <c r="D955" s="111">
        <v>50475</v>
      </c>
      <c r="E955" s="112">
        <f t="shared" si="14"/>
        <v>25.580821917808219</v>
      </c>
      <c r="F955" s="16">
        <v>4.5860000000000005E-2</v>
      </c>
      <c r="H955" s="16"/>
    </row>
    <row r="956" spans="1:8" x14ac:dyDescent="0.2">
      <c r="A956" s="108" t="s">
        <v>521</v>
      </c>
      <c r="B956" s="108">
        <v>139.27000000000001</v>
      </c>
      <c r="C956" s="16">
        <v>6.0499999999999998E-2</v>
      </c>
      <c r="D956" s="111">
        <v>50510</v>
      </c>
      <c r="E956" s="112">
        <f t="shared" si="14"/>
        <v>25.676712328767124</v>
      </c>
      <c r="F956" s="16">
        <v>3.7040000000000003E-2</v>
      </c>
      <c r="H956" s="16"/>
    </row>
    <row r="957" spans="1:8" x14ac:dyDescent="0.2">
      <c r="A957" s="108" t="s">
        <v>338</v>
      </c>
      <c r="B957" s="108">
        <v>141.91</v>
      </c>
      <c r="C957" s="16">
        <v>6.5000000000000002E-2</v>
      </c>
      <c r="D957" s="111">
        <v>50510</v>
      </c>
      <c r="E957" s="112">
        <f t="shared" si="14"/>
        <v>25.676712328767124</v>
      </c>
      <c r="F957" s="16">
        <v>3.9320000000000001E-2</v>
      </c>
      <c r="H957" s="16"/>
    </row>
    <row r="958" spans="1:8" x14ac:dyDescent="0.2">
      <c r="A958" s="108" t="s">
        <v>257</v>
      </c>
      <c r="B958" s="108">
        <v>134.36000000000001</v>
      </c>
      <c r="C958" s="16">
        <v>6.9000000000000006E-2</v>
      </c>
      <c r="D958" s="111">
        <v>50510</v>
      </c>
      <c r="E958" s="112">
        <f t="shared" si="14"/>
        <v>25.676712328767124</v>
      </c>
      <c r="F958" s="16">
        <v>4.6300000000000001E-2</v>
      </c>
      <c r="H958" s="16"/>
    </row>
    <row r="959" spans="1:8" x14ac:dyDescent="0.2">
      <c r="A959" s="108" t="s">
        <v>384</v>
      </c>
      <c r="B959" s="108">
        <v>102.51</v>
      </c>
      <c r="C959" s="16">
        <v>7.7499999999999999E-2</v>
      </c>
      <c r="D959" s="111">
        <v>50539</v>
      </c>
      <c r="E959" s="112">
        <f t="shared" si="14"/>
        <v>25.756164383561643</v>
      </c>
      <c r="F959" s="16">
        <v>7.5289999999999996E-2</v>
      </c>
      <c r="H959" s="16"/>
    </row>
    <row r="960" spans="1:8" x14ac:dyDescent="0.2">
      <c r="A960" s="108" t="s">
        <v>246</v>
      </c>
      <c r="B960" s="108">
        <v>124.29</v>
      </c>
      <c r="C960" s="16">
        <v>6.4000000000000001E-2</v>
      </c>
      <c r="D960" s="111">
        <v>50540</v>
      </c>
      <c r="E960" s="112">
        <f t="shared" si="14"/>
        <v>25.758904109589039</v>
      </c>
      <c r="F960" s="16">
        <v>4.7729999999999995E-2</v>
      </c>
      <c r="H960" s="16"/>
    </row>
    <row r="961" spans="1:8" x14ac:dyDescent="0.2">
      <c r="A961" s="108" t="s">
        <v>330</v>
      </c>
      <c r="B961" s="108">
        <v>124.48</v>
      </c>
      <c r="C961" s="16">
        <v>6.9000000000000006E-2</v>
      </c>
      <c r="D961" s="111">
        <v>50540</v>
      </c>
      <c r="E961" s="112">
        <f t="shared" si="14"/>
        <v>25.758904109589039</v>
      </c>
      <c r="F961" s="16">
        <v>5.1879999999999996E-2</v>
      </c>
      <c r="H961" s="16"/>
    </row>
    <row r="962" spans="1:8" x14ac:dyDescent="0.2">
      <c r="A962" s="108" t="s">
        <v>517</v>
      </c>
      <c r="B962" s="108">
        <v>132.04</v>
      </c>
      <c r="C962" s="16">
        <v>6.5000000000000002E-2</v>
      </c>
      <c r="D962" s="111">
        <v>50540</v>
      </c>
      <c r="E962" s="112">
        <f t="shared" si="14"/>
        <v>25.758904109589039</v>
      </c>
      <c r="F962" s="16">
        <v>4.4310000000000002E-2</v>
      </c>
      <c r="H962" s="16"/>
    </row>
    <row r="963" spans="1:8" x14ac:dyDescent="0.2">
      <c r="A963" s="108" t="s">
        <v>281</v>
      </c>
      <c r="B963" s="108">
        <v>136.65</v>
      </c>
      <c r="C963" s="16">
        <v>6.3750000000000001E-2</v>
      </c>
      <c r="D963" s="111">
        <v>50540</v>
      </c>
      <c r="E963" s="112">
        <f t="shared" si="14"/>
        <v>25.758904109589039</v>
      </c>
      <c r="F963" s="16">
        <v>4.0940000000000004E-2</v>
      </c>
      <c r="H963" s="16"/>
    </row>
    <row r="964" spans="1:8" x14ac:dyDescent="0.2">
      <c r="A964" s="108" t="s">
        <v>261</v>
      </c>
      <c r="B964" s="108">
        <v>144.75</v>
      </c>
      <c r="C964" s="16">
        <v>6.5000000000000002E-2</v>
      </c>
      <c r="D964" s="111">
        <v>50618</v>
      </c>
      <c r="E964" s="112">
        <f t="shared" ref="E964:E1007" si="15">(D964-DATE(2012,8,17))/365</f>
        <v>25.972602739726028</v>
      </c>
      <c r="F964" s="16">
        <v>3.8120000000000001E-2</v>
      </c>
      <c r="H964" s="16"/>
    </row>
    <row r="965" spans="1:8" x14ac:dyDescent="0.2">
      <c r="A965" s="108" t="s">
        <v>522</v>
      </c>
      <c r="B965" s="108">
        <v>137.91</v>
      </c>
      <c r="C965" s="16">
        <v>6.3500000000000001E-2</v>
      </c>
      <c r="D965" s="111">
        <v>50632</v>
      </c>
      <c r="E965" s="112">
        <f t="shared" si="15"/>
        <v>26.010958904109589</v>
      </c>
      <c r="F965" s="16">
        <v>4.0209999999999996E-2</v>
      </c>
      <c r="H965" s="16"/>
    </row>
    <row r="966" spans="1:8" x14ac:dyDescent="0.2">
      <c r="A966" s="108" t="s">
        <v>449</v>
      </c>
      <c r="B966" s="108">
        <v>137.03</v>
      </c>
      <c r="C966" s="16">
        <v>7.4999999999999997E-2</v>
      </c>
      <c r="D966" s="111">
        <v>50663</v>
      </c>
      <c r="E966" s="112">
        <f t="shared" si="15"/>
        <v>26.095890410958905</v>
      </c>
      <c r="F966" s="16">
        <v>4.981E-2</v>
      </c>
      <c r="H966" s="16"/>
    </row>
    <row r="967" spans="1:8" x14ac:dyDescent="0.2">
      <c r="A967" s="108" t="s">
        <v>235</v>
      </c>
      <c r="B967" s="108">
        <v>139.04</v>
      </c>
      <c r="C967" s="16">
        <v>6.5000000000000002E-2</v>
      </c>
      <c r="D967" s="111">
        <v>50802</v>
      </c>
      <c r="E967" s="112">
        <f t="shared" si="15"/>
        <v>26.476712328767125</v>
      </c>
      <c r="F967" s="16">
        <v>4.1029999999999997E-2</v>
      </c>
      <c r="H967" s="16"/>
    </row>
    <row r="968" spans="1:8" x14ac:dyDescent="0.2">
      <c r="A968" s="108" t="s">
        <v>257</v>
      </c>
      <c r="B968" s="108">
        <v>164.6</v>
      </c>
      <c r="C968" s="16">
        <v>8.9499999999999996E-2</v>
      </c>
      <c r="D968" s="111">
        <v>50830</v>
      </c>
      <c r="E968" s="112">
        <f t="shared" si="15"/>
        <v>26.553424657534247</v>
      </c>
      <c r="F968" s="16">
        <v>4.7140000000000001E-2</v>
      </c>
      <c r="H968" s="16"/>
    </row>
    <row r="969" spans="1:8" x14ac:dyDescent="0.2">
      <c r="A969" s="108" t="s">
        <v>322</v>
      </c>
      <c r="B969" s="108">
        <v>147.19</v>
      </c>
      <c r="C969" s="16">
        <v>6.8750000000000006E-2</v>
      </c>
      <c r="D969" s="111">
        <v>50844</v>
      </c>
      <c r="E969" s="112">
        <f t="shared" si="15"/>
        <v>26.591780821917808</v>
      </c>
      <c r="F969" s="16">
        <v>4.0129999999999999E-2</v>
      </c>
      <c r="H969" s="16"/>
    </row>
    <row r="970" spans="1:8" x14ac:dyDescent="0.2">
      <c r="A970" s="108" t="s">
        <v>257</v>
      </c>
      <c r="B970" s="108">
        <v>142.63999999999999</v>
      </c>
      <c r="C970" s="16">
        <v>7.3499999999999996E-2</v>
      </c>
      <c r="D970" s="111">
        <v>50861</v>
      </c>
      <c r="E970" s="112">
        <f t="shared" si="15"/>
        <v>26.638356164383563</v>
      </c>
      <c r="F970" s="16">
        <v>4.5940000000000002E-2</v>
      </c>
      <c r="H970" s="16"/>
    </row>
    <row r="971" spans="1:8" x14ac:dyDescent="0.2">
      <c r="A971" s="108" t="s">
        <v>338</v>
      </c>
      <c r="B971" s="108">
        <v>134.35</v>
      </c>
      <c r="C971" s="16">
        <v>6.1249999999999999E-2</v>
      </c>
      <c r="D971" s="111">
        <v>50959</v>
      </c>
      <c r="E971" s="112">
        <f t="shared" si="15"/>
        <v>26.906849315068492</v>
      </c>
      <c r="F971" s="16">
        <v>4.0469999999999999E-2</v>
      </c>
      <c r="H971" s="16"/>
    </row>
    <row r="972" spans="1:8" x14ac:dyDescent="0.2">
      <c r="A972" s="108" t="s">
        <v>229</v>
      </c>
      <c r="B972" s="108">
        <v>124.46</v>
      </c>
      <c r="C972" s="16">
        <v>8.1250000000000003E-2</v>
      </c>
      <c r="D972" s="111">
        <v>50966</v>
      </c>
      <c r="E972" s="112">
        <f t="shared" si="15"/>
        <v>26.926027397260274</v>
      </c>
      <c r="F972" s="16">
        <v>6.2530000000000002E-2</v>
      </c>
      <c r="H972" s="16"/>
    </row>
    <row r="973" spans="1:8" x14ac:dyDescent="0.2">
      <c r="A973" s="108" t="s">
        <v>474</v>
      </c>
      <c r="B973" s="108">
        <v>127</v>
      </c>
      <c r="C973" s="16">
        <v>5.7569999999999996E-2</v>
      </c>
      <c r="D973" s="111">
        <v>51044</v>
      </c>
      <c r="E973" s="112">
        <f t="shared" si="15"/>
        <v>27.139726027397259</v>
      </c>
      <c r="F973" s="16">
        <v>4.1180000000000001E-2</v>
      </c>
      <c r="H973" s="16"/>
    </row>
    <row r="974" spans="1:8" x14ac:dyDescent="0.2">
      <c r="A974" s="108" t="s">
        <v>523</v>
      </c>
      <c r="B974" s="108">
        <v>105.75</v>
      </c>
      <c r="C974" s="16">
        <v>7.0000000000000007E-2</v>
      </c>
      <c r="D974" s="111">
        <v>51075</v>
      </c>
      <c r="E974" s="112">
        <f t="shared" si="15"/>
        <v>27.224657534246575</v>
      </c>
      <c r="F974" s="16">
        <v>6.5479999999999997E-2</v>
      </c>
      <c r="H974" s="16"/>
    </row>
    <row r="975" spans="1:8" x14ac:dyDescent="0.2">
      <c r="A975" s="108" t="s">
        <v>373</v>
      </c>
      <c r="B975" s="108">
        <v>121.59</v>
      </c>
      <c r="C975" s="16">
        <v>6.8750000000000006E-2</v>
      </c>
      <c r="D975" s="111">
        <v>51084</v>
      </c>
      <c r="E975" s="112">
        <f t="shared" si="15"/>
        <v>27.24931506849315</v>
      </c>
      <c r="F975" s="16">
        <v>5.373E-2</v>
      </c>
      <c r="H975" s="16"/>
    </row>
    <row r="976" spans="1:8" x14ac:dyDescent="0.2">
      <c r="A976" s="108" t="s">
        <v>432</v>
      </c>
      <c r="B976" s="108">
        <v>119.38</v>
      </c>
      <c r="C976" s="16">
        <v>6.9000000000000006E-2</v>
      </c>
      <c r="D976" s="111">
        <v>51121</v>
      </c>
      <c r="E976" s="112">
        <f t="shared" si="15"/>
        <v>27.350684931506848</v>
      </c>
      <c r="F976" s="16">
        <v>5.5309999999999998E-2</v>
      </c>
      <c r="H976" s="16"/>
    </row>
    <row r="977" spans="1:8" x14ac:dyDescent="0.2">
      <c r="A977" s="108" t="s">
        <v>348</v>
      </c>
      <c r="B977" s="108">
        <v>125.1</v>
      </c>
      <c r="C977" s="16">
        <v>5.5E-2</v>
      </c>
      <c r="D977" s="111">
        <v>51150</v>
      </c>
      <c r="E977" s="112">
        <f t="shared" si="15"/>
        <v>27.43013698630137</v>
      </c>
      <c r="F977" s="16">
        <v>4.0039999999999992E-2</v>
      </c>
      <c r="H977" s="16"/>
    </row>
    <row r="978" spans="1:8" x14ac:dyDescent="0.2">
      <c r="A978" s="108" t="s">
        <v>237</v>
      </c>
      <c r="B978" s="108">
        <v>130.91</v>
      </c>
      <c r="C978" s="16">
        <v>5.5E-2</v>
      </c>
      <c r="D978" s="111">
        <v>51210</v>
      </c>
      <c r="E978" s="112">
        <f t="shared" si="15"/>
        <v>27.594520547945205</v>
      </c>
      <c r="F978" s="16">
        <v>3.7229999999999999E-2</v>
      </c>
      <c r="H978" s="16"/>
    </row>
    <row r="979" spans="1:8" x14ac:dyDescent="0.2">
      <c r="A979" s="108" t="s">
        <v>315</v>
      </c>
      <c r="B979" s="108">
        <v>122.83</v>
      </c>
      <c r="C979" s="16">
        <v>5.7500000000000002E-2</v>
      </c>
      <c r="D979" s="111">
        <v>51257</v>
      </c>
      <c r="E979" s="112">
        <f t="shared" si="15"/>
        <v>27.723287671232878</v>
      </c>
      <c r="F979" s="16">
        <v>4.3429999999999996E-2</v>
      </c>
      <c r="H979" s="16"/>
    </row>
    <row r="980" spans="1:8" x14ac:dyDescent="0.2">
      <c r="A980" s="108" t="s">
        <v>230</v>
      </c>
      <c r="B980" s="108">
        <v>111.17</v>
      </c>
      <c r="C980" s="16">
        <v>7.0000000000000007E-2</v>
      </c>
      <c r="D980" s="111">
        <v>51302</v>
      </c>
      <c r="E980" s="112">
        <f t="shared" si="15"/>
        <v>27.846575342465755</v>
      </c>
      <c r="F980" s="16">
        <v>6.164E-2</v>
      </c>
      <c r="H980" s="16"/>
    </row>
    <row r="981" spans="1:8" x14ac:dyDescent="0.2">
      <c r="A981" s="108" t="s">
        <v>234</v>
      </c>
      <c r="B981" s="108">
        <v>113.99</v>
      </c>
      <c r="C981" s="16">
        <v>6.6250000000000003E-2</v>
      </c>
      <c r="D981" s="111">
        <v>51308</v>
      </c>
      <c r="E981" s="112">
        <f t="shared" si="15"/>
        <v>27.863013698630137</v>
      </c>
      <c r="F981" s="16">
        <v>5.6340000000000001E-2</v>
      </c>
      <c r="H981" s="16"/>
    </row>
    <row r="982" spans="1:8" x14ac:dyDescent="0.2">
      <c r="A982" s="108" t="s">
        <v>432</v>
      </c>
      <c r="B982" s="108">
        <v>109.44</v>
      </c>
      <c r="C982" s="16">
        <v>6.4500000000000002E-2</v>
      </c>
      <c r="D982" s="111">
        <v>51363</v>
      </c>
      <c r="E982" s="112">
        <f t="shared" si="15"/>
        <v>28.013698630136986</v>
      </c>
      <c r="F982" s="16">
        <v>5.772E-2</v>
      </c>
      <c r="H982" s="16"/>
    </row>
    <row r="983" spans="1:8" x14ac:dyDescent="0.2">
      <c r="A983" s="108" t="s">
        <v>478</v>
      </c>
      <c r="B983" s="108">
        <v>121.54</v>
      </c>
      <c r="C983" s="16">
        <v>4.8499999999999995E-2</v>
      </c>
      <c r="D983" s="111">
        <v>51363</v>
      </c>
      <c r="E983" s="112">
        <f t="shared" si="15"/>
        <v>28.013698630136986</v>
      </c>
      <c r="F983" s="16">
        <v>3.635E-2</v>
      </c>
      <c r="H983" s="16"/>
    </row>
    <row r="984" spans="1:8" x14ac:dyDescent="0.2">
      <c r="A984" s="108" t="s">
        <v>240</v>
      </c>
      <c r="B984" s="108">
        <v>116</v>
      </c>
      <c r="C984" s="16">
        <v>4.7500000000000001E-2</v>
      </c>
      <c r="D984" s="111">
        <v>51380</v>
      </c>
      <c r="E984" s="112">
        <f t="shared" si="15"/>
        <v>28.06027397260274</v>
      </c>
      <c r="F984" s="16">
        <v>3.8269999999999998E-2</v>
      </c>
      <c r="H984" s="16"/>
    </row>
    <row r="985" spans="1:8" x14ac:dyDescent="0.2">
      <c r="A985" s="108" t="s">
        <v>271</v>
      </c>
      <c r="B985" s="108">
        <v>114.97</v>
      </c>
      <c r="C985" s="16">
        <v>5.4000000000000006E-2</v>
      </c>
      <c r="D985" s="111">
        <v>51389</v>
      </c>
      <c r="E985" s="112">
        <f t="shared" si="15"/>
        <v>28.084931506849315</v>
      </c>
      <c r="F985" s="16">
        <v>4.4699999999999997E-2</v>
      </c>
      <c r="H985" s="16"/>
    </row>
    <row r="986" spans="1:8" x14ac:dyDescent="0.2">
      <c r="A986" s="108" t="s">
        <v>524</v>
      </c>
      <c r="B986" s="108">
        <v>120</v>
      </c>
      <c r="C986" s="16">
        <v>5.3749999999999999E-2</v>
      </c>
      <c r="D986" s="111">
        <v>51441</v>
      </c>
      <c r="E986" s="112">
        <f t="shared" si="15"/>
        <v>28.227397260273971</v>
      </c>
      <c r="F986" s="16">
        <v>4.1769999999999995E-2</v>
      </c>
      <c r="H986" s="16"/>
    </row>
    <row r="987" spans="1:8" x14ac:dyDescent="0.2">
      <c r="A987" s="108" t="s">
        <v>414</v>
      </c>
      <c r="B987" s="108">
        <v>118.25</v>
      </c>
      <c r="C987" s="16">
        <v>5.3499999999999999E-2</v>
      </c>
      <c r="D987" s="111">
        <v>51441</v>
      </c>
      <c r="E987" s="112">
        <f t="shared" si="15"/>
        <v>28.227397260273971</v>
      </c>
      <c r="F987" s="16">
        <v>4.2480000000000004E-2</v>
      </c>
      <c r="H987" s="16"/>
    </row>
    <row r="988" spans="1:8" x14ac:dyDescent="0.2">
      <c r="A988" s="108" t="s">
        <v>398</v>
      </c>
      <c r="B988" s="108">
        <v>120.1</v>
      </c>
      <c r="C988" s="16">
        <v>0.05</v>
      </c>
      <c r="D988" s="111">
        <v>51452</v>
      </c>
      <c r="E988" s="112">
        <f t="shared" si="15"/>
        <v>28.257534246575343</v>
      </c>
      <c r="F988" s="16">
        <v>3.8429999999999999E-2</v>
      </c>
      <c r="H988" s="16"/>
    </row>
    <row r="989" spans="1:8" x14ac:dyDescent="0.2">
      <c r="A989" s="108" t="s">
        <v>234</v>
      </c>
      <c r="B989" s="108">
        <v>107.47</v>
      </c>
      <c r="C989" s="16">
        <v>6.2E-2</v>
      </c>
      <c r="D989" s="111">
        <v>51455</v>
      </c>
      <c r="E989" s="112">
        <f t="shared" si="15"/>
        <v>28.265753424657536</v>
      </c>
      <c r="F989" s="16">
        <v>5.672E-2</v>
      </c>
      <c r="H989" s="16"/>
    </row>
    <row r="990" spans="1:8" x14ac:dyDescent="0.2">
      <c r="A990" s="108" t="s">
        <v>231</v>
      </c>
      <c r="B990" s="108">
        <v>100.14</v>
      </c>
      <c r="C990" s="16">
        <v>6.25E-2</v>
      </c>
      <c r="D990" s="111">
        <v>51533</v>
      </c>
      <c r="E990" s="112">
        <f t="shared" si="15"/>
        <v>28.479452054794521</v>
      </c>
      <c r="F990" s="16">
        <v>6.2390000000000001E-2</v>
      </c>
      <c r="H990" s="16"/>
    </row>
    <row r="991" spans="1:8" x14ac:dyDescent="0.2">
      <c r="A991" s="108" t="s">
        <v>335</v>
      </c>
      <c r="B991" s="108">
        <v>114.11</v>
      </c>
      <c r="C991" s="16">
        <v>5.8749999999999997E-2</v>
      </c>
      <c r="D991" s="111">
        <v>51538</v>
      </c>
      <c r="E991" s="112">
        <f t="shared" si="15"/>
        <v>28.493150684931507</v>
      </c>
      <c r="F991" s="16">
        <v>4.9550000000000004E-2</v>
      </c>
      <c r="H991" s="16"/>
    </row>
    <row r="992" spans="1:8" x14ac:dyDescent="0.2">
      <c r="A992" s="108" t="s">
        <v>315</v>
      </c>
      <c r="B992" s="108">
        <v>114.53</v>
      </c>
      <c r="C992" s="16">
        <v>5.0499999999999996E-2</v>
      </c>
      <c r="D992" s="111">
        <v>51561</v>
      </c>
      <c r="E992" s="112">
        <f t="shared" si="15"/>
        <v>28.556164383561644</v>
      </c>
      <c r="F992" s="16">
        <v>4.1840000000000002E-2</v>
      </c>
      <c r="H992" s="16"/>
    </row>
    <row r="993" spans="1:8" x14ac:dyDescent="0.2">
      <c r="A993" s="108" t="s">
        <v>410</v>
      </c>
      <c r="B993" s="108">
        <v>131.84</v>
      </c>
      <c r="C993" s="16">
        <v>5.5E-2</v>
      </c>
      <c r="D993" s="111">
        <v>51575</v>
      </c>
      <c r="E993" s="112">
        <f t="shared" si="15"/>
        <v>28.594520547945205</v>
      </c>
      <c r="F993" s="16">
        <v>3.7080000000000002E-2</v>
      </c>
      <c r="H993" s="16"/>
    </row>
    <row r="994" spans="1:8" x14ac:dyDescent="0.2">
      <c r="A994" s="108" t="s">
        <v>234</v>
      </c>
      <c r="B994" s="108">
        <v>98.88</v>
      </c>
      <c r="C994" s="16">
        <v>5.6250000000000001E-2</v>
      </c>
      <c r="D994" s="111">
        <v>51633</v>
      </c>
      <c r="E994" s="112">
        <f t="shared" si="15"/>
        <v>28.753424657534246</v>
      </c>
      <c r="F994" s="16">
        <v>5.704E-2</v>
      </c>
      <c r="H994" s="16"/>
    </row>
    <row r="995" spans="1:8" x14ac:dyDescent="0.2">
      <c r="A995" s="108" t="s">
        <v>385</v>
      </c>
      <c r="B995" s="108">
        <v>120.88</v>
      </c>
      <c r="C995" s="16">
        <v>5.8499999999999996E-2</v>
      </c>
      <c r="D995" s="111">
        <v>51667</v>
      </c>
      <c r="E995" s="112">
        <f t="shared" si="15"/>
        <v>28.846575342465755</v>
      </c>
      <c r="F995" s="16">
        <v>4.5570000000000006E-2</v>
      </c>
      <c r="H995" s="16"/>
    </row>
    <row r="996" spans="1:8" x14ac:dyDescent="0.2">
      <c r="A996" s="108" t="s">
        <v>327</v>
      </c>
      <c r="B996" s="108">
        <v>103.3</v>
      </c>
      <c r="C996" s="16">
        <v>5.7500000000000002E-2</v>
      </c>
      <c r="D996" s="111">
        <v>51697</v>
      </c>
      <c r="E996" s="112">
        <f t="shared" si="15"/>
        <v>28.92876712328767</v>
      </c>
      <c r="F996" s="16">
        <v>5.5229999999999994E-2</v>
      </c>
      <c r="H996" s="16"/>
    </row>
    <row r="997" spans="1:8" x14ac:dyDescent="0.2">
      <c r="A997" s="108" t="s">
        <v>226</v>
      </c>
      <c r="B997" s="108">
        <v>118.45</v>
      </c>
      <c r="C997" s="16">
        <v>0.06</v>
      </c>
      <c r="D997" s="111">
        <v>51759</v>
      </c>
      <c r="E997" s="112">
        <f t="shared" si="15"/>
        <v>29.098630136986301</v>
      </c>
      <c r="F997" s="16">
        <v>4.8259999999999997E-2</v>
      </c>
      <c r="H997" s="16"/>
    </row>
    <row r="998" spans="1:8" x14ac:dyDescent="0.2">
      <c r="A998" s="108" t="s">
        <v>257</v>
      </c>
      <c r="B998" s="108">
        <v>106.63</v>
      </c>
      <c r="C998" s="16">
        <v>4.7500000000000001E-2</v>
      </c>
      <c r="D998" s="111">
        <v>51806</v>
      </c>
      <c r="E998" s="112">
        <f t="shared" si="15"/>
        <v>29.227397260273971</v>
      </c>
      <c r="F998" s="16">
        <v>4.351E-2</v>
      </c>
      <c r="H998" s="16"/>
    </row>
    <row r="999" spans="1:8" x14ac:dyDescent="0.2">
      <c r="A999" s="108" t="s">
        <v>347</v>
      </c>
      <c r="B999" s="108">
        <v>101.52</v>
      </c>
      <c r="C999" s="16">
        <v>5.1500000000000004E-2</v>
      </c>
      <c r="D999" s="111">
        <v>51820</v>
      </c>
      <c r="E999" s="112">
        <f t="shared" si="15"/>
        <v>29.265753424657536</v>
      </c>
      <c r="F999" s="16">
        <v>5.0509999999999999E-2</v>
      </c>
      <c r="H999" s="16"/>
    </row>
    <row r="1000" spans="1:8" x14ac:dyDescent="0.2">
      <c r="A1000" s="108" t="s">
        <v>247</v>
      </c>
      <c r="B1000" s="108">
        <v>135</v>
      </c>
      <c r="C1000" s="16">
        <v>6.5000000000000002E-2</v>
      </c>
      <c r="D1000" s="111">
        <v>51987</v>
      </c>
      <c r="E1000" s="112">
        <f t="shared" si="15"/>
        <v>29.723287671232878</v>
      </c>
      <c r="F1000" s="16">
        <v>4.4010000000000001E-2</v>
      </c>
      <c r="H1000" s="16"/>
    </row>
    <row r="1001" spans="1:8" x14ac:dyDescent="0.2">
      <c r="A1001" s="108" t="s">
        <v>388</v>
      </c>
      <c r="B1001" s="108">
        <v>151</v>
      </c>
      <c r="C1001" s="16">
        <v>6.9500000000000006E-2</v>
      </c>
      <c r="D1001" s="111">
        <v>51987</v>
      </c>
      <c r="E1001" s="112">
        <f t="shared" si="15"/>
        <v>29.723287671232878</v>
      </c>
      <c r="F1001" s="16">
        <v>4.027E-2</v>
      </c>
      <c r="H1001" s="16"/>
    </row>
    <row r="1002" spans="1:8" x14ac:dyDescent="0.2">
      <c r="A1002" s="108" t="s">
        <v>247</v>
      </c>
      <c r="B1002" s="108">
        <v>138.85</v>
      </c>
      <c r="C1002" s="16">
        <v>6.5000000000000002E-2</v>
      </c>
      <c r="D1002" s="111">
        <v>52263</v>
      </c>
      <c r="E1002" s="112">
        <f t="shared" si="15"/>
        <v>30.479452054794521</v>
      </c>
      <c r="F1002" s="16">
        <v>4.2409999999999996E-2</v>
      </c>
      <c r="H1002" s="16"/>
    </row>
    <row r="1003" spans="1:8" x14ac:dyDescent="0.2">
      <c r="A1003" s="108" t="s">
        <v>322</v>
      </c>
      <c r="B1003" s="108">
        <v>142.9</v>
      </c>
      <c r="C1003" s="16">
        <v>6.8750000000000006E-2</v>
      </c>
      <c r="D1003" s="111">
        <v>52519</v>
      </c>
      <c r="E1003" s="112">
        <f t="shared" si="15"/>
        <v>31.18082191780822</v>
      </c>
      <c r="F1003" s="16">
        <v>4.3680000000000004E-2</v>
      </c>
      <c r="H1003" s="16"/>
    </row>
    <row r="1004" spans="1:8" x14ac:dyDescent="0.2">
      <c r="A1004" s="108" t="s">
        <v>466</v>
      </c>
      <c r="B1004" s="108">
        <v>104.75</v>
      </c>
      <c r="C1004" s="16">
        <v>5.8499999999999996E-2</v>
      </c>
      <c r="D1004" s="111">
        <v>53281</v>
      </c>
      <c r="E1004" s="112">
        <f t="shared" si="15"/>
        <v>33.268493150684932</v>
      </c>
      <c r="F1004" s="16">
        <v>5.5380000000000006E-2</v>
      </c>
      <c r="H1004" s="16"/>
    </row>
    <row r="1005" spans="1:8" x14ac:dyDescent="0.2">
      <c r="A1005" s="108" t="s">
        <v>466</v>
      </c>
      <c r="B1005" s="108">
        <v>123.96</v>
      </c>
      <c r="C1005" s="16">
        <v>7.0000000000000007E-2</v>
      </c>
      <c r="D1005" s="111">
        <v>71559</v>
      </c>
      <c r="E1005" s="112">
        <f t="shared" si="15"/>
        <v>83.345205479452048</v>
      </c>
      <c r="F1005" s="16">
        <v>5.6369999999999996E-2</v>
      </c>
      <c r="H1005" s="16"/>
    </row>
    <row r="1006" spans="1:8" x14ac:dyDescent="0.2">
      <c r="A1006" s="108" t="s">
        <v>229</v>
      </c>
      <c r="B1006" s="108">
        <v>107.55</v>
      </c>
      <c r="C1006" s="16">
        <v>6.8750000000000006E-2</v>
      </c>
      <c r="D1006" s="111">
        <v>72366</v>
      </c>
      <c r="E1006" s="112">
        <f t="shared" si="15"/>
        <v>85.556164383561651</v>
      </c>
      <c r="F1006" s="16">
        <v>6.3890000000000002E-2</v>
      </c>
      <c r="H1006" s="16"/>
    </row>
    <row r="1007" spans="1:8" x14ac:dyDescent="0.2">
      <c r="A1007" s="108" t="s">
        <v>477</v>
      </c>
      <c r="B1007" s="108">
        <v>99.25</v>
      </c>
      <c r="C1007" s="16">
        <v>5.6500000000000002E-2</v>
      </c>
      <c r="D1007" s="111">
        <v>72380</v>
      </c>
      <c r="E1007" s="112">
        <f t="shared" si="15"/>
        <v>85.594520547945208</v>
      </c>
      <c r="F1007" s="16">
        <v>5.6919999999999998E-2</v>
      </c>
      <c r="H1007" s="16"/>
    </row>
  </sheetData>
  <mergeCells count="2">
    <mergeCell ref="A1:F1"/>
    <mergeCell ref="Y1:AA1"/>
  </mergeCells>
  <printOptions headings="1" gridLines="1"/>
  <pageMargins left="0.7" right="0.7" top="0.75" bottom="0.75" header="0.3" footer="0.3"/>
  <pageSetup orientation="portrait" verticalDpi="4"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5"/>
  <dimension ref="A1:C5"/>
  <sheetViews>
    <sheetView workbookViewId="0">
      <selection activeCell="C11" sqref="C11"/>
    </sheetView>
  </sheetViews>
  <sheetFormatPr defaultColWidth="8.75" defaultRowHeight="14.25" x14ac:dyDescent="0.2"/>
  <cols>
    <col min="1" max="1" width="28.75" style="82" bestFit="1" customWidth="1"/>
    <col min="2" max="2" width="10" style="82" bestFit="1" customWidth="1"/>
    <col min="3" max="3" width="19.875" style="82" bestFit="1" customWidth="1"/>
    <col min="4" max="16384" width="8.75" style="82"/>
  </cols>
  <sheetData>
    <row r="1" spans="1:3" ht="18" x14ac:dyDescent="0.25">
      <c r="A1" s="424" t="s">
        <v>188</v>
      </c>
      <c r="B1" s="424"/>
      <c r="C1" s="424"/>
    </row>
    <row r="2" spans="1:3" ht="18.75" x14ac:dyDescent="0.35">
      <c r="A2" s="82" t="s">
        <v>190</v>
      </c>
      <c r="B2" s="82">
        <v>60</v>
      </c>
    </row>
    <row r="3" spans="1:3" ht="18.75" x14ac:dyDescent="0.35">
      <c r="A3" s="82" t="s">
        <v>191</v>
      </c>
      <c r="B3" s="82">
        <v>3</v>
      </c>
    </row>
    <row r="4" spans="1:3" x14ac:dyDescent="0.2">
      <c r="A4" s="82" t="s">
        <v>189</v>
      </c>
      <c r="B4" s="88">
        <v>0.12</v>
      </c>
    </row>
    <row r="5" spans="1:3" ht="18.75" x14ac:dyDescent="0.35">
      <c r="A5" s="82" t="s">
        <v>108</v>
      </c>
      <c r="B5" s="56">
        <f>B3*(1+B4)/B2+B4</f>
        <v>0.17599999999999999</v>
      </c>
      <c r="C5" s="82" t="e">
        <f ca="1">getformula(B5)</f>
        <v>#NAME?</v>
      </c>
    </row>
  </sheetData>
  <mergeCells count="1">
    <mergeCell ref="A1:C1"/>
  </mergeCells>
  <printOptions headings="1" gridLines="1"/>
  <pageMargins left="0.7" right="0.7" top="0.75" bottom="0.75" header="0.3" footer="0.3"/>
  <pageSetup orientation="portrait" verticalDpi="4"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F43"/>
  <sheetViews>
    <sheetView zoomScale="96" zoomScaleNormal="96" workbookViewId="0">
      <selection activeCell="O51" sqref="O51"/>
    </sheetView>
  </sheetViews>
  <sheetFormatPr defaultRowHeight="14.25" x14ac:dyDescent="0.2"/>
  <cols>
    <col min="1" max="1" width="9.5" style="22" bestFit="1" customWidth="1"/>
    <col min="2" max="2" width="8.75" style="74"/>
    <col min="4" max="4" width="14.25" bestFit="1" customWidth="1"/>
    <col min="6" max="6" width="20.625" bestFit="1" customWidth="1"/>
  </cols>
  <sheetData>
    <row r="1" spans="1:6" ht="18" x14ac:dyDescent="0.25">
      <c r="A1" s="427" t="s">
        <v>192</v>
      </c>
      <c r="B1" s="427"/>
      <c r="C1" s="427"/>
      <c r="D1" s="427"/>
      <c r="E1" s="427"/>
      <c r="F1" s="427"/>
    </row>
    <row r="2" spans="1:6" ht="28.5" customHeight="1" x14ac:dyDescent="0.2">
      <c r="A2" s="22" t="s">
        <v>21</v>
      </c>
      <c r="B2" s="89" t="s">
        <v>23</v>
      </c>
      <c r="D2" s="425" t="s">
        <v>24</v>
      </c>
      <c r="E2" s="425"/>
      <c r="F2" s="425"/>
    </row>
    <row r="3" spans="1:6" x14ac:dyDescent="0.2">
      <c r="A3" s="22">
        <v>37503</v>
      </c>
      <c r="B3" s="74">
        <v>0.36</v>
      </c>
      <c r="D3" s="426" t="s">
        <v>25</v>
      </c>
      <c r="E3" s="426"/>
      <c r="F3" s="426"/>
    </row>
    <row r="4" spans="1:6" x14ac:dyDescent="0.2">
      <c r="A4" s="22">
        <v>37594</v>
      </c>
      <c r="B4" s="74">
        <v>0.36</v>
      </c>
      <c r="D4" t="s">
        <v>26</v>
      </c>
      <c r="E4" s="16">
        <f>(B43/B3)^(1/40)-1</f>
        <v>3.8612023039570342E-3</v>
      </c>
      <c r="F4" t="e">
        <f ca="1">getformula(E4)</f>
        <v>#NAME?</v>
      </c>
    </row>
    <row r="5" spans="1:6" x14ac:dyDescent="0.2">
      <c r="A5" s="22">
        <v>37685</v>
      </c>
      <c r="B5" s="74">
        <v>0.36</v>
      </c>
      <c r="D5" t="s">
        <v>27</v>
      </c>
      <c r="E5" s="16">
        <f>(1+E4)^4-1</f>
        <v>1.5534493002352878E-2</v>
      </c>
      <c r="F5" t="e">
        <f ca="1">getformula(E5)</f>
        <v>#NAME?</v>
      </c>
    </row>
    <row r="6" spans="1:6" x14ac:dyDescent="0.2">
      <c r="A6" s="22">
        <v>37776</v>
      </c>
      <c r="B6" s="74">
        <v>0.36</v>
      </c>
    </row>
    <row r="7" spans="1:6" x14ac:dyDescent="0.2">
      <c r="A7" s="22">
        <v>37853</v>
      </c>
      <c r="B7" s="74">
        <v>2.8759999999999999</v>
      </c>
      <c r="D7" s="426" t="s">
        <v>28</v>
      </c>
      <c r="E7" s="426"/>
      <c r="F7" s="426"/>
    </row>
    <row r="8" spans="1:6" x14ac:dyDescent="0.2">
      <c r="A8" s="22">
        <v>37867</v>
      </c>
      <c r="B8" s="74">
        <v>0.37</v>
      </c>
      <c r="D8" t="s">
        <v>26</v>
      </c>
      <c r="E8" s="16">
        <f>(B43/B23)^(1/20)-1</f>
        <v>5.0167147128883371E-3</v>
      </c>
      <c r="F8" t="e">
        <f ca="1">getformula(E8)</f>
        <v>#NAME?</v>
      </c>
    </row>
    <row r="9" spans="1:6" x14ac:dyDescent="0.2">
      <c r="A9" s="22">
        <v>37958</v>
      </c>
      <c r="B9" s="74">
        <v>0.37</v>
      </c>
      <c r="D9" t="s">
        <v>27</v>
      </c>
      <c r="E9" s="16">
        <f>(1+E8)^4-1</f>
        <v>2.0218369075211351E-2</v>
      </c>
      <c r="F9" t="e">
        <f ca="1">getformula(E9)</f>
        <v>#NAME?</v>
      </c>
    </row>
    <row r="10" spans="1:6" x14ac:dyDescent="0.2">
      <c r="A10" s="22">
        <v>38049</v>
      </c>
      <c r="B10" s="74">
        <v>0.37</v>
      </c>
    </row>
    <row r="11" spans="1:6" x14ac:dyDescent="0.2">
      <c r="A11" s="22">
        <v>38140</v>
      </c>
      <c r="B11" s="74">
        <v>0.37</v>
      </c>
    </row>
    <row r="12" spans="1:6" x14ac:dyDescent="0.2">
      <c r="A12" s="22">
        <v>38231</v>
      </c>
      <c r="B12" s="74">
        <v>0.38</v>
      </c>
    </row>
    <row r="13" spans="1:6" ht="18.75" hidden="1" customHeight="1" x14ac:dyDescent="0.2">
      <c r="A13" s="22">
        <v>38322</v>
      </c>
      <c r="B13" s="74">
        <v>0.38</v>
      </c>
    </row>
    <row r="14" spans="1:6" ht="18.75" hidden="1" customHeight="1" x14ac:dyDescent="0.2">
      <c r="A14" s="22">
        <v>38413</v>
      </c>
      <c r="B14" s="74">
        <v>0.38</v>
      </c>
    </row>
    <row r="15" spans="1:6" ht="14.25" hidden="1" customHeight="1" x14ac:dyDescent="0.2">
      <c r="A15" s="22">
        <v>38504</v>
      </c>
      <c r="B15" s="74">
        <v>0.38</v>
      </c>
    </row>
    <row r="16" spans="1:6" ht="18.75" hidden="1" customHeight="1" x14ac:dyDescent="0.2">
      <c r="A16" s="22">
        <v>38595</v>
      </c>
      <c r="B16" s="74">
        <v>0.38</v>
      </c>
    </row>
    <row r="17" spans="1:2" ht="14.25" hidden="1" customHeight="1" x14ac:dyDescent="0.2">
      <c r="A17" s="22">
        <v>38686</v>
      </c>
      <c r="B17" s="74">
        <v>0.38</v>
      </c>
    </row>
    <row r="18" spans="1:2" ht="14.25" hidden="1" customHeight="1" x14ac:dyDescent="0.2">
      <c r="A18" s="22">
        <v>38784</v>
      </c>
      <c r="B18" s="74">
        <v>0.38</v>
      </c>
    </row>
    <row r="19" spans="1:2" ht="14.25" hidden="1" customHeight="1" x14ac:dyDescent="0.2">
      <c r="A19" s="22">
        <v>38868</v>
      </c>
      <c r="B19" s="74">
        <v>0.38</v>
      </c>
    </row>
    <row r="20" spans="1:2" ht="14.25" hidden="1" customHeight="1" x14ac:dyDescent="0.2">
      <c r="A20" s="22">
        <v>38959</v>
      </c>
      <c r="B20" s="74">
        <v>0.38</v>
      </c>
    </row>
    <row r="21" spans="1:2" ht="14.25" hidden="1" customHeight="1" x14ac:dyDescent="0.2">
      <c r="A21" s="22">
        <v>39057</v>
      </c>
      <c r="B21" s="74">
        <v>0.38</v>
      </c>
    </row>
    <row r="22" spans="1:2" ht="14.25" hidden="1" customHeight="1" x14ac:dyDescent="0.2">
      <c r="A22" s="22">
        <v>39148</v>
      </c>
      <c r="B22" s="74">
        <v>0.38</v>
      </c>
    </row>
    <row r="23" spans="1:2" ht="14.25" hidden="1" customHeight="1" x14ac:dyDescent="0.2">
      <c r="A23" s="22">
        <v>39239</v>
      </c>
      <c r="B23" s="74">
        <v>0.38</v>
      </c>
    </row>
    <row r="24" spans="1:2" ht="14.25" hidden="1" customHeight="1" x14ac:dyDescent="0.2">
      <c r="A24" s="22">
        <v>39330</v>
      </c>
      <c r="B24" s="74">
        <v>0.38</v>
      </c>
    </row>
    <row r="25" spans="1:2" ht="14.25" hidden="1" customHeight="1" x14ac:dyDescent="0.2">
      <c r="A25" s="22">
        <v>39421</v>
      </c>
      <c r="B25" s="74">
        <v>0.38</v>
      </c>
    </row>
    <row r="26" spans="1:2" ht="14.25" hidden="1" customHeight="1" x14ac:dyDescent="0.2">
      <c r="A26" s="22">
        <v>39512</v>
      </c>
      <c r="B26" s="74">
        <v>0.38</v>
      </c>
    </row>
    <row r="27" spans="1:2" ht="14.25" hidden="1" customHeight="1" x14ac:dyDescent="0.2">
      <c r="A27" s="22">
        <v>39603</v>
      </c>
      <c r="B27" s="74">
        <v>0.38</v>
      </c>
    </row>
    <row r="28" spans="1:2" ht="14.25" hidden="1" customHeight="1" x14ac:dyDescent="0.2">
      <c r="A28" s="22">
        <v>39694</v>
      </c>
      <c r="B28" s="74">
        <v>0.38</v>
      </c>
    </row>
    <row r="29" spans="1:2" ht="14.25" hidden="1" customHeight="1" x14ac:dyDescent="0.2">
      <c r="A29" s="22">
        <v>39785</v>
      </c>
      <c r="B29" s="74">
        <v>0.38</v>
      </c>
    </row>
    <row r="30" spans="1:2" ht="14.25" hidden="1" customHeight="1" x14ac:dyDescent="0.2">
      <c r="A30" s="22">
        <v>39876</v>
      </c>
      <c r="B30" s="74">
        <v>0.38</v>
      </c>
    </row>
    <row r="31" spans="1:2" ht="14.25" hidden="1" customHeight="1" x14ac:dyDescent="0.2">
      <c r="A31" s="22">
        <v>39968</v>
      </c>
      <c r="B31" s="74">
        <v>0.38</v>
      </c>
    </row>
    <row r="32" spans="1:2" ht="14.25" hidden="1" customHeight="1" x14ac:dyDescent="0.2">
      <c r="A32" s="22">
        <v>40058</v>
      </c>
      <c r="B32" s="74">
        <v>0.38</v>
      </c>
    </row>
    <row r="33" spans="1:2" ht="14.25" hidden="1" customHeight="1" x14ac:dyDescent="0.2">
      <c r="A33" s="22">
        <v>40158</v>
      </c>
      <c r="B33" s="74">
        <v>0.38</v>
      </c>
    </row>
    <row r="34" spans="1:2" ht="14.25" hidden="1" customHeight="1" x14ac:dyDescent="0.2">
      <c r="A34" s="22">
        <v>40248</v>
      </c>
      <c r="B34" s="74">
        <v>0.38</v>
      </c>
    </row>
    <row r="35" spans="1:2" ht="14.25" hidden="1" customHeight="1" x14ac:dyDescent="0.2">
      <c r="A35" s="22">
        <v>40340</v>
      </c>
      <c r="B35" s="74">
        <v>0.38</v>
      </c>
    </row>
    <row r="36" spans="1:2" ht="14.25" hidden="1" customHeight="1" x14ac:dyDescent="0.2">
      <c r="A36" s="22">
        <v>40434</v>
      </c>
      <c r="B36" s="74">
        <v>0.38</v>
      </c>
    </row>
    <row r="37" spans="1:2" ht="14.25" hidden="1" customHeight="1" x14ac:dyDescent="0.2">
      <c r="A37" s="22">
        <v>40525</v>
      </c>
      <c r="B37" s="74">
        <v>0.38</v>
      </c>
    </row>
    <row r="38" spans="1:2" ht="14.25" hidden="1" customHeight="1" x14ac:dyDescent="0.2">
      <c r="A38" s="22">
        <v>40613</v>
      </c>
      <c r="B38" s="74">
        <v>0.38</v>
      </c>
    </row>
    <row r="39" spans="1:2" ht="14.25" hidden="1" customHeight="1" x14ac:dyDescent="0.2">
      <c r="A39" s="22">
        <v>40707</v>
      </c>
      <c r="B39" s="74">
        <v>0.38</v>
      </c>
    </row>
    <row r="40" spans="1:2" x14ac:dyDescent="0.2">
      <c r="A40" s="22">
        <v>40799</v>
      </c>
      <c r="B40" s="74">
        <v>0.38</v>
      </c>
    </row>
    <row r="41" spans="1:2" x14ac:dyDescent="0.2">
      <c r="A41" s="22">
        <v>40890</v>
      </c>
      <c r="B41" s="74">
        <v>0.42</v>
      </c>
    </row>
    <row r="42" spans="1:2" x14ac:dyDescent="0.2">
      <c r="A42" s="22">
        <v>40981</v>
      </c>
      <c r="B42" s="74">
        <v>0.42</v>
      </c>
    </row>
    <row r="43" spans="1:2" x14ac:dyDescent="0.2">
      <c r="A43" s="22">
        <v>41073</v>
      </c>
      <c r="B43" s="74">
        <v>0.42</v>
      </c>
    </row>
  </sheetData>
  <sortState xmlns:xlrd2="http://schemas.microsoft.com/office/spreadsheetml/2017/richdata2" ref="A4:B46">
    <sortCondition ref="A4:A46"/>
  </sortState>
  <mergeCells count="4">
    <mergeCell ref="D2:F2"/>
    <mergeCell ref="D3:F3"/>
    <mergeCell ref="D7:F7"/>
    <mergeCell ref="A1:F1"/>
  </mergeCells>
  <printOptions headings="1" gridLines="1"/>
  <pageMargins left="0.7" right="0.7" top="0.75" bottom="0.75" header="0.3" footer="0.3"/>
  <pageSetup paperSize="9" orientation="portrait" verticalDpi="4"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3"/>
  <dimension ref="A1:AF43"/>
  <sheetViews>
    <sheetView topLeftCell="M1" zoomScale="70" zoomScaleNormal="70" workbookViewId="0">
      <selection activeCell="S10" sqref="S10"/>
    </sheetView>
  </sheetViews>
  <sheetFormatPr defaultRowHeight="14.25" x14ac:dyDescent="0.2"/>
  <cols>
    <col min="1" max="1" width="30" bestFit="1" customWidth="1"/>
    <col min="2" max="2" width="10.25" customWidth="1"/>
    <col min="3" max="3" width="24" bestFit="1" customWidth="1"/>
    <col min="6" max="6" width="34.875" customWidth="1"/>
    <col min="7" max="7" width="18.125" customWidth="1"/>
    <col min="9" max="9" width="34.625" customWidth="1"/>
    <col min="10" max="10" width="11.75" customWidth="1"/>
    <col min="11" max="11" width="18" customWidth="1"/>
    <col min="12" max="12" width="22.75" customWidth="1"/>
    <col min="15" max="15" width="10.75" customWidth="1"/>
    <col min="16" max="16" width="7.875" customWidth="1"/>
    <col min="17" max="17" width="9.375" customWidth="1"/>
    <col min="18" max="18" width="14" customWidth="1"/>
    <col min="19" max="21" width="13.125" customWidth="1"/>
    <col min="27" max="27" width="24" customWidth="1"/>
    <col min="28" max="28" width="13.75" customWidth="1"/>
  </cols>
  <sheetData>
    <row r="1" spans="1:32" ht="42.6" customHeight="1" x14ac:dyDescent="0.2">
      <c r="A1" s="420" t="s">
        <v>104</v>
      </c>
      <c r="B1" s="420"/>
      <c r="C1" s="420"/>
      <c r="G1" s="133" t="s">
        <v>209</v>
      </c>
      <c r="H1" s="133"/>
      <c r="I1" s="133"/>
      <c r="J1" s="138"/>
      <c r="K1" s="138"/>
      <c r="L1" s="138"/>
      <c r="M1" s="138"/>
      <c r="N1" s="138"/>
      <c r="O1" s="429" t="s">
        <v>534</v>
      </c>
      <c r="P1" s="429"/>
      <c r="Q1" s="429"/>
      <c r="R1" s="429"/>
      <c r="S1" s="429"/>
      <c r="T1" s="429"/>
      <c r="AA1" s="420" t="s">
        <v>558</v>
      </c>
      <c r="AB1" s="420"/>
      <c r="AC1" s="420"/>
      <c r="AD1" s="420"/>
      <c r="AE1" s="420"/>
      <c r="AF1" s="420"/>
    </row>
    <row r="2" spans="1:32" ht="28.5" customHeight="1" x14ac:dyDescent="0.35">
      <c r="A2" t="s">
        <v>105</v>
      </c>
      <c r="B2">
        <v>41.75</v>
      </c>
      <c r="F2" s="138" t="s">
        <v>208</v>
      </c>
      <c r="G2" s="159">
        <v>95.32</v>
      </c>
      <c r="H2" s="138"/>
      <c r="I2" s="138"/>
      <c r="K2" s="138"/>
      <c r="L2" s="138"/>
      <c r="M2" s="138"/>
      <c r="N2" s="138"/>
      <c r="O2" s="22" t="s">
        <v>21</v>
      </c>
      <c r="P2" s="19" t="s">
        <v>23</v>
      </c>
      <c r="R2" s="425" t="s">
        <v>24</v>
      </c>
      <c r="S2" s="425"/>
      <c r="T2" s="425"/>
      <c r="AA2" s="51" t="s">
        <v>559</v>
      </c>
      <c r="AB2" s="51" t="s">
        <v>560</v>
      </c>
      <c r="AD2" s="51"/>
      <c r="AE2" s="51"/>
    </row>
    <row r="3" spans="1:32" x14ac:dyDescent="0.2">
      <c r="A3" t="s">
        <v>99</v>
      </c>
      <c r="F3" s="138" t="s">
        <v>99</v>
      </c>
      <c r="G3" s="138"/>
      <c r="H3" s="138"/>
      <c r="I3" s="138"/>
      <c r="K3" s="138"/>
      <c r="L3" s="138"/>
      <c r="M3" s="138"/>
      <c r="N3" s="138"/>
      <c r="O3" s="22">
        <v>37182</v>
      </c>
      <c r="P3" s="15">
        <v>0.17499999999999999</v>
      </c>
      <c r="R3" s="426" t="s">
        <v>25</v>
      </c>
      <c r="S3" s="426"/>
      <c r="T3" s="426"/>
      <c r="AA3" s="113">
        <v>1989</v>
      </c>
      <c r="AB3" s="15">
        <v>3</v>
      </c>
      <c r="AD3" s="113"/>
      <c r="AE3" s="15"/>
    </row>
    <row r="4" spans="1:32" x14ac:dyDescent="0.2">
      <c r="A4" s="55" t="s">
        <v>100</v>
      </c>
      <c r="B4" s="15">
        <v>0.42</v>
      </c>
      <c r="F4" s="142" t="s">
        <v>100</v>
      </c>
      <c r="G4" s="159">
        <f>G26</f>
        <v>0.14000000000000001</v>
      </c>
      <c r="H4" s="138"/>
      <c r="I4" s="138"/>
      <c r="K4" s="138"/>
      <c r="L4" s="138"/>
      <c r="M4" s="138"/>
      <c r="N4" s="138"/>
      <c r="O4" s="22">
        <v>37273</v>
      </c>
      <c r="P4" s="15">
        <v>0.17499999999999999</v>
      </c>
      <c r="R4" t="s">
        <v>26</v>
      </c>
      <c r="S4" s="16">
        <f>(P43/P3)^(1/40)-1</f>
        <v>2.4455255112023178E-2</v>
      </c>
      <c r="T4" t="e">
        <f ca="1">getformula(S4)</f>
        <v>#NAME?</v>
      </c>
      <c r="AA4" s="113">
        <v>1990</v>
      </c>
      <c r="AB4" s="15">
        <v>3</v>
      </c>
      <c r="AD4" s="113"/>
      <c r="AE4" s="15"/>
    </row>
    <row r="5" spans="1:32" ht="18.75" x14ac:dyDescent="0.35">
      <c r="A5" s="55" t="s">
        <v>106</v>
      </c>
      <c r="B5" s="15">
        <f>4*B4</f>
        <v>1.68</v>
      </c>
      <c r="C5" t="e">
        <f ca="1">getformula(B5)</f>
        <v>#NAME?</v>
      </c>
      <c r="F5" s="142" t="s">
        <v>106</v>
      </c>
      <c r="G5" s="159">
        <f>4*G4</f>
        <v>0.56000000000000005</v>
      </c>
      <c r="H5" s="138" t="e">
        <f ca="1">getformula(G5)</f>
        <v>#NAME?</v>
      </c>
      <c r="I5" s="138"/>
      <c r="K5" s="138"/>
      <c r="L5" s="138"/>
      <c r="M5" s="138"/>
      <c r="N5" s="138"/>
      <c r="O5" s="22">
        <v>37364</v>
      </c>
      <c r="P5" s="15">
        <v>0.17499999999999999</v>
      </c>
      <c r="R5" t="s">
        <v>27</v>
      </c>
      <c r="S5" s="16">
        <f>(1+S4)^4-1</f>
        <v>0.10146823792965853</v>
      </c>
      <c r="T5" t="e">
        <f ca="1">getformula(S5)</f>
        <v>#NAME?</v>
      </c>
      <c r="AA5" s="113">
        <v>1991</v>
      </c>
      <c r="AB5" s="15">
        <v>1.95</v>
      </c>
      <c r="AD5" s="113"/>
      <c r="AE5" s="15"/>
    </row>
    <row r="6" spans="1:32" x14ac:dyDescent="0.2">
      <c r="A6" t="s">
        <v>107</v>
      </c>
      <c r="F6" s="138" t="s">
        <v>175</v>
      </c>
      <c r="G6" s="160">
        <f>(G26/G14)^(1/5.22)-1</f>
        <v>-4.7003956049803897E-2</v>
      </c>
      <c r="H6" s="138" t="e">
        <f ca="1">getformula(G6)</f>
        <v>#NAME?</v>
      </c>
      <c r="I6" s="138"/>
      <c r="K6" s="138"/>
      <c r="L6" s="138"/>
      <c r="M6" s="138"/>
      <c r="N6" s="138"/>
      <c r="O6" s="22">
        <v>37455</v>
      </c>
      <c r="P6" s="15">
        <v>0.17499999999999999</v>
      </c>
      <c r="AA6" s="113">
        <v>1992</v>
      </c>
      <c r="AB6" s="15">
        <v>1.6</v>
      </c>
      <c r="AD6" s="113"/>
      <c r="AE6" s="15"/>
    </row>
    <row r="7" spans="1:32" x14ac:dyDescent="0.2">
      <c r="A7" s="55" t="s">
        <v>28</v>
      </c>
      <c r="B7" s="56">
        <v>1.55E-2</v>
      </c>
      <c r="F7" s="138" t="s">
        <v>176</v>
      </c>
      <c r="G7" s="161">
        <f>(G26/G20)^(1/2.5)-1</f>
        <v>0.14406635585872296</v>
      </c>
      <c r="H7" s="138"/>
      <c r="I7" s="138"/>
      <c r="K7" s="138"/>
      <c r="L7" s="138"/>
      <c r="M7" s="138"/>
      <c r="N7" s="138"/>
      <c r="O7" s="22">
        <v>37546</v>
      </c>
      <c r="P7" s="15">
        <v>0.17499999999999999</v>
      </c>
      <c r="R7" s="426" t="s">
        <v>28</v>
      </c>
      <c r="S7" s="426"/>
      <c r="T7" s="426"/>
      <c r="AA7" s="113">
        <v>1993</v>
      </c>
      <c r="AB7" s="15">
        <v>1.6</v>
      </c>
      <c r="AD7" s="113"/>
      <c r="AE7" s="15"/>
    </row>
    <row r="8" spans="1:32" ht="18.75" x14ac:dyDescent="0.35">
      <c r="A8" s="55" t="s">
        <v>101</v>
      </c>
      <c r="B8" s="56">
        <v>2.0199999999999999E-2</v>
      </c>
      <c r="F8" s="138" t="s">
        <v>108</v>
      </c>
      <c r="G8" s="138"/>
      <c r="H8" s="138"/>
      <c r="I8" s="138"/>
      <c r="K8" s="138"/>
      <c r="L8" s="138"/>
      <c r="M8" s="138"/>
      <c r="N8" s="138"/>
      <c r="O8" s="22">
        <v>37637</v>
      </c>
      <c r="P8" s="15">
        <v>0.17499999999999999</v>
      </c>
      <c r="R8" t="s">
        <v>26</v>
      </c>
      <c r="S8" s="16">
        <f>(P43/P23)^(1/20)-1</f>
        <v>2.1602221987682357E-2</v>
      </c>
      <c r="T8" t="e">
        <f ca="1">getformula(S8)</f>
        <v>#NAME?</v>
      </c>
      <c r="AA8" s="113">
        <v>1994</v>
      </c>
      <c r="AB8" s="15">
        <v>1.33</v>
      </c>
      <c r="AD8" s="113"/>
      <c r="AE8" s="15"/>
    </row>
    <row r="9" spans="1:32" x14ac:dyDescent="0.2">
      <c r="F9" s="162" t="s">
        <v>177</v>
      </c>
      <c r="G9" s="163">
        <f>G5*(1+G6)/G2+G6</f>
        <v>-4.1405154280897999E-2</v>
      </c>
      <c r="H9" s="138" t="e">
        <f ca="1">getformula(G9)</f>
        <v>#NAME?</v>
      </c>
      <c r="I9" s="138"/>
      <c r="K9" s="138"/>
      <c r="L9" s="138"/>
      <c r="M9" s="138"/>
      <c r="N9" s="138"/>
      <c r="O9" s="22">
        <v>37727</v>
      </c>
      <c r="P9" s="15">
        <v>0.17499999999999999</v>
      </c>
      <c r="R9" s="60" t="s">
        <v>27</v>
      </c>
      <c r="S9" s="53">
        <f>(1+S8)^4-1</f>
        <v>8.9249364912943996E-2</v>
      </c>
      <c r="T9" t="e">
        <f ca="1">getformula(S9)</f>
        <v>#NAME?</v>
      </c>
      <c r="AA9" s="113">
        <v>1995</v>
      </c>
      <c r="AB9" s="15">
        <v>1.23</v>
      </c>
      <c r="AD9" s="113"/>
      <c r="AE9" s="15"/>
    </row>
    <row r="10" spans="1:32" ht="18.75" x14ac:dyDescent="0.35">
      <c r="A10" t="s">
        <v>108</v>
      </c>
      <c r="F10" s="162" t="s">
        <v>178</v>
      </c>
      <c r="G10" s="163">
        <f>G5*(1+G7)/G2+G7</f>
        <v>0.15078768568751949</v>
      </c>
      <c r="H10" s="138" t="e">
        <f ca="1">getformula(G10)</f>
        <v>#NAME?</v>
      </c>
      <c r="I10" s="138"/>
      <c r="K10" s="138"/>
      <c r="L10" s="138"/>
      <c r="M10" s="138"/>
      <c r="N10" s="138"/>
      <c r="O10" s="22">
        <v>37819</v>
      </c>
      <c r="P10" s="15">
        <v>0.17499999999999999</v>
      </c>
      <c r="AA10" s="113">
        <v>1996</v>
      </c>
      <c r="AB10" s="15">
        <v>1.46</v>
      </c>
      <c r="AD10" s="113"/>
      <c r="AE10" s="15"/>
    </row>
    <row r="11" spans="1:32" x14ac:dyDescent="0.2">
      <c r="A11" s="90" t="s">
        <v>102</v>
      </c>
      <c r="B11" s="91">
        <f>$B$5/$B$2*(1+B7)+B7</f>
        <v>5.6363233532934133E-2</v>
      </c>
      <c r="C11" t="e">
        <f ca="1">getformula(B11)</f>
        <v>#NAME?</v>
      </c>
      <c r="F11" s="138"/>
      <c r="G11" s="138"/>
      <c r="H11" s="138"/>
      <c r="I11" s="138"/>
      <c r="K11" s="138"/>
      <c r="L11" s="138"/>
      <c r="M11" s="138"/>
      <c r="N11" s="138"/>
      <c r="O11" s="22">
        <v>37910</v>
      </c>
      <c r="P11" s="15">
        <v>0.185</v>
      </c>
      <c r="R11" s="425" t="s">
        <v>197</v>
      </c>
      <c r="S11" s="425"/>
      <c r="T11" s="425"/>
      <c r="AA11" s="113">
        <v>1997</v>
      </c>
      <c r="AB11" s="15">
        <v>1.64</v>
      </c>
      <c r="AD11" s="113"/>
      <c r="AE11" s="15"/>
    </row>
    <row r="12" spans="1:32" ht="18.75" x14ac:dyDescent="0.35">
      <c r="A12" s="90" t="s">
        <v>103</v>
      </c>
      <c r="B12" s="91">
        <f>$B$5/$B$2*(1+B8)+B8</f>
        <v>6.1252359281437116E-2</v>
      </c>
      <c r="C12" t="e">
        <f ca="1">getformula(B12)</f>
        <v>#NAME?</v>
      </c>
      <c r="F12" s="136" t="s">
        <v>173</v>
      </c>
      <c r="G12" s="136"/>
      <c r="H12" s="138"/>
      <c r="I12" s="138"/>
      <c r="K12" s="138"/>
      <c r="L12" s="138"/>
      <c r="M12" s="138"/>
      <c r="N12" s="138"/>
      <c r="O12" s="22">
        <v>38001</v>
      </c>
      <c r="P12" s="15">
        <v>0.185</v>
      </c>
      <c r="R12" t="s">
        <v>190</v>
      </c>
      <c r="S12" s="15">
        <v>90.6</v>
      </c>
      <c r="AA12" s="113">
        <v>1998</v>
      </c>
      <c r="AB12" s="15">
        <v>22.81</v>
      </c>
      <c r="AD12" s="113"/>
      <c r="AE12" s="15"/>
    </row>
    <row r="13" spans="1:32" ht="18.75" x14ac:dyDescent="0.35">
      <c r="F13" s="135" t="s">
        <v>21</v>
      </c>
      <c r="G13" s="135" t="s">
        <v>23</v>
      </c>
      <c r="H13" s="138"/>
      <c r="I13" s="138"/>
      <c r="K13" s="138"/>
      <c r="L13" s="138"/>
      <c r="M13" s="138"/>
      <c r="N13" s="138"/>
      <c r="O13" s="22">
        <v>38099</v>
      </c>
      <c r="P13" s="15">
        <v>0.185</v>
      </c>
      <c r="R13" t="s">
        <v>191</v>
      </c>
      <c r="S13" s="15">
        <v>0.7</v>
      </c>
      <c r="AA13" t="s">
        <v>561</v>
      </c>
      <c r="AB13" s="16">
        <f>(AB11/AB3)^(1/8)-1</f>
        <v>-7.2710538406066894E-2</v>
      </c>
      <c r="AC13" t="e">
        <f ca="1">getformula(AB13)</f>
        <v>#NAME?</v>
      </c>
      <c r="AE13" s="16"/>
    </row>
    <row r="14" spans="1:32" x14ac:dyDescent="0.2">
      <c r="F14" s="38">
        <v>39183</v>
      </c>
      <c r="G14" s="159">
        <v>0.18</v>
      </c>
      <c r="H14" s="138"/>
      <c r="I14" s="138"/>
      <c r="K14" s="138"/>
      <c r="L14" s="138"/>
      <c r="M14" s="138"/>
      <c r="N14" s="138"/>
      <c r="O14" s="22">
        <v>38184</v>
      </c>
      <c r="P14" s="15">
        <v>0.20499999999999999</v>
      </c>
      <c r="R14" t="s">
        <v>535</v>
      </c>
      <c r="S14" s="16">
        <f>S9</f>
        <v>8.9249364912943996E-2</v>
      </c>
      <c r="T14" t="e">
        <f ca="1">getformula(S14)</f>
        <v>#NAME?</v>
      </c>
      <c r="AA14" t="s">
        <v>562</v>
      </c>
      <c r="AB14" s="16">
        <f>(AB12/AB3)^(1/9)-1</f>
        <v>0.25282190071375465</v>
      </c>
      <c r="AC14" t="e">
        <f ca="1">getformula(AB14)</f>
        <v>#NAME?</v>
      </c>
      <c r="AE14" s="16"/>
    </row>
    <row r="15" spans="1:32" ht="18.75" x14ac:dyDescent="0.35">
      <c r="F15" s="38">
        <v>39274</v>
      </c>
      <c r="G15" s="159">
        <v>0.18</v>
      </c>
      <c r="H15" s="138"/>
      <c r="I15" s="138"/>
      <c r="K15" s="138"/>
      <c r="L15" s="138"/>
      <c r="M15" s="138"/>
      <c r="N15" s="138"/>
      <c r="O15" s="22">
        <v>38281</v>
      </c>
      <c r="P15" s="15">
        <v>0.20499999999999999</v>
      </c>
      <c r="R15" s="60" t="s">
        <v>536</v>
      </c>
      <c r="S15" s="212">
        <f>S13*(1+S14)/S12+S14</f>
        <v>9.7665198858187488E-2</v>
      </c>
      <c r="T15" t="e">
        <f ca="1">getformula(S15)</f>
        <v>#NAME?</v>
      </c>
    </row>
    <row r="16" spans="1:32" x14ac:dyDescent="0.2">
      <c r="F16" s="38">
        <v>39365</v>
      </c>
      <c r="G16" s="159">
        <v>0.18</v>
      </c>
      <c r="H16" s="138"/>
      <c r="I16" s="138"/>
      <c r="K16" s="138"/>
      <c r="L16" s="138"/>
      <c r="M16" s="138"/>
      <c r="N16" s="138"/>
      <c r="O16" s="22">
        <v>38370</v>
      </c>
      <c r="P16" s="15">
        <v>0.20499999999999999</v>
      </c>
    </row>
    <row r="17" spans="6:32" ht="15" customHeight="1" x14ac:dyDescent="0.2">
      <c r="F17" s="38">
        <v>39456</v>
      </c>
      <c r="G17" s="159">
        <v>0.2</v>
      </c>
      <c r="H17" s="138"/>
      <c r="I17" s="138"/>
      <c r="K17" s="138"/>
      <c r="L17" s="138"/>
      <c r="M17" s="138"/>
      <c r="N17" s="138"/>
      <c r="O17" s="22">
        <v>38463</v>
      </c>
      <c r="P17" s="15">
        <v>0.20499999999999999</v>
      </c>
      <c r="AA17" s="428" t="s">
        <v>563</v>
      </c>
      <c r="AB17" s="428"/>
      <c r="AC17" s="428"/>
      <c r="AD17" s="428"/>
      <c r="AE17" s="428"/>
      <c r="AF17" s="428"/>
    </row>
    <row r="18" spans="6:32" ht="15" x14ac:dyDescent="0.25">
      <c r="F18" s="38">
        <v>39547</v>
      </c>
      <c r="G18" s="159">
        <v>0.2</v>
      </c>
      <c r="H18" s="138"/>
      <c r="I18" s="138"/>
      <c r="K18" s="138"/>
      <c r="L18" s="138"/>
      <c r="M18" s="138"/>
      <c r="N18" s="138"/>
      <c r="O18" s="22">
        <v>38553</v>
      </c>
      <c r="P18" s="15">
        <v>0.25</v>
      </c>
      <c r="AA18" s="51" t="s">
        <v>559</v>
      </c>
      <c r="AB18" s="51" t="s">
        <v>560</v>
      </c>
      <c r="AD18" s="51"/>
      <c r="AE18" s="51"/>
    </row>
    <row r="19" spans="6:32" x14ac:dyDescent="0.2">
      <c r="F19" s="38">
        <v>39638</v>
      </c>
      <c r="G19" s="159">
        <v>0.2</v>
      </c>
      <c r="H19" s="138"/>
      <c r="I19" s="138"/>
      <c r="K19" s="138"/>
      <c r="L19" s="138"/>
      <c r="M19" s="138"/>
      <c r="N19" s="138"/>
      <c r="O19" s="22">
        <v>38645</v>
      </c>
      <c r="P19" s="15">
        <v>0.25</v>
      </c>
      <c r="AA19" s="113">
        <v>1989</v>
      </c>
      <c r="AB19" s="15">
        <v>3</v>
      </c>
      <c r="AD19" s="113"/>
      <c r="AE19" s="15"/>
    </row>
    <row r="20" spans="6:32" x14ac:dyDescent="0.2">
      <c r="F20" s="38">
        <v>40549</v>
      </c>
      <c r="G20" s="159">
        <v>0.1</v>
      </c>
      <c r="H20" s="138"/>
      <c r="I20" s="138"/>
      <c r="K20" s="138"/>
      <c r="L20" s="138"/>
      <c r="M20" s="138"/>
      <c r="N20" s="138"/>
      <c r="O20" s="22">
        <v>38735</v>
      </c>
      <c r="P20" s="15">
        <v>0.25</v>
      </c>
      <c r="AA20" s="113">
        <v>1990</v>
      </c>
      <c r="AB20" s="15">
        <v>3</v>
      </c>
      <c r="AD20" s="113"/>
      <c r="AE20" s="15"/>
    </row>
    <row r="21" spans="6:32" x14ac:dyDescent="0.2">
      <c r="F21" s="38">
        <v>40641</v>
      </c>
      <c r="G21" s="159">
        <v>0.1</v>
      </c>
      <c r="H21" s="138"/>
      <c r="I21" s="138"/>
      <c r="K21" s="138"/>
      <c r="L21" s="138"/>
      <c r="M21" s="138"/>
      <c r="N21" s="138"/>
      <c r="O21" s="22">
        <v>38827</v>
      </c>
      <c r="P21" s="15">
        <v>0.25</v>
      </c>
      <c r="AA21" s="113">
        <v>1991</v>
      </c>
      <c r="AB21" s="15">
        <v>1.95</v>
      </c>
      <c r="AD21" s="113"/>
      <c r="AE21" s="15"/>
    </row>
    <row r="22" spans="6:32" x14ac:dyDescent="0.2">
      <c r="F22" s="38">
        <v>40716</v>
      </c>
      <c r="G22" s="159">
        <v>0.1</v>
      </c>
      <c r="H22" s="138"/>
      <c r="I22" s="138"/>
      <c r="K22" s="138"/>
      <c r="L22" s="138"/>
      <c r="M22" s="138"/>
      <c r="N22" s="138"/>
      <c r="O22" s="22">
        <v>38916</v>
      </c>
      <c r="P22" s="15">
        <v>0.3</v>
      </c>
      <c r="AA22" s="113">
        <v>1992</v>
      </c>
      <c r="AB22" s="15">
        <v>1.6</v>
      </c>
      <c r="AD22" s="113"/>
      <c r="AE22" s="15"/>
    </row>
    <row r="23" spans="6:32" x14ac:dyDescent="0.2">
      <c r="F23" s="38">
        <v>40801</v>
      </c>
      <c r="G23" s="159">
        <v>0.1</v>
      </c>
      <c r="H23" s="138"/>
      <c r="I23" s="138"/>
      <c r="K23" s="138"/>
      <c r="L23" s="138"/>
      <c r="M23" s="138"/>
      <c r="N23" s="138"/>
      <c r="O23" s="22">
        <v>39009</v>
      </c>
      <c r="P23" s="15">
        <v>0.3</v>
      </c>
      <c r="AA23" s="113">
        <v>1993</v>
      </c>
      <c r="AB23" s="15">
        <v>1.6</v>
      </c>
      <c r="AD23" s="113"/>
      <c r="AE23" s="15"/>
    </row>
    <row r="24" spans="6:32" x14ac:dyDescent="0.2">
      <c r="F24" s="38">
        <v>40919</v>
      </c>
      <c r="G24" s="159">
        <v>0.14000000000000001</v>
      </c>
      <c r="H24" s="138"/>
      <c r="I24" s="138"/>
      <c r="K24" s="138"/>
      <c r="L24" s="138"/>
      <c r="M24" s="138"/>
      <c r="N24" s="138"/>
      <c r="O24" s="22">
        <v>39100</v>
      </c>
      <c r="P24" s="15">
        <v>0.3</v>
      </c>
      <c r="AA24" s="113">
        <v>1994</v>
      </c>
      <c r="AB24" s="15">
        <v>1.33</v>
      </c>
      <c r="AD24" s="113"/>
      <c r="AE24" s="15"/>
    </row>
    <row r="25" spans="6:32" x14ac:dyDescent="0.2">
      <c r="F25" s="38">
        <v>41002</v>
      </c>
      <c r="G25" s="159">
        <v>0.14000000000000001</v>
      </c>
      <c r="H25" s="138"/>
      <c r="I25" s="138"/>
      <c r="K25" s="138"/>
      <c r="L25" s="138"/>
      <c r="M25" s="138"/>
      <c r="N25" s="138"/>
      <c r="O25" s="22">
        <v>39191</v>
      </c>
      <c r="P25" s="15">
        <v>0.3</v>
      </c>
      <c r="AA25" s="113">
        <v>1995</v>
      </c>
      <c r="AB25" s="15">
        <v>1.23</v>
      </c>
      <c r="AD25" s="113"/>
      <c r="AE25" s="15"/>
    </row>
    <row r="26" spans="6:32" x14ac:dyDescent="0.2">
      <c r="F26" s="38">
        <v>41087</v>
      </c>
      <c r="G26" s="159">
        <v>0.14000000000000001</v>
      </c>
      <c r="H26" s="138"/>
      <c r="I26" s="138"/>
      <c r="K26" s="138"/>
      <c r="L26" s="138"/>
      <c r="M26" s="138"/>
      <c r="N26" s="138"/>
      <c r="O26" s="22">
        <v>39281</v>
      </c>
      <c r="P26" s="15">
        <v>0.36</v>
      </c>
      <c r="AA26" s="113">
        <v>1996</v>
      </c>
      <c r="AB26" s="15">
        <v>1.46</v>
      </c>
      <c r="AD26" s="113"/>
      <c r="AE26" s="15"/>
    </row>
    <row r="27" spans="6:32" x14ac:dyDescent="0.2">
      <c r="F27" s="135"/>
      <c r="G27" s="138"/>
      <c r="H27" s="138"/>
      <c r="I27" s="138"/>
      <c r="K27" s="138"/>
      <c r="L27" s="138"/>
      <c r="M27" s="138"/>
      <c r="N27" s="138"/>
      <c r="O27" s="22">
        <v>39373</v>
      </c>
      <c r="P27" s="15">
        <v>0.36</v>
      </c>
      <c r="AA27" s="113">
        <v>1997</v>
      </c>
      <c r="AB27" s="15">
        <v>1.64</v>
      </c>
      <c r="AD27" s="113"/>
      <c r="AE27" s="15"/>
    </row>
    <row r="28" spans="6:32" x14ac:dyDescent="0.2">
      <c r="F28" s="138" t="s">
        <v>174</v>
      </c>
      <c r="G28" s="159">
        <f>(F26-F14)/365</f>
        <v>5.2164383561643834</v>
      </c>
      <c r="H28" s="138" t="e">
        <f ca="1">getformula(G28)</f>
        <v>#NAME?</v>
      </c>
      <c r="I28" s="138"/>
      <c r="K28" s="138"/>
      <c r="L28" s="138"/>
      <c r="M28" s="138"/>
      <c r="N28" s="138"/>
      <c r="O28" s="22">
        <v>39464</v>
      </c>
      <c r="P28" s="15">
        <v>0.36</v>
      </c>
      <c r="AA28" s="113">
        <v>1998</v>
      </c>
      <c r="AB28" s="15">
        <v>1.72</v>
      </c>
      <c r="AD28" s="113"/>
      <c r="AE28" s="15"/>
    </row>
    <row r="29" spans="6:32" x14ac:dyDescent="0.2">
      <c r="O29" s="22">
        <v>39555</v>
      </c>
      <c r="P29" s="15">
        <v>0.36</v>
      </c>
      <c r="AA29" t="s">
        <v>564</v>
      </c>
      <c r="AB29" s="16">
        <f>(AB28/AB24)^(1/4)-1</f>
        <v>6.639770432646741E-2</v>
      </c>
      <c r="AC29" t="e">
        <f ca="1">getformula(AB29)</f>
        <v>#NAME?</v>
      </c>
      <c r="AE29" s="16"/>
    </row>
    <row r="30" spans="6:32" x14ac:dyDescent="0.2">
      <c r="O30" s="22">
        <v>39646</v>
      </c>
      <c r="P30" s="15">
        <v>0.42</v>
      </c>
      <c r="AA30" t="s">
        <v>565</v>
      </c>
      <c r="AB30" s="15">
        <v>58.69</v>
      </c>
      <c r="AE30" s="15"/>
    </row>
    <row r="31" spans="6:32" x14ac:dyDescent="0.2">
      <c r="O31" s="22">
        <v>39737</v>
      </c>
      <c r="P31" s="15">
        <v>0.42</v>
      </c>
      <c r="R31" s="13"/>
      <c r="AA31" t="s">
        <v>566</v>
      </c>
      <c r="AB31" s="165">
        <f>AB28*(1+AB29)/AB30+AB29</f>
        <v>9.7650116175871465E-2</v>
      </c>
      <c r="AC31" t="e">
        <f ca="1">getformula(AB31)</f>
        <v>#NAME?</v>
      </c>
      <c r="AE31" s="145"/>
    </row>
    <row r="32" spans="6:32" x14ac:dyDescent="0.2">
      <c r="O32" s="22">
        <v>39828</v>
      </c>
      <c r="P32" s="15">
        <v>0.42</v>
      </c>
      <c r="R32" s="13"/>
    </row>
    <row r="33" spans="15:16" x14ac:dyDescent="0.2">
      <c r="O33" s="22">
        <v>39919</v>
      </c>
      <c r="P33" s="15">
        <v>0.42</v>
      </c>
    </row>
    <row r="34" spans="15:16" x14ac:dyDescent="0.2">
      <c r="O34" s="22">
        <v>40010</v>
      </c>
      <c r="P34" s="15">
        <v>0.42</v>
      </c>
    </row>
    <row r="35" spans="15:16" x14ac:dyDescent="0.2">
      <c r="O35" s="22">
        <v>40108</v>
      </c>
      <c r="P35" s="15">
        <v>0.42</v>
      </c>
    </row>
    <row r="36" spans="15:16" x14ac:dyDescent="0.2">
      <c r="O36" s="22">
        <v>40193</v>
      </c>
      <c r="P36" s="15">
        <v>0.42</v>
      </c>
    </row>
    <row r="37" spans="15:16" x14ac:dyDescent="0.2">
      <c r="O37" s="22">
        <v>40290</v>
      </c>
      <c r="P37" s="15">
        <v>0.42</v>
      </c>
    </row>
    <row r="38" spans="15:16" x14ac:dyDescent="0.2">
      <c r="O38" s="22">
        <v>40375</v>
      </c>
      <c r="P38" s="15">
        <v>0.44</v>
      </c>
    </row>
    <row r="39" spans="15:16" x14ac:dyDescent="0.2">
      <c r="O39" s="22">
        <v>40472</v>
      </c>
      <c r="P39" s="15">
        <v>0.44</v>
      </c>
    </row>
    <row r="40" spans="15:16" x14ac:dyDescent="0.2">
      <c r="O40" s="22">
        <v>40561</v>
      </c>
      <c r="P40" s="15">
        <v>0.44</v>
      </c>
    </row>
    <row r="41" spans="15:16" x14ac:dyDescent="0.2">
      <c r="O41" s="22">
        <v>40653</v>
      </c>
      <c r="P41" s="15">
        <v>0.44</v>
      </c>
    </row>
    <row r="42" spans="15:16" x14ac:dyDescent="0.2">
      <c r="O42" s="22">
        <v>40742</v>
      </c>
      <c r="P42" s="15">
        <v>0.46</v>
      </c>
    </row>
    <row r="43" spans="15:16" x14ac:dyDescent="0.2">
      <c r="O43" s="22">
        <v>40836</v>
      </c>
      <c r="P43" s="15">
        <v>0.46</v>
      </c>
    </row>
  </sheetData>
  <mergeCells count="10">
    <mergeCell ref="A1:C1"/>
    <mergeCell ref="O1:T1"/>
    <mergeCell ref="R2:T2"/>
    <mergeCell ref="R3:T3"/>
    <mergeCell ref="R7:T7"/>
    <mergeCell ref="R11:T11"/>
    <mergeCell ref="AD1:AF1"/>
    <mergeCell ref="AD17:AF17"/>
    <mergeCell ref="AA1:AC1"/>
    <mergeCell ref="AA17:AC17"/>
  </mergeCells>
  <printOptions headings="1" gridLines="1"/>
  <pageMargins left="0.7" right="0.7" top="0.75" bottom="0.75" header="0.3" footer="0.3"/>
  <pageSetup paperSize="9" orientation="portrait" verticalDpi="4"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dimension ref="A1:BF21"/>
  <sheetViews>
    <sheetView topLeftCell="A10" zoomScale="80" zoomScaleNormal="80" workbookViewId="0">
      <selection activeCell="M4" sqref="M4"/>
    </sheetView>
  </sheetViews>
  <sheetFormatPr defaultRowHeight="14.25" x14ac:dyDescent="0.2"/>
  <cols>
    <col min="1" max="1" width="18.25" customWidth="1"/>
    <col min="2" max="2" width="9.75" customWidth="1"/>
    <col min="3" max="4" width="12.25" customWidth="1"/>
    <col min="6" max="6" width="13.875" bestFit="1" customWidth="1"/>
    <col min="9" max="9" width="22.5" customWidth="1"/>
    <col min="22" max="22" width="15" customWidth="1"/>
  </cols>
  <sheetData>
    <row r="1" spans="1:58" ht="18" x14ac:dyDescent="0.25">
      <c r="A1" s="422" t="s">
        <v>32</v>
      </c>
      <c r="B1" s="422"/>
      <c r="C1" s="422"/>
      <c r="D1" s="422"/>
      <c r="E1" s="422"/>
      <c r="F1" s="422"/>
      <c r="I1" s="422" t="s">
        <v>532</v>
      </c>
      <c r="J1" s="422"/>
      <c r="K1" s="422"/>
      <c r="L1" s="422"/>
      <c r="M1" s="422"/>
      <c r="N1" s="422"/>
      <c r="V1" s="422" t="s">
        <v>179</v>
      </c>
      <c r="W1" s="422"/>
      <c r="X1" s="422"/>
      <c r="Y1" s="422"/>
      <c r="Z1" s="422"/>
      <c r="AA1" s="422"/>
    </row>
    <row r="2" spans="1:58" ht="55.9" customHeight="1" x14ac:dyDescent="0.25">
      <c r="B2" s="57" t="s">
        <v>22</v>
      </c>
      <c r="C2" s="57" t="s">
        <v>33</v>
      </c>
      <c r="D2" s="57" t="s">
        <v>35</v>
      </c>
      <c r="E2" s="57" t="s">
        <v>34</v>
      </c>
      <c r="F2" s="19"/>
      <c r="J2" s="57" t="s">
        <v>22</v>
      </c>
      <c r="K2" s="57" t="s">
        <v>533</v>
      </c>
      <c r="L2" s="57" t="s">
        <v>35</v>
      </c>
      <c r="M2" s="57" t="s">
        <v>34</v>
      </c>
      <c r="N2" s="19"/>
      <c r="W2" s="57" t="s">
        <v>22</v>
      </c>
      <c r="X2" s="57" t="s">
        <v>180</v>
      </c>
      <c r="Y2" s="57" t="s">
        <v>181</v>
      </c>
      <c r="Z2" s="57" t="s">
        <v>34</v>
      </c>
      <c r="AA2" s="19"/>
    </row>
    <row r="3" spans="1:58" x14ac:dyDescent="0.2">
      <c r="A3" s="23">
        <v>2007</v>
      </c>
      <c r="B3" s="13">
        <v>3307.3</v>
      </c>
      <c r="C3" s="13">
        <v>1429.7</v>
      </c>
      <c r="D3" s="13">
        <v>898.6</v>
      </c>
      <c r="E3" s="13">
        <f>B3+C3-D3</f>
        <v>3838.4</v>
      </c>
      <c r="F3" t="e">
        <f ca="1">getformula(E3)</f>
        <v>#NAME?</v>
      </c>
      <c r="I3" s="113">
        <v>2007</v>
      </c>
      <c r="J3" s="13">
        <v>96742</v>
      </c>
      <c r="K3" s="13">
        <v>54383</v>
      </c>
      <c r="L3" s="13"/>
      <c r="M3" s="13">
        <f>J3-K3</f>
        <v>42359</v>
      </c>
      <c r="N3" t="e">
        <f ca="1">getformula(M3)</f>
        <v>#NAME?</v>
      </c>
      <c r="V3" s="135">
        <v>39447</v>
      </c>
      <c r="W3" s="13">
        <v>845</v>
      </c>
      <c r="X3" s="13">
        <v>-328</v>
      </c>
      <c r="Y3" s="13">
        <v>2405</v>
      </c>
      <c r="Z3" s="13">
        <f>W3+X3+Y3</f>
        <v>2922</v>
      </c>
      <c r="AA3" t="e">
        <f ca="1">getformula(Z3)</f>
        <v>#NAME?</v>
      </c>
    </row>
    <row r="4" spans="1:58" x14ac:dyDescent="0.2">
      <c r="A4" s="23">
        <v>2008</v>
      </c>
      <c r="B4" s="13">
        <v>3278.5</v>
      </c>
      <c r="C4" s="13">
        <v>2725</v>
      </c>
      <c r="D4" s="13">
        <v>102.3</v>
      </c>
      <c r="E4" s="13">
        <f t="shared" ref="E4:E7" si="0">B4+C4-D4</f>
        <v>5901.2</v>
      </c>
      <c r="I4" s="113">
        <v>2008</v>
      </c>
      <c r="J4" s="13">
        <v>109072</v>
      </c>
      <c r="K4" s="13">
        <v>18019</v>
      </c>
      <c r="L4" s="13"/>
      <c r="M4" s="13">
        <f t="shared" ref="M4:M7" si="1">J4-K4</f>
        <v>91053</v>
      </c>
      <c r="V4" s="135">
        <v>39813</v>
      </c>
      <c r="W4" s="13">
        <v>953</v>
      </c>
      <c r="X4" s="13">
        <v>-135</v>
      </c>
      <c r="Y4" s="13">
        <v>1800</v>
      </c>
      <c r="Z4" s="13">
        <f>W4+X4+Y4</f>
        <v>2618</v>
      </c>
    </row>
    <row r="5" spans="1:58" x14ac:dyDescent="0.2">
      <c r="A5" s="23">
        <v>2009</v>
      </c>
      <c r="B5" s="13">
        <v>3215</v>
      </c>
      <c r="C5" s="13">
        <v>0</v>
      </c>
      <c r="D5" s="13">
        <v>186</v>
      </c>
      <c r="E5" s="13">
        <f t="shared" si="0"/>
        <v>3029</v>
      </c>
      <c r="I5" s="113">
        <v>2009</v>
      </c>
      <c r="J5" s="13">
        <v>0</v>
      </c>
      <c r="K5" s="13">
        <v>4286</v>
      </c>
      <c r="L5" s="13"/>
      <c r="M5" s="13">
        <f t="shared" si="1"/>
        <v>-4286</v>
      </c>
      <c r="V5" s="135">
        <v>40178</v>
      </c>
      <c r="W5" s="13">
        <v>1029</v>
      </c>
      <c r="X5" s="13">
        <v>-89</v>
      </c>
      <c r="Y5" s="13"/>
      <c r="Z5" s="13">
        <f>W5+X5+Y5</f>
        <v>940</v>
      </c>
    </row>
    <row r="6" spans="1:58" x14ac:dyDescent="0.2">
      <c r="A6" s="23">
        <v>2010</v>
      </c>
      <c r="B6" s="13">
        <v>4734</v>
      </c>
      <c r="C6" s="13">
        <v>1593</v>
      </c>
      <c r="D6" s="13">
        <v>363</v>
      </c>
      <c r="E6" s="13">
        <f t="shared" si="0"/>
        <v>5964</v>
      </c>
      <c r="I6" s="113">
        <v>2010</v>
      </c>
      <c r="J6" s="13">
        <v>0</v>
      </c>
      <c r="K6" s="13">
        <v>46962</v>
      </c>
      <c r="L6" s="13"/>
      <c r="M6" s="13">
        <f t="shared" si="1"/>
        <v>-46962</v>
      </c>
      <c r="V6" s="135">
        <v>40543</v>
      </c>
      <c r="W6" s="13">
        <v>1084</v>
      </c>
      <c r="X6" s="13">
        <v>-296</v>
      </c>
      <c r="Y6" s="13"/>
      <c r="Z6" s="13">
        <f>W6+X6+Y6</f>
        <v>788</v>
      </c>
    </row>
    <row r="7" spans="1:58" x14ac:dyDescent="0.2">
      <c r="A7" s="23">
        <v>2011</v>
      </c>
      <c r="B7" s="13">
        <v>4818</v>
      </c>
      <c r="C7" s="13">
        <v>1921</v>
      </c>
      <c r="D7" s="13">
        <v>321</v>
      </c>
      <c r="E7" s="13">
        <f t="shared" si="0"/>
        <v>6418</v>
      </c>
      <c r="I7" s="113">
        <v>2011</v>
      </c>
      <c r="J7" s="13">
        <v>52620</v>
      </c>
      <c r="K7" s="13">
        <v>296719</v>
      </c>
      <c r="L7" s="13"/>
      <c r="M7" s="13">
        <f t="shared" si="1"/>
        <v>-244099</v>
      </c>
      <c r="V7" s="135">
        <v>40908</v>
      </c>
      <c r="W7" s="13">
        <v>1159</v>
      </c>
      <c r="X7" s="13">
        <v>-123</v>
      </c>
      <c r="Y7" s="13"/>
      <c r="Z7" s="13">
        <f>W7+X7+Y7</f>
        <v>1036</v>
      </c>
    </row>
    <row r="9" spans="1:58" x14ac:dyDescent="0.2">
      <c r="A9" s="60" t="s">
        <v>36</v>
      </c>
      <c r="B9" s="53">
        <f>(E7/E3)^(1/4)-1</f>
        <v>0.13713589966372908</v>
      </c>
      <c r="C9" t="e">
        <f ca="1">getformula(B9)</f>
        <v>#NAME?</v>
      </c>
      <c r="I9" s="60" t="s">
        <v>36</v>
      </c>
      <c r="J9" s="53"/>
      <c r="V9" s="60" t="s">
        <v>182</v>
      </c>
      <c r="W9" s="53">
        <f>(Z7/Z3)^(1/4)-1</f>
        <v>-0.22835084321043697</v>
      </c>
      <c r="X9" t="e">
        <f ca="1">getformula(W9)</f>
        <v>#NAME?</v>
      </c>
    </row>
    <row r="10" spans="1:58" x14ac:dyDescent="0.2">
      <c r="B10" s="16"/>
      <c r="J10" s="16"/>
      <c r="V10" s="60" t="s">
        <v>183</v>
      </c>
      <c r="W10" s="53">
        <f>(Z7/Z5)^(1/2)-1</f>
        <v>4.9822680062908464E-2</v>
      </c>
      <c r="X10" t="e">
        <f ca="1">getformula(W10)</f>
        <v>#NAME?</v>
      </c>
    </row>
    <row r="11" spans="1:58" ht="18.75" x14ac:dyDescent="0.35">
      <c r="A11" s="62" t="s">
        <v>112</v>
      </c>
      <c r="B11" s="63"/>
      <c r="C11" s="62"/>
      <c r="D11" s="62"/>
      <c r="E11" s="62"/>
      <c r="I11" s="62" t="s">
        <v>112</v>
      </c>
      <c r="J11" s="63"/>
      <c r="K11" s="62"/>
      <c r="L11" s="62"/>
      <c r="M11" s="62"/>
      <c r="V11" s="76"/>
      <c r="W11" s="54"/>
    </row>
    <row r="12" spans="1:58" ht="28.5" x14ac:dyDescent="0.2">
      <c r="A12" s="52" t="s">
        <v>111</v>
      </c>
      <c r="B12" s="59">
        <f>(3576948356-536109713)/1000000</f>
        <v>3040.838643</v>
      </c>
      <c r="I12" s="142" t="s">
        <v>111</v>
      </c>
      <c r="J12" s="59"/>
      <c r="V12" s="76"/>
      <c r="W12" s="54"/>
    </row>
    <row r="13" spans="1:58" x14ac:dyDescent="0.2">
      <c r="A13" t="s">
        <v>109</v>
      </c>
      <c r="B13" s="58">
        <v>41.75</v>
      </c>
      <c r="I13" t="s">
        <v>109</v>
      </c>
      <c r="J13" s="58"/>
      <c r="V13" s="76"/>
      <c r="W13" s="54"/>
      <c r="X13" s="76"/>
      <c r="Y13" s="76"/>
      <c r="Z13" s="76"/>
      <c r="AA13" s="76"/>
      <c r="AB13" s="76"/>
      <c r="AC13" s="76"/>
      <c r="AD13" s="76"/>
      <c r="AE13" s="76"/>
      <c r="AF13" s="76"/>
      <c r="AG13" s="76"/>
      <c r="AH13" s="76"/>
      <c r="AI13" s="76"/>
      <c r="AJ13" s="76"/>
      <c r="AK13" s="76"/>
      <c r="AL13" s="76"/>
      <c r="AM13" s="76"/>
      <c r="AN13" s="76"/>
      <c r="AO13" s="76"/>
      <c r="AP13" s="76"/>
      <c r="AQ13" s="76"/>
      <c r="AR13" s="76"/>
      <c r="AS13" s="76"/>
      <c r="AT13" s="76"/>
      <c r="AU13" s="76"/>
      <c r="AV13" s="76"/>
      <c r="AW13" s="76"/>
      <c r="AX13" s="76"/>
      <c r="AY13" s="76"/>
      <c r="AZ13" s="76"/>
      <c r="BA13" s="76"/>
      <c r="BB13" s="76"/>
      <c r="BC13" s="76"/>
      <c r="BD13" s="76"/>
      <c r="BE13" s="76"/>
      <c r="BF13" s="76"/>
    </row>
    <row r="14" spans="1:58" x14ac:dyDescent="0.2">
      <c r="A14" t="s">
        <v>110</v>
      </c>
      <c r="B14" s="13">
        <f>B12*B13</f>
        <v>126955.01334525</v>
      </c>
      <c r="C14" t="e">
        <f ca="1">getformula(B14)&amp;", $ million"</f>
        <v>#NAME?</v>
      </c>
      <c r="I14" t="s">
        <v>110</v>
      </c>
      <c r="J14" s="13"/>
      <c r="V14" s="76"/>
      <c r="W14" s="54"/>
      <c r="X14" s="76"/>
      <c r="Y14" s="76"/>
      <c r="Z14" s="76"/>
      <c r="AA14" s="76"/>
      <c r="AB14" s="76"/>
      <c r="AC14" s="76"/>
      <c r="AD14" s="76"/>
      <c r="AE14" s="76"/>
      <c r="AF14" s="76"/>
      <c r="AG14" s="76"/>
      <c r="AH14" s="76"/>
      <c r="AI14" s="76"/>
      <c r="AJ14" s="76"/>
      <c r="AK14" s="76"/>
      <c r="AL14" s="76"/>
      <c r="AM14" s="76"/>
      <c r="AN14" s="76"/>
      <c r="AO14" s="76"/>
      <c r="AP14" s="76"/>
      <c r="AQ14" s="76"/>
      <c r="AR14" s="76"/>
      <c r="AS14" s="76"/>
      <c r="AT14" s="76"/>
      <c r="AU14" s="76"/>
      <c r="AV14" s="76"/>
      <c r="AW14" s="76"/>
      <c r="AX14" s="76"/>
      <c r="AY14" s="76"/>
      <c r="AZ14" s="76"/>
      <c r="BA14" s="76"/>
      <c r="BB14" s="76"/>
      <c r="BC14" s="76"/>
      <c r="BD14" s="76"/>
      <c r="BE14" s="76"/>
      <c r="BF14" s="76"/>
    </row>
    <row r="15" spans="1:58" x14ac:dyDescent="0.2">
      <c r="V15" s="77"/>
      <c r="W15" s="78"/>
      <c r="X15" s="76"/>
      <c r="Y15" s="76"/>
      <c r="Z15" s="76"/>
      <c r="AA15" s="76"/>
      <c r="AB15" s="76"/>
      <c r="AC15" s="76"/>
      <c r="AD15" s="76"/>
      <c r="AE15" s="76"/>
      <c r="AF15" s="76"/>
      <c r="AG15" s="76"/>
      <c r="AH15" s="76"/>
      <c r="AI15" s="76"/>
      <c r="AJ15" s="76"/>
      <c r="AK15" s="76"/>
      <c r="AL15" s="76"/>
      <c r="AM15" s="76"/>
      <c r="AN15" s="76"/>
      <c r="AO15" s="76"/>
      <c r="AP15" s="76"/>
      <c r="AQ15" s="76"/>
      <c r="AR15" s="76"/>
      <c r="AS15" s="76"/>
      <c r="AT15" s="76"/>
      <c r="AU15" s="76"/>
      <c r="AV15" s="76"/>
      <c r="AW15" s="76"/>
      <c r="AX15" s="76"/>
      <c r="AY15" s="76"/>
      <c r="AZ15" s="76"/>
      <c r="BA15" s="76"/>
      <c r="BB15" s="76"/>
      <c r="BC15" s="76"/>
      <c r="BD15" s="76"/>
      <c r="BE15" s="76"/>
      <c r="BF15" s="76"/>
    </row>
    <row r="16" spans="1:58" ht="33" x14ac:dyDescent="0.35">
      <c r="A16" s="61" t="s">
        <v>108</v>
      </c>
      <c r="B16" s="53">
        <f>E7*(1+B9)/B14+B9</f>
        <v>0.19462191783454968</v>
      </c>
      <c r="C16" t="e">
        <f ca="1">getformula(B16)</f>
        <v>#NAME?</v>
      </c>
      <c r="I16" s="143" t="s">
        <v>108</v>
      </c>
      <c r="J16" s="53"/>
      <c r="V16" s="76"/>
      <c r="W16" s="79"/>
      <c r="X16" s="76"/>
      <c r="Y16" s="76"/>
      <c r="Z16" s="76"/>
      <c r="AA16" s="76"/>
      <c r="AB16" s="76"/>
      <c r="AC16" s="76"/>
      <c r="AD16" s="76"/>
      <c r="AE16" s="76"/>
      <c r="AF16" s="76"/>
      <c r="AG16" s="76"/>
      <c r="AH16" s="76"/>
      <c r="AI16" s="76"/>
      <c r="AJ16" s="76"/>
      <c r="AK16" s="76"/>
      <c r="AL16" s="76"/>
      <c r="AM16" s="76"/>
      <c r="AN16" s="76"/>
      <c r="AO16" s="76"/>
      <c r="AP16" s="76"/>
      <c r="AQ16" s="76"/>
      <c r="AR16" s="76"/>
      <c r="AS16" s="76"/>
      <c r="AT16" s="76"/>
      <c r="AU16" s="76"/>
      <c r="AV16" s="76"/>
      <c r="AW16" s="76"/>
      <c r="AX16" s="76"/>
      <c r="AY16" s="76"/>
      <c r="AZ16" s="76"/>
      <c r="BA16" s="76"/>
      <c r="BB16" s="76"/>
      <c r="BC16" s="76"/>
      <c r="BD16" s="76"/>
      <c r="BE16" s="76"/>
      <c r="BF16" s="76"/>
    </row>
    <row r="17" spans="22:58" x14ac:dyDescent="0.2">
      <c r="V17" s="76"/>
      <c r="W17" s="80"/>
      <c r="X17" s="76"/>
      <c r="Y17" s="76"/>
      <c r="Z17" s="76"/>
      <c r="AA17" s="76"/>
      <c r="AB17" s="76"/>
      <c r="AC17" s="76"/>
      <c r="AD17" s="76"/>
      <c r="AE17" s="76"/>
      <c r="AF17" s="76"/>
      <c r="AG17" s="76"/>
      <c r="AH17" s="76"/>
      <c r="AI17" s="76"/>
      <c r="AJ17" s="76"/>
      <c r="AK17" s="76"/>
      <c r="AL17" s="76"/>
      <c r="AM17" s="76"/>
      <c r="AN17" s="76"/>
      <c r="AO17" s="76"/>
      <c r="AP17" s="76"/>
      <c r="AQ17" s="76"/>
      <c r="AR17" s="76"/>
      <c r="AS17" s="76"/>
      <c r="AT17" s="76"/>
      <c r="AU17" s="76"/>
      <c r="AV17" s="76"/>
      <c r="AW17" s="76"/>
      <c r="AX17" s="76"/>
      <c r="AY17" s="76"/>
      <c r="AZ17" s="76"/>
      <c r="BA17" s="76"/>
      <c r="BB17" s="76"/>
      <c r="BC17" s="76"/>
      <c r="BD17" s="76"/>
      <c r="BE17" s="76"/>
      <c r="BF17" s="76"/>
    </row>
    <row r="18" spans="22:58" x14ac:dyDescent="0.2">
      <c r="V18" s="76"/>
      <c r="W18" s="76"/>
      <c r="X18" s="76"/>
      <c r="Y18" s="76"/>
      <c r="Z18" s="76"/>
      <c r="AA18" s="76"/>
      <c r="AB18" s="76"/>
      <c r="AC18" s="76"/>
      <c r="AD18" s="76"/>
      <c r="AE18" s="76"/>
      <c r="AF18" s="76"/>
      <c r="AG18" s="76"/>
      <c r="AH18" s="76"/>
      <c r="AI18" s="76"/>
      <c r="AJ18" s="76"/>
      <c r="AK18" s="76"/>
      <c r="AL18" s="76"/>
      <c r="AM18" s="76"/>
      <c r="AN18" s="76"/>
      <c r="AO18" s="76"/>
      <c r="AP18" s="76"/>
      <c r="AQ18" s="76"/>
      <c r="AR18" s="76"/>
      <c r="AS18" s="76"/>
      <c r="AT18" s="76"/>
      <c r="AU18" s="76"/>
      <c r="AV18" s="76"/>
      <c r="AW18" s="76"/>
      <c r="AX18" s="76"/>
      <c r="AY18" s="76"/>
      <c r="AZ18" s="76"/>
      <c r="BA18" s="76"/>
      <c r="BB18" s="76"/>
      <c r="BC18" s="76"/>
      <c r="BD18" s="76"/>
      <c r="BE18" s="76"/>
      <c r="BF18" s="76"/>
    </row>
    <row r="19" spans="22:58" x14ac:dyDescent="0.2">
      <c r="V19" s="81"/>
      <c r="W19" s="54"/>
      <c r="X19" s="76"/>
      <c r="Y19" s="76"/>
      <c r="Z19" s="76"/>
      <c r="AA19" s="76"/>
      <c r="AB19" s="76"/>
      <c r="AC19" s="76"/>
      <c r="AD19" s="76"/>
      <c r="AE19" s="76"/>
      <c r="AF19" s="76"/>
      <c r="AG19" s="76"/>
      <c r="AH19" s="76"/>
      <c r="AI19" s="76"/>
      <c r="AJ19" s="76"/>
      <c r="AK19" s="76"/>
      <c r="AL19" s="76"/>
      <c r="AM19" s="76"/>
      <c r="AN19" s="76"/>
      <c r="AO19" s="76"/>
      <c r="AP19" s="76"/>
      <c r="AQ19" s="76"/>
      <c r="AR19" s="76"/>
      <c r="AS19" s="76"/>
      <c r="AT19" s="76"/>
      <c r="AU19" s="76"/>
      <c r="AV19" s="76"/>
      <c r="AW19" s="76"/>
      <c r="AX19" s="76"/>
      <c r="AY19" s="76"/>
      <c r="AZ19" s="76"/>
      <c r="BA19" s="76"/>
      <c r="BB19" s="76"/>
      <c r="BC19" s="76"/>
      <c r="BD19" s="76"/>
      <c r="BE19" s="76"/>
      <c r="BF19" s="76"/>
    </row>
    <row r="20" spans="22:58" x14ac:dyDescent="0.2">
      <c r="V20" s="76"/>
      <c r="W20" s="76"/>
      <c r="X20" s="76"/>
      <c r="Y20" s="76"/>
      <c r="Z20" s="76"/>
      <c r="AA20" s="76"/>
      <c r="AB20" s="76"/>
      <c r="AC20" s="76"/>
      <c r="AD20" s="76"/>
      <c r="AE20" s="76"/>
      <c r="AF20" s="76"/>
      <c r="AG20" s="76"/>
      <c r="AH20" s="76"/>
      <c r="AI20" s="76"/>
      <c r="AJ20" s="76"/>
      <c r="AK20" s="76"/>
      <c r="AL20" s="76"/>
      <c r="AM20" s="76"/>
      <c r="AN20" s="76"/>
      <c r="AO20" s="76"/>
      <c r="AP20" s="76"/>
      <c r="AQ20" s="76"/>
      <c r="AR20" s="76"/>
      <c r="AS20" s="76"/>
      <c r="AT20" s="76"/>
      <c r="AU20" s="76"/>
      <c r="AV20" s="76"/>
      <c r="AW20" s="76"/>
      <c r="AX20" s="76"/>
      <c r="AY20" s="76"/>
      <c r="AZ20" s="76"/>
      <c r="BA20" s="76"/>
      <c r="BB20" s="76"/>
      <c r="BC20" s="76"/>
      <c r="BD20" s="76"/>
      <c r="BE20" s="76"/>
      <c r="BF20" s="76"/>
    </row>
    <row r="21" spans="22:58" x14ac:dyDescent="0.2">
      <c r="V21" s="76"/>
      <c r="W21" s="76"/>
      <c r="X21" s="76"/>
      <c r="Y21" s="76"/>
      <c r="Z21" s="76"/>
      <c r="AA21" s="76"/>
      <c r="AB21" s="76"/>
      <c r="AC21" s="76"/>
      <c r="AD21" s="76"/>
      <c r="AE21" s="76"/>
      <c r="AF21" s="76"/>
      <c r="AG21" s="76"/>
      <c r="AH21" s="76"/>
      <c r="AI21" s="76"/>
      <c r="AJ21" s="76"/>
      <c r="AK21" s="76"/>
      <c r="AL21" s="76"/>
      <c r="AM21" s="76"/>
      <c r="AN21" s="76"/>
      <c r="AO21" s="76"/>
      <c r="AP21" s="76"/>
      <c r="AQ21" s="76"/>
      <c r="AR21" s="76"/>
      <c r="AS21" s="76"/>
      <c r="AT21" s="76"/>
      <c r="AU21" s="76"/>
      <c r="AV21" s="76"/>
      <c r="AW21" s="76"/>
      <c r="AX21" s="76"/>
      <c r="AY21" s="76"/>
      <c r="AZ21" s="76"/>
      <c r="BA21" s="76"/>
      <c r="BB21" s="76"/>
      <c r="BC21" s="76"/>
      <c r="BD21" s="76"/>
      <c r="BE21" s="76"/>
      <c r="BF21" s="76"/>
    </row>
  </sheetData>
  <mergeCells count="3">
    <mergeCell ref="A1:F1"/>
    <mergeCell ref="I1:N1"/>
    <mergeCell ref="V1:AA1"/>
  </mergeCells>
  <printOptions headings="1" gridLines="1"/>
  <pageMargins left="0.7" right="0.7" top="0.75" bottom="0.75" header="0.3" footer="0.3"/>
  <pageSetup paperSize="9" orientation="portrait" verticalDpi="4"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K22"/>
  <sheetViews>
    <sheetView workbookViewId="0">
      <selection activeCell="A2" sqref="A2:K20"/>
    </sheetView>
  </sheetViews>
  <sheetFormatPr defaultRowHeight="12.75" x14ac:dyDescent="0.2"/>
  <cols>
    <col min="1" max="1" width="32.875" style="93" customWidth="1"/>
    <col min="2" max="2" width="10.25" style="93" customWidth="1"/>
    <col min="3" max="3" width="27.625" style="93" customWidth="1"/>
    <col min="4" max="4" width="9.125" style="93" customWidth="1"/>
    <col min="5" max="5" width="20.125" style="93" customWidth="1"/>
    <col min="6" max="6" width="21.375" style="93" customWidth="1"/>
    <col min="7" max="256" width="8.75" style="93"/>
    <col min="257" max="257" width="32.875" style="93" customWidth="1"/>
    <col min="258" max="258" width="10.25" style="93" customWidth="1"/>
    <col min="259" max="259" width="48.75" style="93" bestFit="1" customWidth="1"/>
    <col min="260" max="260" width="41.25" style="93" customWidth="1"/>
    <col min="261" max="261" width="8.75" style="93"/>
    <col min="262" max="262" width="48.75" style="93" bestFit="1" customWidth="1"/>
    <col min="263" max="512" width="8.75" style="93"/>
    <col min="513" max="513" width="32.875" style="93" customWidth="1"/>
    <col min="514" max="514" width="10.25" style="93" customWidth="1"/>
    <col min="515" max="515" width="48.75" style="93" bestFit="1" customWidth="1"/>
    <col min="516" max="516" width="41.25" style="93" customWidth="1"/>
    <col min="517" max="517" width="8.75" style="93"/>
    <col min="518" max="518" width="48.75" style="93" bestFit="1" customWidth="1"/>
    <col min="519" max="768" width="8.75" style="93"/>
    <col min="769" max="769" width="32.875" style="93" customWidth="1"/>
    <col min="770" max="770" width="10.25" style="93" customWidth="1"/>
    <col min="771" max="771" width="48.75" style="93" bestFit="1" customWidth="1"/>
    <col min="772" max="772" width="41.25" style="93" customWidth="1"/>
    <col min="773" max="773" width="8.75" style="93"/>
    <col min="774" max="774" width="48.75" style="93" bestFit="1" customWidth="1"/>
    <col min="775" max="1024" width="8.75" style="93"/>
    <col min="1025" max="1025" width="32.875" style="93" customWidth="1"/>
    <col min="1026" max="1026" width="10.25" style="93" customWidth="1"/>
    <col min="1027" max="1027" width="48.75" style="93" bestFit="1" customWidth="1"/>
    <col min="1028" max="1028" width="41.25" style="93" customWidth="1"/>
    <col min="1029" max="1029" width="8.75" style="93"/>
    <col min="1030" max="1030" width="48.75" style="93" bestFit="1" customWidth="1"/>
    <col min="1031" max="1280" width="8.75" style="93"/>
    <col min="1281" max="1281" width="32.875" style="93" customWidth="1"/>
    <col min="1282" max="1282" width="10.25" style="93" customWidth="1"/>
    <col min="1283" max="1283" width="48.75" style="93" bestFit="1" customWidth="1"/>
    <col min="1284" max="1284" width="41.25" style="93" customWidth="1"/>
    <col min="1285" max="1285" width="8.75" style="93"/>
    <col min="1286" max="1286" width="48.75" style="93" bestFit="1" customWidth="1"/>
    <col min="1287" max="1536" width="8.75" style="93"/>
    <col min="1537" max="1537" width="32.875" style="93" customWidth="1"/>
    <col min="1538" max="1538" width="10.25" style="93" customWidth="1"/>
    <col min="1539" max="1539" width="48.75" style="93" bestFit="1" customWidth="1"/>
    <col min="1540" max="1540" width="41.25" style="93" customWidth="1"/>
    <col min="1541" max="1541" width="8.75" style="93"/>
    <col min="1542" max="1542" width="48.75" style="93" bestFit="1" customWidth="1"/>
    <col min="1543" max="1792" width="8.75" style="93"/>
    <col min="1793" max="1793" width="32.875" style="93" customWidth="1"/>
    <col min="1794" max="1794" width="10.25" style="93" customWidth="1"/>
    <col min="1795" max="1795" width="48.75" style="93" bestFit="1" customWidth="1"/>
    <col min="1796" max="1796" width="41.25" style="93" customWidth="1"/>
    <col min="1797" max="1797" width="8.75" style="93"/>
    <col min="1798" max="1798" width="48.75" style="93" bestFit="1" customWidth="1"/>
    <col min="1799" max="2048" width="8.75" style="93"/>
    <col min="2049" max="2049" width="32.875" style="93" customWidth="1"/>
    <col min="2050" max="2050" width="10.25" style="93" customWidth="1"/>
    <col min="2051" max="2051" width="48.75" style="93" bestFit="1" customWidth="1"/>
    <col min="2052" max="2052" width="41.25" style="93" customWidth="1"/>
    <col min="2053" max="2053" width="8.75" style="93"/>
    <col min="2054" max="2054" width="48.75" style="93" bestFit="1" customWidth="1"/>
    <col min="2055" max="2304" width="8.75" style="93"/>
    <col min="2305" max="2305" width="32.875" style="93" customWidth="1"/>
    <col min="2306" max="2306" width="10.25" style="93" customWidth="1"/>
    <col min="2307" max="2307" width="48.75" style="93" bestFit="1" customWidth="1"/>
    <col min="2308" max="2308" width="41.25" style="93" customWidth="1"/>
    <col min="2309" max="2309" width="8.75" style="93"/>
    <col min="2310" max="2310" width="48.75" style="93" bestFit="1" customWidth="1"/>
    <col min="2311" max="2560" width="8.75" style="93"/>
    <col min="2561" max="2561" width="32.875" style="93" customWidth="1"/>
    <col min="2562" max="2562" width="10.25" style="93" customWidth="1"/>
    <col min="2563" max="2563" width="48.75" style="93" bestFit="1" customWidth="1"/>
    <col min="2564" max="2564" width="41.25" style="93" customWidth="1"/>
    <col min="2565" max="2565" width="8.75" style="93"/>
    <col min="2566" max="2566" width="48.75" style="93" bestFit="1" customWidth="1"/>
    <col min="2567" max="2816" width="8.75" style="93"/>
    <col min="2817" max="2817" width="32.875" style="93" customWidth="1"/>
    <col min="2818" max="2818" width="10.25" style="93" customWidth="1"/>
    <col min="2819" max="2819" width="48.75" style="93" bestFit="1" customWidth="1"/>
    <col min="2820" max="2820" width="41.25" style="93" customWidth="1"/>
    <col min="2821" max="2821" width="8.75" style="93"/>
    <col min="2822" max="2822" width="48.75" style="93" bestFit="1" customWidth="1"/>
    <col min="2823" max="3072" width="8.75" style="93"/>
    <col min="3073" max="3073" width="32.875" style="93" customWidth="1"/>
    <col min="3074" max="3074" width="10.25" style="93" customWidth="1"/>
    <col min="3075" max="3075" width="48.75" style="93" bestFit="1" customWidth="1"/>
    <col min="3076" max="3076" width="41.25" style="93" customWidth="1"/>
    <col min="3077" max="3077" width="8.75" style="93"/>
    <col min="3078" max="3078" width="48.75" style="93" bestFit="1" customWidth="1"/>
    <col min="3079" max="3328" width="8.75" style="93"/>
    <col min="3329" max="3329" width="32.875" style="93" customWidth="1"/>
    <col min="3330" max="3330" width="10.25" style="93" customWidth="1"/>
    <col min="3331" max="3331" width="48.75" style="93" bestFit="1" customWidth="1"/>
    <col min="3332" max="3332" width="41.25" style="93" customWidth="1"/>
    <col min="3333" max="3333" width="8.75" style="93"/>
    <col min="3334" max="3334" width="48.75" style="93" bestFit="1" customWidth="1"/>
    <col min="3335" max="3584" width="8.75" style="93"/>
    <col min="3585" max="3585" width="32.875" style="93" customWidth="1"/>
    <col min="3586" max="3586" width="10.25" style="93" customWidth="1"/>
    <col min="3587" max="3587" width="48.75" style="93" bestFit="1" customWidth="1"/>
    <col min="3588" max="3588" width="41.25" style="93" customWidth="1"/>
    <col min="3589" max="3589" width="8.75" style="93"/>
    <col min="3590" max="3590" width="48.75" style="93" bestFit="1" customWidth="1"/>
    <col min="3591" max="3840" width="8.75" style="93"/>
    <col min="3841" max="3841" width="32.875" style="93" customWidth="1"/>
    <col min="3842" max="3842" width="10.25" style="93" customWidth="1"/>
    <col min="3843" max="3843" width="48.75" style="93" bestFit="1" customWidth="1"/>
    <col min="3844" max="3844" width="41.25" style="93" customWidth="1"/>
    <col min="3845" max="3845" width="8.75" style="93"/>
    <col min="3846" max="3846" width="48.75" style="93" bestFit="1" customWidth="1"/>
    <col min="3847" max="4096" width="8.75" style="93"/>
    <col min="4097" max="4097" width="32.875" style="93" customWidth="1"/>
    <col min="4098" max="4098" width="10.25" style="93" customWidth="1"/>
    <col min="4099" max="4099" width="48.75" style="93" bestFit="1" customWidth="1"/>
    <col min="4100" max="4100" width="41.25" style="93" customWidth="1"/>
    <col min="4101" max="4101" width="8.75" style="93"/>
    <col min="4102" max="4102" width="48.75" style="93" bestFit="1" customWidth="1"/>
    <col min="4103" max="4352" width="8.75" style="93"/>
    <col min="4353" max="4353" width="32.875" style="93" customWidth="1"/>
    <col min="4354" max="4354" width="10.25" style="93" customWidth="1"/>
    <col min="4355" max="4355" width="48.75" style="93" bestFit="1" customWidth="1"/>
    <col min="4356" max="4356" width="41.25" style="93" customWidth="1"/>
    <col min="4357" max="4357" width="8.75" style="93"/>
    <col min="4358" max="4358" width="48.75" style="93" bestFit="1" customWidth="1"/>
    <col min="4359" max="4608" width="8.75" style="93"/>
    <col min="4609" max="4609" width="32.875" style="93" customWidth="1"/>
    <col min="4610" max="4610" width="10.25" style="93" customWidth="1"/>
    <col min="4611" max="4611" width="48.75" style="93" bestFit="1" customWidth="1"/>
    <col min="4612" max="4612" width="41.25" style="93" customWidth="1"/>
    <col min="4613" max="4613" width="8.75" style="93"/>
    <col min="4614" max="4614" width="48.75" style="93" bestFit="1" customWidth="1"/>
    <col min="4615" max="4864" width="8.75" style="93"/>
    <col min="4865" max="4865" width="32.875" style="93" customWidth="1"/>
    <col min="4866" max="4866" width="10.25" style="93" customWidth="1"/>
    <col min="4867" max="4867" width="48.75" style="93" bestFit="1" customWidth="1"/>
    <col min="4868" max="4868" width="41.25" style="93" customWidth="1"/>
    <col min="4869" max="4869" width="8.75" style="93"/>
    <col min="4870" max="4870" width="48.75" style="93" bestFit="1" customWidth="1"/>
    <col min="4871" max="5120" width="8.75" style="93"/>
    <col min="5121" max="5121" width="32.875" style="93" customWidth="1"/>
    <col min="5122" max="5122" width="10.25" style="93" customWidth="1"/>
    <col min="5123" max="5123" width="48.75" style="93" bestFit="1" customWidth="1"/>
    <col min="5124" max="5124" width="41.25" style="93" customWidth="1"/>
    <col min="5125" max="5125" width="8.75" style="93"/>
    <col min="5126" max="5126" width="48.75" style="93" bestFit="1" customWidth="1"/>
    <col min="5127" max="5376" width="8.75" style="93"/>
    <col min="5377" max="5377" width="32.875" style="93" customWidth="1"/>
    <col min="5378" max="5378" width="10.25" style="93" customWidth="1"/>
    <col min="5379" max="5379" width="48.75" style="93" bestFit="1" customWidth="1"/>
    <col min="5380" max="5380" width="41.25" style="93" customWidth="1"/>
    <col min="5381" max="5381" width="8.75" style="93"/>
    <col min="5382" max="5382" width="48.75" style="93" bestFit="1" customWidth="1"/>
    <col min="5383" max="5632" width="8.75" style="93"/>
    <col min="5633" max="5633" width="32.875" style="93" customWidth="1"/>
    <col min="5634" max="5634" width="10.25" style="93" customWidth="1"/>
    <col min="5635" max="5635" width="48.75" style="93" bestFit="1" customWidth="1"/>
    <col min="5636" max="5636" width="41.25" style="93" customWidth="1"/>
    <col min="5637" max="5637" width="8.75" style="93"/>
    <col min="5638" max="5638" width="48.75" style="93" bestFit="1" customWidth="1"/>
    <col min="5639" max="5888" width="8.75" style="93"/>
    <col min="5889" max="5889" width="32.875" style="93" customWidth="1"/>
    <col min="5890" max="5890" width="10.25" style="93" customWidth="1"/>
    <col min="5891" max="5891" width="48.75" style="93" bestFit="1" customWidth="1"/>
    <col min="5892" max="5892" width="41.25" style="93" customWidth="1"/>
    <col min="5893" max="5893" width="8.75" style="93"/>
    <col min="5894" max="5894" width="48.75" style="93" bestFit="1" customWidth="1"/>
    <col min="5895" max="6144" width="8.75" style="93"/>
    <col min="6145" max="6145" width="32.875" style="93" customWidth="1"/>
    <col min="6146" max="6146" width="10.25" style="93" customWidth="1"/>
    <col min="6147" max="6147" width="48.75" style="93" bestFit="1" customWidth="1"/>
    <col min="6148" max="6148" width="41.25" style="93" customWidth="1"/>
    <col min="6149" max="6149" width="8.75" style="93"/>
    <col min="6150" max="6150" width="48.75" style="93" bestFit="1" customWidth="1"/>
    <col min="6151" max="6400" width="8.75" style="93"/>
    <col min="6401" max="6401" width="32.875" style="93" customWidth="1"/>
    <col min="6402" max="6402" width="10.25" style="93" customWidth="1"/>
    <col min="6403" max="6403" width="48.75" style="93" bestFit="1" customWidth="1"/>
    <col min="6404" max="6404" width="41.25" style="93" customWidth="1"/>
    <col min="6405" max="6405" width="8.75" style="93"/>
    <col min="6406" max="6406" width="48.75" style="93" bestFit="1" customWidth="1"/>
    <col min="6407" max="6656" width="8.75" style="93"/>
    <col min="6657" max="6657" width="32.875" style="93" customWidth="1"/>
    <col min="6658" max="6658" width="10.25" style="93" customWidth="1"/>
    <col min="6659" max="6659" width="48.75" style="93" bestFit="1" customWidth="1"/>
    <col min="6660" max="6660" width="41.25" style="93" customWidth="1"/>
    <col min="6661" max="6661" width="8.75" style="93"/>
    <col min="6662" max="6662" width="48.75" style="93" bestFit="1" customWidth="1"/>
    <col min="6663" max="6912" width="8.75" style="93"/>
    <col min="6913" max="6913" width="32.875" style="93" customWidth="1"/>
    <col min="6914" max="6914" width="10.25" style="93" customWidth="1"/>
    <col min="6915" max="6915" width="48.75" style="93" bestFit="1" customWidth="1"/>
    <col min="6916" max="6916" width="41.25" style="93" customWidth="1"/>
    <col min="6917" max="6917" width="8.75" style="93"/>
    <col min="6918" max="6918" width="48.75" style="93" bestFit="1" customWidth="1"/>
    <col min="6919" max="7168" width="8.75" style="93"/>
    <col min="7169" max="7169" width="32.875" style="93" customWidth="1"/>
    <col min="7170" max="7170" width="10.25" style="93" customWidth="1"/>
    <col min="7171" max="7171" width="48.75" style="93" bestFit="1" customWidth="1"/>
    <col min="7172" max="7172" width="41.25" style="93" customWidth="1"/>
    <col min="7173" max="7173" width="8.75" style="93"/>
    <col min="7174" max="7174" width="48.75" style="93" bestFit="1" customWidth="1"/>
    <col min="7175" max="7424" width="8.75" style="93"/>
    <col min="7425" max="7425" width="32.875" style="93" customWidth="1"/>
    <col min="7426" max="7426" width="10.25" style="93" customWidth="1"/>
    <col min="7427" max="7427" width="48.75" style="93" bestFit="1" customWidth="1"/>
    <col min="7428" max="7428" width="41.25" style="93" customWidth="1"/>
    <col min="7429" max="7429" width="8.75" style="93"/>
    <col min="7430" max="7430" width="48.75" style="93" bestFit="1" customWidth="1"/>
    <col min="7431" max="7680" width="8.75" style="93"/>
    <col min="7681" max="7681" width="32.875" style="93" customWidth="1"/>
    <col min="7682" max="7682" width="10.25" style="93" customWidth="1"/>
    <col min="7683" max="7683" width="48.75" style="93" bestFit="1" customWidth="1"/>
    <col min="7684" max="7684" width="41.25" style="93" customWidth="1"/>
    <col min="7685" max="7685" width="8.75" style="93"/>
    <col min="7686" max="7686" width="48.75" style="93" bestFit="1" customWidth="1"/>
    <col min="7687" max="7936" width="8.75" style="93"/>
    <col min="7937" max="7937" width="32.875" style="93" customWidth="1"/>
    <col min="7938" max="7938" width="10.25" style="93" customWidth="1"/>
    <col min="7939" max="7939" width="48.75" style="93" bestFit="1" customWidth="1"/>
    <col min="7940" max="7940" width="41.25" style="93" customWidth="1"/>
    <col min="7941" max="7941" width="8.75" style="93"/>
    <col min="7942" max="7942" width="48.75" style="93" bestFit="1" customWidth="1"/>
    <col min="7943" max="8192" width="8.75" style="93"/>
    <col min="8193" max="8193" width="32.875" style="93" customWidth="1"/>
    <col min="8194" max="8194" width="10.25" style="93" customWidth="1"/>
    <col min="8195" max="8195" width="48.75" style="93" bestFit="1" customWidth="1"/>
    <col min="8196" max="8196" width="41.25" style="93" customWidth="1"/>
    <col min="8197" max="8197" width="8.75" style="93"/>
    <col min="8198" max="8198" width="48.75" style="93" bestFit="1" customWidth="1"/>
    <col min="8199" max="8448" width="8.75" style="93"/>
    <col min="8449" max="8449" width="32.875" style="93" customWidth="1"/>
    <col min="8450" max="8450" width="10.25" style="93" customWidth="1"/>
    <col min="8451" max="8451" width="48.75" style="93" bestFit="1" customWidth="1"/>
    <col min="8452" max="8452" width="41.25" style="93" customWidth="1"/>
    <col min="8453" max="8453" width="8.75" style="93"/>
    <col min="8454" max="8454" width="48.75" style="93" bestFit="1" customWidth="1"/>
    <col min="8455" max="8704" width="8.75" style="93"/>
    <col min="8705" max="8705" width="32.875" style="93" customWidth="1"/>
    <col min="8706" max="8706" width="10.25" style="93" customWidth="1"/>
    <col min="8707" max="8707" width="48.75" style="93" bestFit="1" customWidth="1"/>
    <col min="8708" max="8708" width="41.25" style="93" customWidth="1"/>
    <col min="8709" max="8709" width="8.75" style="93"/>
    <col min="8710" max="8710" width="48.75" style="93" bestFit="1" customWidth="1"/>
    <col min="8711" max="8960" width="8.75" style="93"/>
    <col min="8961" max="8961" width="32.875" style="93" customWidth="1"/>
    <col min="8962" max="8962" width="10.25" style="93" customWidth="1"/>
    <col min="8963" max="8963" width="48.75" style="93" bestFit="1" customWidth="1"/>
    <col min="8964" max="8964" width="41.25" style="93" customWidth="1"/>
    <col min="8965" max="8965" width="8.75" style="93"/>
    <col min="8966" max="8966" width="48.75" style="93" bestFit="1" customWidth="1"/>
    <col min="8967" max="9216" width="8.75" style="93"/>
    <col min="9217" max="9217" width="32.875" style="93" customWidth="1"/>
    <col min="9218" max="9218" width="10.25" style="93" customWidth="1"/>
    <col min="9219" max="9219" width="48.75" style="93" bestFit="1" customWidth="1"/>
    <col min="9220" max="9220" width="41.25" style="93" customWidth="1"/>
    <col min="9221" max="9221" width="8.75" style="93"/>
    <col min="9222" max="9222" width="48.75" style="93" bestFit="1" customWidth="1"/>
    <col min="9223" max="9472" width="8.75" style="93"/>
    <col min="9473" max="9473" width="32.875" style="93" customWidth="1"/>
    <col min="9474" max="9474" width="10.25" style="93" customWidth="1"/>
    <col min="9475" max="9475" width="48.75" style="93" bestFit="1" customWidth="1"/>
    <col min="9476" max="9476" width="41.25" style="93" customWidth="1"/>
    <col min="9477" max="9477" width="8.75" style="93"/>
    <col min="9478" max="9478" width="48.75" style="93" bestFit="1" customWidth="1"/>
    <col min="9479" max="9728" width="8.75" style="93"/>
    <col min="9729" max="9729" width="32.875" style="93" customWidth="1"/>
    <col min="9730" max="9730" width="10.25" style="93" customWidth="1"/>
    <col min="9731" max="9731" width="48.75" style="93" bestFit="1" customWidth="1"/>
    <col min="9732" max="9732" width="41.25" style="93" customWidth="1"/>
    <col min="9733" max="9733" width="8.75" style="93"/>
    <col min="9734" max="9734" width="48.75" style="93" bestFit="1" customWidth="1"/>
    <col min="9735" max="9984" width="8.75" style="93"/>
    <col min="9985" max="9985" width="32.875" style="93" customWidth="1"/>
    <col min="9986" max="9986" width="10.25" style="93" customWidth="1"/>
    <col min="9987" max="9987" width="48.75" style="93" bestFit="1" customWidth="1"/>
    <col min="9988" max="9988" width="41.25" style="93" customWidth="1"/>
    <col min="9989" max="9989" width="8.75" style="93"/>
    <col min="9990" max="9990" width="48.75" style="93" bestFit="1" customWidth="1"/>
    <col min="9991" max="10240" width="8.75" style="93"/>
    <col min="10241" max="10241" width="32.875" style="93" customWidth="1"/>
    <col min="10242" max="10242" width="10.25" style="93" customWidth="1"/>
    <col min="10243" max="10243" width="48.75" style="93" bestFit="1" customWidth="1"/>
    <col min="10244" max="10244" width="41.25" style="93" customWidth="1"/>
    <col min="10245" max="10245" width="8.75" style="93"/>
    <col min="10246" max="10246" width="48.75" style="93" bestFit="1" customWidth="1"/>
    <col min="10247" max="10496" width="8.75" style="93"/>
    <col min="10497" max="10497" width="32.875" style="93" customWidth="1"/>
    <col min="10498" max="10498" width="10.25" style="93" customWidth="1"/>
    <col min="10499" max="10499" width="48.75" style="93" bestFit="1" customWidth="1"/>
    <col min="10500" max="10500" width="41.25" style="93" customWidth="1"/>
    <col min="10501" max="10501" width="8.75" style="93"/>
    <col min="10502" max="10502" width="48.75" style="93" bestFit="1" customWidth="1"/>
    <col min="10503" max="10752" width="8.75" style="93"/>
    <col min="10753" max="10753" width="32.875" style="93" customWidth="1"/>
    <col min="10754" max="10754" width="10.25" style="93" customWidth="1"/>
    <col min="10755" max="10755" width="48.75" style="93" bestFit="1" customWidth="1"/>
    <col min="10756" max="10756" width="41.25" style="93" customWidth="1"/>
    <col min="10757" max="10757" width="8.75" style="93"/>
    <col min="10758" max="10758" width="48.75" style="93" bestFit="1" customWidth="1"/>
    <col min="10759" max="11008" width="8.75" style="93"/>
    <col min="11009" max="11009" width="32.875" style="93" customWidth="1"/>
    <col min="11010" max="11010" width="10.25" style="93" customWidth="1"/>
    <col min="11011" max="11011" width="48.75" style="93" bestFit="1" customWidth="1"/>
    <col min="11012" max="11012" width="41.25" style="93" customWidth="1"/>
    <col min="11013" max="11013" width="8.75" style="93"/>
    <col min="11014" max="11014" width="48.75" style="93" bestFit="1" customWidth="1"/>
    <col min="11015" max="11264" width="8.75" style="93"/>
    <col min="11265" max="11265" width="32.875" style="93" customWidth="1"/>
    <col min="11266" max="11266" width="10.25" style="93" customWidth="1"/>
    <col min="11267" max="11267" width="48.75" style="93" bestFit="1" customWidth="1"/>
    <col min="11268" max="11268" width="41.25" style="93" customWidth="1"/>
    <col min="11269" max="11269" width="8.75" style="93"/>
    <col min="11270" max="11270" width="48.75" style="93" bestFit="1" customWidth="1"/>
    <col min="11271" max="11520" width="8.75" style="93"/>
    <col min="11521" max="11521" width="32.875" style="93" customWidth="1"/>
    <col min="11522" max="11522" width="10.25" style="93" customWidth="1"/>
    <col min="11523" max="11523" width="48.75" style="93" bestFit="1" customWidth="1"/>
    <col min="11524" max="11524" width="41.25" style="93" customWidth="1"/>
    <col min="11525" max="11525" width="8.75" style="93"/>
    <col min="11526" max="11526" width="48.75" style="93" bestFit="1" customWidth="1"/>
    <col min="11527" max="11776" width="8.75" style="93"/>
    <col min="11777" max="11777" width="32.875" style="93" customWidth="1"/>
    <col min="11778" max="11778" width="10.25" style="93" customWidth="1"/>
    <col min="11779" max="11779" width="48.75" style="93" bestFit="1" customWidth="1"/>
    <col min="11780" max="11780" width="41.25" style="93" customWidth="1"/>
    <col min="11781" max="11781" width="8.75" style="93"/>
    <col min="11782" max="11782" width="48.75" style="93" bestFit="1" customWidth="1"/>
    <col min="11783" max="12032" width="8.75" style="93"/>
    <col min="12033" max="12033" width="32.875" style="93" customWidth="1"/>
    <col min="12034" max="12034" width="10.25" style="93" customWidth="1"/>
    <col min="12035" max="12035" width="48.75" style="93" bestFit="1" customWidth="1"/>
    <col min="12036" max="12036" width="41.25" style="93" customWidth="1"/>
    <col min="12037" max="12037" width="8.75" style="93"/>
    <col min="12038" max="12038" width="48.75" style="93" bestFit="1" customWidth="1"/>
    <col min="12039" max="12288" width="8.75" style="93"/>
    <col min="12289" max="12289" width="32.875" style="93" customWidth="1"/>
    <col min="12290" max="12290" width="10.25" style="93" customWidth="1"/>
    <col min="12291" max="12291" width="48.75" style="93" bestFit="1" customWidth="1"/>
    <col min="12292" max="12292" width="41.25" style="93" customWidth="1"/>
    <col min="12293" max="12293" width="8.75" style="93"/>
    <col min="12294" max="12294" width="48.75" style="93" bestFit="1" customWidth="1"/>
    <col min="12295" max="12544" width="8.75" style="93"/>
    <col min="12545" max="12545" width="32.875" style="93" customWidth="1"/>
    <col min="12546" max="12546" width="10.25" style="93" customWidth="1"/>
    <col min="12547" max="12547" width="48.75" style="93" bestFit="1" customWidth="1"/>
    <col min="12548" max="12548" width="41.25" style="93" customWidth="1"/>
    <col min="12549" max="12549" width="8.75" style="93"/>
    <col min="12550" max="12550" width="48.75" style="93" bestFit="1" customWidth="1"/>
    <col min="12551" max="12800" width="8.75" style="93"/>
    <col min="12801" max="12801" width="32.875" style="93" customWidth="1"/>
    <col min="12802" max="12802" width="10.25" style="93" customWidth="1"/>
    <col min="12803" max="12803" width="48.75" style="93" bestFit="1" customWidth="1"/>
    <col min="12804" max="12804" width="41.25" style="93" customWidth="1"/>
    <col min="12805" max="12805" width="8.75" style="93"/>
    <col min="12806" max="12806" width="48.75" style="93" bestFit="1" customWidth="1"/>
    <col min="12807" max="13056" width="8.75" style="93"/>
    <col min="13057" max="13057" width="32.875" style="93" customWidth="1"/>
    <col min="13058" max="13058" width="10.25" style="93" customWidth="1"/>
    <col min="13059" max="13059" width="48.75" style="93" bestFit="1" customWidth="1"/>
    <col min="13060" max="13060" width="41.25" style="93" customWidth="1"/>
    <col min="13061" max="13061" width="8.75" style="93"/>
    <col min="13062" max="13062" width="48.75" style="93" bestFit="1" customWidth="1"/>
    <col min="13063" max="13312" width="8.75" style="93"/>
    <col min="13313" max="13313" width="32.875" style="93" customWidth="1"/>
    <col min="13314" max="13314" width="10.25" style="93" customWidth="1"/>
    <col min="13315" max="13315" width="48.75" style="93" bestFit="1" customWidth="1"/>
    <col min="13316" max="13316" width="41.25" style="93" customWidth="1"/>
    <col min="13317" max="13317" width="8.75" style="93"/>
    <col min="13318" max="13318" width="48.75" style="93" bestFit="1" customWidth="1"/>
    <col min="13319" max="13568" width="8.75" style="93"/>
    <col min="13569" max="13569" width="32.875" style="93" customWidth="1"/>
    <col min="13570" max="13570" width="10.25" style="93" customWidth="1"/>
    <col min="13571" max="13571" width="48.75" style="93" bestFit="1" customWidth="1"/>
    <col min="13572" max="13572" width="41.25" style="93" customWidth="1"/>
    <col min="13573" max="13573" width="8.75" style="93"/>
    <col min="13574" max="13574" width="48.75" style="93" bestFit="1" customWidth="1"/>
    <col min="13575" max="13824" width="8.75" style="93"/>
    <col min="13825" max="13825" width="32.875" style="93" customWidth="1"/>
    <col min="13826" max="13826" width="10.25" style="93" customWidth="1"/>
    <col min="13827" max="13827" width="48.75" style="93" bestFit="1" customWidth="1"/>
    <col min="13828" max="13828" width="41.25" style="93" customWidth="1"/>
    <col min="13829" max="13829" width="8.75" style="93"/>
    <col min="13830" max="13830" width="48.75" style="93" bestFit="1" customWidth="1"/>
    <col min="13831" max="14080" width="8.75" style="93"/>
    <col min="14081" max="14081" width="32.875" style="93" customWidth="1"/>
    <col min="14082" max="14082" width="10.25" style="93" customWidth="1"/>
    <col min="14083" max="14083" width="48.75" style="93" bestFit="1" customWidth="1"/>
    <col min="14084" max="14084" width="41.25" style="93" customWidth="1"/>
    <col min="14085" max="14085" width="8.75" style="93"/>
    <col min="14086" max="14086" width="48.75" style="93" bestFit="1" customWidth="1"/>
    <col min="14087" max="14336" width="8.75" style="93"/>
    <col min="14337" max="14337" width="32.875" style="93" customWidth="1"/>
    <col min="14338" max="14338" width="10.25" style="93" customWidth="1"/>
    <col min="14339" max="14339" width="48.75" style="93" bestFit="1" customWidth="1"/>
    <col min="14340" max="14340" width="41.25" style="93" customWidth="1"/>
    <col min="14341" max="14341" width="8.75" style="93"/>
    <col min="14342" max="14342" width="48.75" style="93" bestFit="1" customWidth="1"/>
    <col min="14343" max="14592" width="8.75" style="93"/>
    <col min="14593" max="14593" width="32.875" style="93" customWidth="1"/>
    <col min="14594" max="14594" width="10.25" style="93" customWidth="1"/>
    <col min="14595" max="14595" width="48.75" style="93" bestFit="1" customWidth="1"/>
    <col min="14596" max="14596" width="41.25" style="93" customWidth="1"/>
    <col min="14597" max="14597" width="8.75" style="93"/>
    <col min="14598" max="14598" width="48.75" style="93" bestFit="1" customWidth="1"/>
    <col min="14599" max="14848" width="8.75" style="93"/>
    <col min="14849" max="14849" width="32.875" style="93" customWidth="1"/>
    <col min="14850" max="14850" width="10.25" style="93" customWidth="1"/>
    <col min="14851" max="14851" width="48.75" style="93" bestFit="1" customWidth="1"/>
    <col min="14852" max="14852" width="41.25" style="93" customWidth="1"/>
    <col min="14853" max="14853" width="8.75" style="93"/>
    <col min="14854" max="14854" width="48.75" style="93" bestFit="1" customWidth="1"/>
    <col min="14855" max="15104" width="8.75" style="93"/>
    <col min="15105" max="15105" width="32.875" style="93" customWidth="1"/>
    <col min="15106" max="15106" width="10.25" style="93" customWidth="1"/>
    <col min="15107" max="15107" width="48.75" style="93" bestFit="1" customWidth="1"/>
    <col min="15108" max="15108" width="41.25" style="93" customWidth="1"/>
    <col min="15109" max="15109" width="8.75" style="93"/>
    <col min="15110" max="15110" width="48.75" style="93" bestFit="1" customWidth="1"/>
    <col min="15111" max="15360" width="8.75" style="93"/>
    <col min="15361" max="15361" width="32.875" style="93" customWidth="1"/>
    <col min="15362" max="15362" width="10.25" style="93" customWidth="1"/>
    <col min="15363" max="15363" width="48.75" style="93" bestFit="1" customWidth="1"/>
    <col min="15364" max="15364" width="41.25" style="93" customWidth="1"/>
    <col min="15365" max="15365" width="8.75" style="93"/>
    <col min="15366" max="15366" width="48.75" style="93" bestFit="1" customWidth="1"/>
    <col min="15367" max="15616" width="8.75" style="93"/>
    <col min="15617" max="15617" width="32.875" style="93" customWidth="1"/>
    <col min="15618" max="15618" width="10.25" style="93" customWidth="1"/>
    <col min="15619" max="15619" width="48.75" style="93" bestFit="1" customWidth="1"/>
    <col min="15620" max="15620" width="41.25" style="93" customWidth="1"/>
    <col min="15621" max="15621" width="8.75" style="93"/>
    <col min="15622" max="15622" width="48.75" style="93" bestFit="1" customWidth="1"/>
    <col min="15623" max="15872" width="8.75" style="93"/>
    <col min="15873" max="15873" width="32.875" style="93" customWidth="1"/>
    <col min="15874" max="15874" width="10.25" style="93" customWidth="1"/>
    <col min="15875" max="15875" width="48.75" style="93" bestFit="1" customWidth="1"/>
    <col min="15876" max="15876" width="41.25" style="93" customWidth="1"/>
    <col min="15877" max="15877" width="8.75" style="93"/>
    <col min="15878" max="15878" width="48.75" style="93" bestFit="1" customWidth="1"/>
    <col min="15879" max="16128" width="8.75" style="93"/>
    <col min="16129" max="16129" width="32.875" style="93" customWidth="1"/>
    <col min="16130" max="16130" width="10.25" style="93" customWidth="1"/>
    <col min="16131" max="16131" width="48.75" style="93" bestFit="1" customWidth="1"/>
    <col min="16132" max="16132" width="41.25" style="93" customWidth="1"/>
    <col min="16133" max="16133" width="8.75" style="93"/>
    <col min="16134" max="16134" width="48.75" style="93" bestFit="1" customWidth="1"/>
    <col min="16135" max="16384" width="8.75" style="93"/>
  </cols>
  <sheetData>
    <row r="1" spans="1:11" ht="42" customHeight="1" x14ac:dyDescent="0.25">
      <c r="A1" s="430" t="s">
        <v>199</v>
      </c>
      <c r="B1" s="431"/>
      <c r="C1" s="431"/>
      <c r="D1" s="92"/>
      <c r="E1" s="422" t="s">
        <v>538</v>
      </c>
      <c r="F1" s="422"/>
      <c r="G1" s="422"/>
      <c r="H1" s="422"/>
      <c r="I1" s="422"/>
      <c r="J1" s="422"/>
      <c r="K1"/>
    </row>
    <row r="2" spans="1:11" ht="75.75" x14ac:dyDescent="0.3">
      <c r="A2" s="93" t="s">
        <v>193</v>
      </c>
      <c r="B2" s="94">
        <v>3</v>
      </c>
      <c r="E2"/>
      <c r="F2" s="57" t="s">
        <v>22</v>
      </c>
      <c r="G2" s="57" t="s">
        <v>33</v>
      </c>
      <c r="H2" s="57" t="s">
        <v>35</v>
      </c>
      <c r="I2" s="57" t="s">
        <v>34</v>
      </c>
      <c r="J2" s="19"/>
      <c r="K2"/>
    </row>
    <row r="3" spans="1:11" ht="15.75" x14ac:dyDescent="0.3">
      <c r="A3" s="93" t="s">
        <v>194</v>
      </c>
      <c r="B3" s="95">
        <v>0.35</v>
      </c>
      <c r="E3" s="135">
        <v>2007</v>
      </c>
      <c r="F3" s="13">
        <v>3307.3</v>
      </c>
      <c r="G3" s="13">
        <v>1429.7</v>
      </c>
      <c r="H3" s="13">
        <v>898.6</v>
      </c>
      <c r="I3" s="13">
        <f>F3+G3-H3</f>
        <v>3838.4</v>
      </c>
      <c r="J3" t="e">
        <f ca="1">getformula(I3)</f>
        <v>#NAME?</v>
      </c>
      <c r="K3"/>
    </row>
    <row r="4" spans="1:11" ht="15.75" x14ac:dyDescent="0.3">
      <c r="A4" s="93" t="s">
        <v>195</v>
      </c>
      <c r="B4" s="95">
        <v>0.08</v>
      </c>
      <c r="E4" s="135">
        <v>2008</v>
      </c>
      <c r="F4" s="13">
        <v>3278.5</v>
      </c>
      <c r="G4" s="13">
        <v>2725</v>
      </c>
      <c r="H4" s="13">
        <v>102.3</v>
      </c>
      <c r="I4" s="13">
        <f t="shared" ref="I4:I7" si="0">F4+G4-H4</f>
        <v>5901.2</v>
      </c>
      <c r="J4"/>
      <c r="K4"/>
    </row>
    <row r="5" spans="1:11" ht="14.25" x14ac:dyDescent="0.2">
      <c r="A5" s="93" t="s">
        <v>196</v>
      </c>
      <c r="B5" s="96">
        <v>5</v>
      </c>
      <c r="E5" s="135">
        <v>2009</v>
      </c>
      <c r="F5" s="13">
        <v>3215</v>
      </c>
      <c r="G5" s="13">
        <v>0</v>
      </c>
      <c r="H5" s="13">
        <v>186</v>
      </c>
      <c r="I5" s="13">
        <f t="shared" si="0"/>
        <v>3029</v>
      </c>
      <c r="J5"/>
      <c r="K5"/>
    </row>
    <row r="6" spans="1:11" ht="14.25" x14ac:dyDescent="0.2">
      <c r="A6" s="93" t="s">
        <v>198</v>
      </c>
      <c r="B6" s="97">
        <v>30</v>
      </c>
      <c r="E6" s="135">
        <v>2010</v>
      </c>
      <c r="F6" s="13">
        <v>4734</v>
      </c>
      <c r="G6" s="13">
        <v>1593</v>
      </c>
      <c r="H6" s="13">
        <v>363</v>
      </c>
      <c r="I6" s="13">
        <f t="shared" si="0"/>
        <v>5964</v>
      </c>
      <c r="J6"/>
      <c r="K6"/>
    </row>
    <row r="7" spans="1:11" ht="14.25" x14ac:dyDescent="0.2">
      <c r="A7" s="98" t="s">
        <v>197</v>
      </c>
      <c r="B7" s="99">
        <f>twostagegordon(B6,B2,B3,5,B4)</f>
        <v>0.32762527465820313</v>
      </c>
      <c r="C7" s="93" t="e">
        <f ca="1">getformula(B7)</f>
        <v>#NAME?</v>
      </c>
      <c r="E7" s="135">
        <v>2011</v>
      </c>
      <c r="F7" s="13">
        <v>4818</v>
      </c>
      <c r="G7" s="13">
        <v>1921</v>
      </c>
      <c r="H7" s="13">
        <v>321</v>
      </c>
      <c r="I7" s="64">
        <f t="shared" si="0"/>
        <v>6418</v>
      </c>
      <c r="J7"/>
      <c r="K7"/>
    </row>
    <row r="8" spans="1:11" ht="14.25" x14ac:dyDescent="0.2">
      <c r="E8"/>
      <c r="F8"/>
      <c r="G8"/>
      <c r="H8"/>
      <c r="I8"/>
      <c r="J8"/>
      <c r="K8"/>
    </row>
    <row r="9" spans="1:11" ht="14.25" x14ac:dyDescent="0.2">
      <c r="E9" s="60" t="s">
        <v>36</v>
      </c>
      <c r="F9" s="53">
        <f>(I7/I3)^(1/4)-1</f>
        <v>0.13713589966372908</v>
      </c>
      <c r="G9" t="e">
        <f ca="1">getformula(F9)</f>
        <v>#NAME?</v>
      </c>
      <c r="H9"/>
      <c r="I9"/>
      <c r="J9"/>
      <c r="K9"/>
    </row>
    <row r="10" spans="1:11" ht="14.25" x14ac:dyDescent="0.2">
      <c r="E10"/>
      <c r="F10" s="16"/>
      <c r="G10"/>
      <c r="H10"/>
      <c r="I10"/>
      <c r="J10"/>
      <c r="K10"/>
    </row>
    <row r="11" spans="1:11" ht="14.25" x14ac:dyDescent="0.2">
      <c r="E11" s="432" t="s">
        <v>117</v>
      </c>
      <c r="F11" s="432"/>
      <c r="G11" s="432"/>
      <c r="H11" s="432"/>
      <c r="I11" s="432"/>
      <c r="J11"/>
      <c r="K11"/>
    </row>
    <row r="12" spans="1:11" ht="28.5" x14ac:dyDescent="0.2">
      <c r="E12" s="52" t="s">
        <v>111</v>
      </c>
      <c r="F12" s="59">
        <f>(3576948356-536109713)/1000000</f>
        <v>3040.838643</v>
      </c>
      <c r="G12"/>
      <c r="H12"/>
      <c r="I12"/>
      <c r="J12"/>
      <c r="K12"/>
    </row>
    <row r="13" spans="1:11" ht="14.25" x14ac:dyDescent="0.2">
      <c r="E13" t="s">
        <v>109</v>
      </c>
      <c r="F13" s="58">
        <v>41.75</v>
      </c>
      <c r="G13"/>
      <c r="H13"/>
      <c r="I13"/>
      <c r="J13"/>
      <c r="K13"/>
    </row>
    <row r="14" spans="1:11" ht="14.25" x14ac:dyDescent="0.2">
      <c r="E14" t="s">
        <v>110</v>
      </c>
      <c r="F14" s="64">
        <f>F12*F13</f>
        <v>126955.01334525</v>
      </c>
      <c r="G14" t="e">
        <f ca="1">getformula(F14)&amp;", $ million"</f>
        <v>#NAME?</v>
      </c>
      <c r="H14"/>
      <c r="I14"/>
      <c r="J14"/>
      <c r="K14"/>
    </row>
    <row r="15" spans="1:11" ht="14.25" x14ac:dyDescent="0.2">
      <c r="E15"/>
      <c r="F15" s="13"/>
      <c r="G15"/>
      <c r="H15"/>
      <c r="I15"/>
      <c r="J15"/>
      <c r="K15"/>
    </row>
    <row r="16" spans="1:11" ht="18.75" x14ac:dyDescent="0.35">
      <c r="E16" t="s">
        <v>113</v>
      </c>
      <c r="F16" s="13"/>
      <c r="G16"/>
      <c r="H16"/>
      <c r="I16"/>
      <c r="J16"/>
      <c r="K16"/>
    </row>
    <row r="17" spans="5:11" ht="14.25" x14ac:dyDescent="0.2">
      <c r="E17" t="s">
        <v>115</v>
      </c>
      <c r="F17" s="64">
        <v>2</v>
      </c>
      <c r="G17"/>
      <c r="H17"/>
      <c r="I17"/>
      <c r="J17"/>
      <c r="K17"/>
    </row>
    <row r="18" spans="5:11" ht="18.75" x14ac:dyDescent="0.35">
      <c r="E18" t="s">
        <v>114</v>
      </c>
      <c r="F18" s="53">
        <v>0.05</v>
      </c>
      <c r="G18" t="s">
        <v>118</v>
      </c>
      <c r="H18"/>
      <c r="I18" t="s">
        <v>568</v>
      </c>
      <c r="J18"/>
      <c r="K18"/>
    </row>
    <row r="19" spans="5:11" ht="14.25" x14ac:dyDescent="0.2">
      <c r="E19"/>
      <c r="F19"/>
      <c r="G19"/>
      <c r="H19" s="135"/>
      <c r="I19"/>
      <c r="J19"/>
      <c r="K19"/>
    </row>
    <row r="20" spans="5:11" ht="44.25" customHeight="1" x14ac:dyDescent="0.25">
      <c r="E20" s="61" t="s">
        <v>116</v>
      </c>
      <c r="F20" s="53">
        <f>twostagegordon(F14,I7,F9,F17,F18)</f>
        <v>0.11198806762695313</v>
      </c>
      <c r="G20" t="e">
        <f ca="1">getformula(F20)</f>
        <v>#NAME?</v>
      </c>
      <c r="H20"/>
      <c r="I20"/>
      <c r="J20"/>
      <c r="K20"/>
    </row>
    <row r="21" spans="5:11" ht="14.25" x14ac:dyDescent="0.2">
      <c r="E21"/>
      <c r="F21"/>
      <c r="G21"/>
      <c r="H21"/>
      <c r="I21"/>
      <c r="J21"/>
      <c r="K21"/>
    </row>
    <row r="22" spans="5:11" ht="14.25" x14ac:dyDescent="0.2">
      <c r="E22"/>
      <c r="F22"/>
      <c r="G22"/>
      <c r="H22"/>
      <c r="I22"/>
      <c r="J22"/>
      <c r="K22"/>
    </row>
  </sheetData>
  <mergeCells count="3">
    <mergeCell ref="A1:C1"/>
    <mergeCell ref="E1:J1"/>
    <mergeCell ref="E11:I11"/>
  </mergeCells>
  <printOptions headings="1" gridLines="1"/>
  <pageMargins left="0.75" right="0.75" top="1" bottom="1" header="0.5" footer="0.5"/>
  <pageSetup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A1:AG70"/>
  <sheetViews>
    <sheetView zoomScale="80" zoomScaleNormal="80" workbookViewId="0">
      <selection activeCell="A2" sqref="A2:M70"/>
    </sheetView>
  </sheetViews>
  <sheetFormatPr defaultRowHeight="12.75" x14ac:dyDescent="0.2"/>
  <cols>
    <col min="1" max="1" width="16.75" style="25" customWidth="1"/>
    <col min="2" max="6" width="8.75" style="25"/>
    <col min="7" max="7" width="14.875" style="25" bestFit="1" customWidth="1"/>
    <col min="8" max="8" width="3.625" style="25" customWidth="1"/>
    <col min="9" max="9" width="24" style="26" customWidth="1"/>
    <col min="10" max="10" width="11.625" style="25" customWidth="1"/>
    <col min="11" max="11" width="13" style="25" customWidth="1"/>
    <col min="12" max="12" width="28" style="25" bestFit="1" customWidth="1"/>
    <col min="13" max="256" width="8.75" style="25"/>
    <col min="257" max="257" width="16.75" style="25" customWidth="1"/>
    <col min="258" max="262" width="8.75" style="25"/>
    <col min="263" max="263" width="14.125" style="25" bestFit="1" customWidth="1"/>
    <col min="264" max="264" width="3.625" style="25" customWidth="1"/>
    <col min="265" max="265" width="24" style="25" customWidth="1"/>
    <col min="266" max="266" width="11.625" style="25" customWidth="1"/>
    <col min="267" max="267" width="13" style="25" customWidth="1"/>
    <col min="268" max="268" width="28" style="25" bestFit="1" customWidth="1"/>
    <col min="269" max="512" width="8.75" style="25"/>
    <col min="513" max="513" width="16.75" style="25" customWidth="1"/>
    <col min="514" max="518" width="8.75" style="25"/>
    <col min="519" max="519" width="14.125" style="25" bestFit="1" customWidth="1"/>
    <col min="520" max="520" width="3.625" style="25" customWidth="1"/>
    <col min="521" max="521" width="24" style="25" customWidth="1"/>
    <col min="522" max="522" width="11.625" style="25" customWidth="1"/>
    <col min="523" max="523" width="13" style="25" customWidth="1"/>
    <col min="524" max="524" width="28" style="25" bestFit="1" customWidth="1"/>
    <col min="525" max="768" width="8.75" style="25"/>
    <col min="769" max="769" width="16.75" style="25" customWidth="1"/>
    <col min="770" max="774" width="8.75" style="25"/>
    <col min="775" max="775" width="14.125" style="25" bestFit="1" customWidth="1"/>
    <col min="776" max="776" width="3.625" style="25" customWidth="1"/>
    <col min="777" max="777" width="24" style="25" customWidth="1"/>
    <col min="778" max="778" width="11.625" style="25" customWidth="1"/>
    <col min="779" max="779" width="13" style="25" customWidth="1"/>
    <col min="780" max="780" width="28" style="25" bestFit="1" customWidth="1"/>
    <col min="781" max="1024" width="8.75" style="25"/>
    <col min="1025" max="1025" width="16.75" style="25" customWidth="1"/>
    <col min="1026" max="1030" width="8.75" style="25"/>
    <col min="1031" max="1031" width="14.125" style="25" bestFit="1" customWidth="1"/>
    <col min="1032" max="1032" width="3.625" style="25" customWidth="1"/>
    <col min="1033" max="1033" width="24" style="25" customWidth="1"/>
    <col min="1034" max="1034" width="11.625" style="25" customWidth="1"/>
    <col min="1035" max="1035" width="13" style="25" customWidth="1"/>
    <col min="1036" max="1036" width="28" style="25" bestFit="1" customWidth="1"/>
    <col min="1037" max="1280" width="8.75" style="25"/>
    <col min="1281" max="1281" width="16.75" style="25" customWidth="1"/>
    <col min="1282" max="1286" width="8.75" style="25"/>
    <col min="1287" max="1287" width="14.125" style="25" bestFit="1" customWidth="1"/>
    <col min="1288" max="1288" width="3.625" style="25" customWidth="1"/>
    <col min="1289" max="1289" width="24" style="25" customWidth="1"/>
    <col min="1290" max="1290" width="11.625" style="25" customWidth="1"/>
    <col min="1291" max="1291" width="13" style="25" customWidth="1"/>
    <col min="1292" max="1292" width="28" style="25" bestFit="1" customWidth="1"/>
    <col min="1293" max="1536" width="8.75" style="25"/>
    <col min="1537" max="1537" width="16.75" style="25" customWidth="1"/>
    <col min="1538" max="1542" width="8.75" style="25"/>
    <col min="1543" max="1543" width="14.125" style="25" bestFit="1" customWidth="1"/>
    <col min="1544" max="1544" width="3.625" style="25" customWidth="1"/>
    <col min="1545" max="1545" width="24" style="25" customWidth="1"/>
    <col min="1546" max="1546" width="11.625" style="25" customWidth="1"/>
    <col min="1547" max="1547" width="13" style="25" customWidth="1"/>
    <col min="1548" max="1548" width="28" style="25" bestFit="1" customWidth="1"/>
    <col min="1549" max="1792" width="8.75" style="25"/>
    <col min="1793" max="1793" width="16.75" style="25" customWidth="1"/>
    <col min="1794" max="1798" width="8.75" style="25"/>
    <col min="1799" max="1799" width="14.125" style="25" bestFit="1" customWidth="1"/>
    <col min="1800" max="1800" width="3.625" style="25" customWidth="1"/>
    <col min="1801" max="1801" width="24" style="25" customWidth="1"/>
    <col min="1802" max="1802" width="11.625" style="25" customWidth="1"/>
    <col min="1803" max="1803" width="13" style="25" customWidth="1"/>
    <col min="1804" max="1804" width="28" style="25" bestFit="1" customWidth="1"/>
    <col min="1805" max="2048" width="8.75" style="25"/>
    <col min="2049" max="2049" width="16.75" style="25" customWidth="1"/>
    <col min="2050" max="2054" width="8.75" style="25"/>
    <col min="2055" max="2055" width="14.125" style="25" bestFit="1" customWidth="1"/>
    <col min="2056" max="2056" width="3.625" style="25" customWidth="1"/>
    <col min="2057" max="2057" width="24" style="25" customWidth="1"/>
    <col min="2058" max="2058" width="11.625" style="25" customWidth="1"/>
    <col min="2059" max="2059" width="13" style="25" customWidth="1"/>
    <col min="2060" max="2060" width="28" style="25" bestFit="1" customWidth="1"/>
    <col min="2061" max="2304" width="8.75" style="25"/>
    <col min="2305" max="2305" width="16.75" style="25" customWidth="1"/>
    <col min="2306" max="2310" width="8.75" style="25"/>
    <col min="2311" max="2311" width="14.125" style="25" bestFit="1" customWidth="1"/>
    <col min="2312" max="2312" width="3.625" style="25" customWidth="1"/>
    <col min="2313" max="2313" width="24" style="25" customWidth="1"/>
    <col min="2314" max="2314" width="11.625" style="25" customWidth="1"/>
    <col min="2315" max="2315" width="13" style="25" customWidth="1"/>
    <col min="2316" max="2316" width="28" style="25" bestFit="1" customWidth="1"/>
    <col min="2317" max="2560" width="8.75" style="25"/>
    <col min="2561" max="2561" width="16.75" style="25" customWidth="1"/>
    <col min="2562" max="2566" width="8.75" style="25"/>
    <col min="2567" max="2567" width="14.125" style="25" bestFit="1" customWidth="1"/>
    <col min="2568" max="2568" width="3.625" style="25" customWidth="1"/>
    <col min="2569" max="2569" width="24" style="25" customWidth="1"/>
    <col min="2570" max="2570" width="11.625" style="25" customWidth="1"/>
    <col min="2571" max="2571" width="13" style="25" customWidth="1"/>
    <col min="2572" max="2572" width="28" style="25" bestFit="1" customWidth="1"/>
    <col min="2573" max="2816" width="8.75" style="25"/>
    <col min="2817" max="2817" width="16.75" style="25" customWidth="1"/>
    <col min="2818" max="2822" width="8.75" style="25"/>
    <col min="2823" max="2823" width="14.125" style="25" bestFit="1" customWidth="1"/>
    <col min="2824" max="2824" width="3.625" style="25" customWidth="1"/>
    <col min="2825" max="2825" width="24" style="25" customWidth="1"/>
    <col min="2826" max="2826" width="11.625" style="25" customWidth="1"/>
    <col min="2827" max="2827" width="13" style="25" customWidth="1"/>
    <col min="2828" max="2828" width="28" style="25" bestFit="1" customWidth="1"/>
    <col min="2829" max="3072" width="8.75" style="25"/>
    <col min="3073" max="3073" width="16.75" style="25" customWidth="1"/>
    <col min="3074" max="3078" width="8.75" style="25"/>
    <col min="3079" max="3079" width="14.125" style="25" bestFit="1" customWidth="1"/>
    <col min="3080" max="3080" width="3.625" style="25" customWidth="1"/>
    <col min="3081" max="3081" width="24" style="25" customWidth="1"/>
    <col min="3082" max="3082" width="11.625" style="25" customWidth="1"/>
    <col min="3083" max="3083" width="13" style="25" customWidth="1"/>
    <col min="3084" max="3084" width="28" style="25" bestFit="1" customWidth="1"/>
    <col min="3085" max="3328" width="8.75" style="25"/>
    <col min="3329" max="3329" width="16.75" style="25" customWidth="1"/>
    <col min="3330" max="3334" width="8.75" style="25"/>
    <col min="3335" max="3335" width="14.125" style="25" bestFit="1" customWidth="1"/>
    <col min="3336" max="3336" width="3.625" style="25" customWidth="1"/>
    <col min="3337" max="3337" width="24" style="25" customWidth="1"/>
    <col min="3338" max="3338" width="11.625" style="25" customWidth="1"/>
    <col min="3339" max="3339" width="13" style="25" customWidth="1"/>
    <col min="3340" max="3340" width="28" style="25" bestFit="1" customWidth="1"/>
    <col min="3341" max="3584" width="8.75" style="25"/>
    <col min="3585" max="3585" width="16.75" style="25" customWidth="1"/>
    <col min="3586" max="3590" width="8.75" style="25"/>
    <col min="3591" max="3591" width="14.125" style="25" bestFit="1" customWidth="1"/>
    <col min="3592" max="3592" width="3.625" style="25" customWidth="1"/>
    <col min="3593" max="3593" width="24" style="25" customWidth="1"/>
    <col min="3594" max="3594" width="11.625" style="25" customWidth="1"/>
    <col min="3595" max="3595" width="13" style="25" customWidth="1"/>
    <col min="3596" max="3596" width="28" style="25" bestFit="1" customWidth="1"/>
    <col min="3597" max="3840" width="8.75" style="25"/>
    <col min="3841" max="3841" width="16.75" style="25" customWidth="1"/>
    <col min="3842" max="3846" width="8.75" style="25"/>
    <col min="3847" max="3847" width="14.125" style="25" bestFit="1" customWidth="1"/>
    <col min="3848" max="3848" width="3.625" style="25" customWidth="1"/>
    <col min="3849" max="3849" width="24" style="25" customWidth="1"/>
    <col min="3850" max="3850" width="11.625" style="25" customWidth="1"/>
    <col min="3851" max="3851" width="13" style="25" customWidth="1"/>
    <col min="3852" max="3852" width="28" style="25" bestFit="1" customWidth="1"/>
    <col min="3853" max="4096" width="8.75" style="25"/>
    <col min="4097" max="4097" width="16.75" style="25" customWidth="1"/>
    <col min="4098" max="4102" width="8.75" style="25"/>
    <col min="4103" max="4103" width="14.125" style="25" bestFit="1" customWidth="1"/>
    <col min="4104" max="4104" width="3.625" style="25" customWidth="1"/>
    <col min="4105" max="4105" width="24" style="25" customWidth="1"/>
    <col min="4106" max="4106" width="11.625" style="25" customWidth="1"/>
    <col min="4107" max="4107" width="13" style="25" customWidth="1"/>
    <col min="4108" max="4108" width="28" style="25" bestFit="1" customWidth="1"/>
    <col min="4109" max="4352" width="8.75" style="25"/>
    <col min="4353" max="4353" width="16.75" style="25" customWidth="1"/>
    <col min="4354" max="4358" width="8.75" style="25"/>
    <col min="4359" max="4359" width="14.125" style="25" bestFit="1" customWidth="1"/>
    <col min="4360" max="4360" width="3.625" style="25" customWidth="1"/>
    <col min="4361" max="4361" width="24" style="25" customWidth="1"/>
    <col min="4362" max="4362" width="11.625" style="25" customWidth="1"/>
    <col min="4363" max="4363" width="13" style="25" customWidth="1"/>
    <col min="4364" max="4364" width="28" style="25" bestFit="1" customWidth="1"/>
    <col min="4365" max="4608" width="8.75" style="25"/>
    <col min="4609" max="4609" width="16.75" style="25" customWidth="1"/>
    <col min="4610" max="4614" width="8.75" style="25"/>
    <col min="4615" max="4615" width="14.125" style="25" bestFit="1" customWidth="1"/>
    <col min="4616" max="4616" width="3.625" style="25" customWidth="1"/>
    <col min="4617" max="4617" width="24" style="25" customWidth="1"/>
    <col min="4618" max="4618" width="11.625" style="25" customWidth="1"/>
    <col min="4619" max="4619" width="13" style="25" customWidth="1"/>
    <col min="4620" max="4620" width="28" style="25" bestFit="1" customWidth="1"/>
    <col min="4621" max="4864" width="8.75" style="25"/>
    <col min="4865" max="4865" width="16.75" style="25" customWidth="1"/>
    <col min="4866" max="4870" width="8.75" style="25"/>
    <col min="4871" max="4871" width="14.125" style="25" bestFit="1" customWidth="1"/>
    <col min="4872" max="4872" width="3.625" style="25" customWidth="1"/>
    <col min="4873" max="4873" width="24" style="25" customWidth="1"/>
    <col min="4874" max="4874" width="11.625" style="25" customWidth="1"/>
    <col min="4875" max="4875" width="13" style="25" customWidth="1"/>
    <col min="4876" max="4876" width="28" style="25" bestFit="1" customWidth="1"/>
    <col min="4877" max="5120" width="8.75" style="25"/>
    <col min="5121" max="5121" width="16.75" style="25" customWidth="1"/>
    <col min="5122" max="5126" width="8.75" style="25"/>
    <col min="5127" max="5127" width="14.125" style="25" bestFit="1" customWidth="1"/>
    <col min="5128" max="5128" width="3.625" style="25" customWidth="1"/>
    <col min="5129" max="5129" width="24" style="25" customWidth="1"/>
    <col min="5130" max="5130" width="11.625" style="25" customWidth="1"/>
    <col min="5131" max="5131" width="13" style="25" customWidth="1"/>
    <col min="5132" max="5132" width="28" style="25" bestFit="1" customWidth="1"/>
    <col min="5133" max="5376" width="8.75" style="25"/>
    <col min="5377" max="5377" width="16.75" style="25" customWidth="1"/>
    <col min="5378" max="5382" width="8.75" style="25"/>
    <col min="5383" max="5383" width="14.125" style="25" bestFit="1" customWidth="1"/>
    <col min="5384" max="5384" width="3.625" style="25" customWidth="1"/>
    <col min="5385" max="5385" width="24" style="25" customWidth="1"/>
    <col min="5386" max="5386" width="11.625" style="25" customWidth="1"/>
    <col min="5387" max="5387" width="13" style="25" customWidth="1"/>
    <col min="5388" max="5388" width="28" style="25" bestFit="1" customWidth="1"/>
    <col min="5389" max="5632" width="8.75" style="25"/>
    <col min="5633" max="5633" width="16.75" style="25" customWidth="1"/>
    <col min="5634" max="5638" width="8.75" style="25"/>
    <col min="5639" max="5639" width="14.125" style="25" bestFit="1" customWidth="1"/>
    <col min="5640" max="5640" width="3.625" style="25" customWidth="1"/>
    <col min="5641" max="5641" width="24" style="25" customWidth="1"/>
    <col min="5642" max="5642" width="11.625" style="25" customWidth="1"/>
    <col min="5643" max="5643" width="13" style="25" customWidth="1"/>
    <col min="5644" max="5644" width="28" style="25" bestFit="1" customWidth="1"/>
    <col min="5645" max="5888" width="8.75" style="25"/>
    <col min="5889" max="5889" width="16.75" style="25" customWidth="1"/>
    <col min="5890" max="5894" width="8.75" style="25"/>
    <col min="5895" max="5895" width="14.125" style="25" bestFit="1" customWidth="1"/>
    <col min="5896" max="5896" width="3.625" style="25" customWidth="1"/>
    <col min="5897" max="5897" width="24" style="25" customWidth="1"/>
    <col min="5898" max="5898" width="11.625" style="25" customWidth="1"/>
    <col min="5899" max="5899" width="13" style="25" customWidth="1"/>
    <col min="5900" max="5900" width="28" style="25" bestFit="1" customWidth="1"/>
    <col min="5901" max="6144" width="8.75" style="25"/>
    <col min="6145" max="6145" width="16.75" style="25" customWidth="1"/>
    <col min="6146" max="6150" width="8.75" style="25"/>
    <col min="6151" max="6151" width="14.125" style="25" bestFit="1" customWidth="1"/>
    <col min="6152" max="6152" width="3.625" style="25" customWidth="1"/>
    <col min="6153" max="6153" width="24" style="25" customWidth="1"/>
    <col min="6154" max="6154" width="11.625" style="25" customWidth="1"/>
    <col min="6155" max="6155" width="13" style="25" customWidth="1"/>
    <col min="6156" max="6156" width="28" style="25" bestFit="1" customWidth="1"/>
    <col min="6157" max="6400" width="8.75" style="25"/>
    <col min="6401" max="6401" width="16.75" style="25" customWidth="1"/>
    <col min="6402" max="6406" width="8.75" style="25"/>
    <col min="6407" max="6407" width="14.125" style="25" bestFit="1" customWidth="1"/>
    <col min="6408" max="6408" width="3.625" style="25" customWidth="1"/>
    <col min="6409" max="6409" width="24" style="25" customWidth="1"/>
    <col min="6410" max="6410" width="11.625" style="25" customWidth="1"/>
    <col min="6411" max="6411" width="13" style="25" customWidth="1"/>
    <col min="6412" max="6412" width="28" style="25" bestFit="1" customWidth="1"/>
    <col min="6413" max="6656" width="8.75" style="25"/>
    <col min="6657" max="6657" width="16.75" style="25" customWidth="1"/>
    <col min="6658" max="6662" width="8.75" style="25"/>
    <col min="6663" max="6663" width="14.125" style="25" bestFit="1" customWidth="1"/>
    <col min="6664" max="6664" width="3.625" style="25" customWidth="1"/>
    <col min="6665" max="6665" width="24" style="25" customWidth="1"/>
    <col min="6666" max="6666" width="11.625" style="25" customWidth="1"/>
    <col min="6667" max="6667" width="13" style="25" customWidth="1"/>
    <col min="6668" max="6668" width="28" style="25" bestFit="1" customWidth="1"/>
    <col min="6669" max="6912" width="8.75" style="25"/>
    <col min="6913" max="6913" width="16.75" style="25" customWidth="1"/>
    <col min="6914" max="6918" width="8.75" style="25"/>
    <col min="6919" max="6919" width="14.125" style="25" bestFit="1" customWidth="1"/>
    <col min="6920" max="6920" width="3.625" style="25" customWidth="1"/>
    <col min="6921" max="6921" width="24" style="25" customWidth="1"/>
    <col min="6922" max="6922" width="11.625" style="25" customWidth="1"/>
    <col min="6923" max="6923" width="13" style="25" customWidth="1"/>
    <col min="6924" max="6924" width="28" style="25" bestFit="1" customWidth="1"/>
    <col min="6925" max="7168" width="8.75" style="25"/>
    <col min="7169" max="7169" width="16.75" style="25" customWidth="1"/>
    <col min="7170" max="7174" width="8.75" style="25"/>
    <col min="7175" max="7175" width="14.125" style="25" bestFit="1" customWidth="1"/>
    <col min="7176" max="7176" width="3.625" style="25" customWidth="1"/>
    <col min="7177" max="7177" width="24" style="25" customWidth="1"/>
    <col min="7178" max="7178" width="11.625" style="25" customWidth="1"/>
    <col min="7179" max="7179" width="13" style="25" customWidth="1"/>
    <col min="7180" max="7180" width="28" style="25" bestFit="1" customWidth="1"/>
    <col min="7181" max="7424" width="8.75" style="25"/>
    <col min="7425" max="7425" width="16.75" style="25" customWidth="1"/>
    <col min="7426" max="7430" width="8.75" style="25"/>
    <col min="7431" max="7431" width="14.125" style="25" bestFit="1" customWidth="1"/>
    <col min="7432" max="7432" width="3.625" style="25" customWidth="1"/>
    <col min="7433" max="7433" width="24" style="25" customWidth="1"/>
    <col min="7434" max="7434" width="11.625" style="25" customWidth="1"/>
    <col min="7435" max="7435" width="13" style="25" customWidth="1"/>
    <col min="7436" max="7436" width="28" style="25" bestFit="1" customWidth="1"/>
    <col min="7437" max="7680" width="8.75" style="25"/>
    <col min="7681" max="7681" width="16.75" style="25" customWidth="1"/>
    <col min="7682" max="7686" width="8.75" style="25"/>
    <col min="7687" max="7687" width="14.125" style="25" bestFit="1" customWidth="1"/>
    <col min="7688" max="7688" width="3.625" style="25" customWidth="1"/>
    <col min="7689" max="7689" width="24" style="25" customWidth="1"/>
    <col min="7690" max="7690" width="11.625" style="25" customWidth="1"/>
    <col min="7691" max="7691" width="13" style="25" customWidth="1"/>
    <col min="7692" max="7692" width="28" style="25" bestFit="1" customWidth="1"/>
    <col min="7693" max="7936" width="8.75" style="25"/>
    <col min="7937" max="7937" width="16.75" style="25" customWidth="1"/>
    <col min="7938" max="7942" width="8.75" style="25"/>
    <col min="7943" max="7943" width="14.125" style="25" bestFit="1" customWidth="1"/>
    <col min="7944" max="7944" width="3.625" style="25" customWidth="1"/>
    <col min="7945" max="7945" width="24" style="25" customWidth="1"/>
    <col min="7946" max="7946" width="11.625" style="25" customWidth="1"/>
    <col min="7947" max="7947" width="13" style="25" customWidth="1"/>
    <col min="7948" max="7948" width="28" style="25" bestFit="1" customWidth="1"/>
    <col min="7949" max="8192" width="8.75" style="25"/>
    <col min="8193" max="8193" width="16.75" style="25" customWidth="1"/>
    <col min="8194" max="8198" width="8.75" style="25"/>
    <col min="8199" max="8199" width="14.125" style="25" bestFit="1" customWidth="1"/>
    <col min="8200" max="8200" width="3.625" style="25" customWidth="1"/>
    <col min="8201" max="8201" width="24" style="25" customWidth="1"/>
    <col min="8202" max="8202" width="11.625" style="25" customWidth="1"/>
    <col min="8203" max="8203" width="13" style="25" customWidth="1"/>
    <col min="8204" max="8204" width="28" style="25" bestFit="1" customWidth="1"/>
    <col min="8205" max="8448" width="8.75" style="25"/>
    <col min="8449" max="8449" width="16.75" style="25" customWidth="1"/>
    <col min="8450" max="8454" width="8.75" style="25"/>
    <col min="8455" max="8455" width="14.125" style="25" bestFit="1" customWidth="1"/>
    <col min="8456" max="8456" width="3.625" style="25" customWidth="1"/>
    <col min="8457" max="8457" width="24" style="25" customWidth="1"/>
    <col min="8458" max="8458" width="11.625" style="25" customWidth="1"/>
    <col min="8459" max="8459" width="13" style="25" customWidth="1"/>
    <col min="8460" max="8460" width="28" style="25" bestFit="1" customWidth="1"/>
    <col min="8461" max="8704" width="8.75" style="25"/>
    <col min="8705" max="8705" width="16.75" style="25" customWidth="1"/>
    <col min="8706" max="8710" width="8.75" style="25"/>
    <col min="8711" max="8711" width="14.125" style="25" bestFit="1" customWidth="1"/>
    <col min="8712" max="8712" width="3.625" style="25" customWidth="1"/>
    <col min="8713" max="8713" width="24" style="25" customWidth="1"/>
    <col min="8714" max="8714" width="11.625" style="25" customWidth="1"/>
    <col min="8715" max="8715" width="13" style="25" customWidth="1"/>
    <col min="8716" max="8716" width="28" style="25" bestFit="1" customWidth="1"/>
    <col min="8717" max="8960" width="8.75" style="25"/>
    <col min="8961" max="8961" width="16.75" style="25" customWidth="1"/>
    <col min="8962" max="8966" width="8.75" style="25"/>
    <col min="8967" max="8967" width="14.125" style="25" bestFit="1" customWidth="1"/>
    <col min="8968" max="8968" width="3.625" style="25" customWidth="1"/>
    <col min="8969" max="8969" width="24" style="25" customWidth="1"/>
    <col min="8970" max="8970" width="11.625" style="25" customWidth="1"/>
    <col min="8971" max="8971" width="13" style="25" customWidth="1"/>
    <col min="8972" max="8972" width="28" style="25" bestFit="1" customWidth="1"/>
    <col min="8973" max="9216" width="8.75" style="25"/>
    <col min="9217" max="9217" width="16.75" style="25" customWidth="1"/>
    <col min="9218" max="9222" width="8.75" style="25"/>
    <col min="9223" max="9223" width="14.125" style="25" bestFit="1" customWidth="1"/>
    <col min="9224" max="9224" width="3.625" style="25" customWidth="1"/>
    <col min="9225" max="9225" width="24" style="25" customWidth="1"/>
    <col min="9226" max="9226" width="11.625" style="25" customWidth="1"/>
    <col min="9227" max="9227" width="13" style="25" customWidth="1"/>
    <col min="9228" max="9228" width="28" style="25" bestFit="1" customWidth="1"/>
    <col min="9229" max="9472" width="8.75" style="25"/>
    <col min="9473" max="9473" width="16.75" style="25" customWidth="1"/>
    <col min="9474" max="9478" width="8.75" style="25"/>
    <col min="9479" max="9479" width="14.125" style="25" bestFit="1" customWidth="1"/>
    <col min="9480" max="9480" width="3.625" style="25" customWidth="1"/>
    <col min="9481" max="9481" width="24" style="25" customWidth="1"/>
    <col min="9482" max="9482" width="11.625" style="25" customWidth="1"/>
    <col min="9483" max="9483" width="13" style="25" customWidth="1"/>
    <col min="9484" max="9484" width="28" style="25" bestFit="1" customWidth="1"/>
    <col min="9485" max="9728" width="8.75" style="25"/>
    <col min="9729" max="9729" width="16.75" style="25" customWidth="1"/>
    <col min="9730" max="9734" width="8.75" style="25"/>
    <col min="9735" max="9735" width="14.125" style="25" bestFit="1" customWidth="1"/>
    <col min="9736" max="9736" width="3.625" style="25" customWidth="1"/>
    <col min="9737" max="9737" width="24" style="25" customWidth="1"/>
    <col min="9738" max="9738" width="11.625" style="25" customWidth="1"/>
    <col min="9739" max="9739" width="13" style="25" customWidth="1"/>
    <col min="9740" max="9740" width="28" style="25" bestFit="1" customWidth="1"/>
    <col min="9741" max="9984" width="8.75" style="25"/>
    <col min="9985" max="9985" width="16.75" style="25" customWidth="1"/>
    <col min="9986" max="9990" width="8.75" style="25"/>
    <col min="9991" max="9991" width="14.125" style="25" bestFit="1" customWidth="1"/>
    <col min="9992" max="9992" width="3.625" style="25" customWidth="1"/>
    <col min="9993" max="9993" width="24" style="25" customWidth="1"/>
    <col min="9994" max="9994" width="11.625" style="25" customWidth="1"/>
    <col min="9995" max="9995" width="13" style="25" customWidth="1"/>
    <col min="9996" max="9996" width="28" style="25" bestFit="1" customWidth="1"/>
    <col min="9997" max="10240" width="8.75" style="25"/>
    <col min="10241" max="10241" width="16.75" style="25" customWidth="1"/>
    <col min="10242" max="10246" width="8.75" style="25"/>
    <col min="10247" max="10247" width="14.125" style="25" bestFit="1" customWidth="1"/>
    <col min="10248" max="10248" width="3.625" style="25" customWidth="1"/>
    <col min="10249" max="10249" width="24" style="25" customWidth="1"/>
    <col min="10250" max="10250" width="11.625" style="25" customWidth="1"/>
    <col min="10251" max="10251" width="13" style="25" customWidth="1"/>
    <col min="10252" max="10252" width="28" style="25" bestFit="1" customWidth="1"/>
    <col min="10253" max="10496" width="8.75" style="25"/>
    <col min="10497" max="10497" width="16.75" style="25" customWidth="1"/>
    <col min="10498" max="10502" width="8.75" style="25"/>
    <col min="10503" max="10503" width="14.125" style="25" bestFit="1" customWidth="1"/>
    <col min="10504" max="10504" width="3.625" style="25" customWidth="1"/>
    <col min="10505" max="10505" width="24" style="25" customWidth="1"/>
    <col min="10506" max="10506" width="11.625" style="25" customWidth="1"/>
    <col min="10507" max="10507" width="13" style="25" customWidth="1"/>
    <col min="10508" max="10508" width="28" style="25" bestFit="1" customWidth="1"/>
    <col min="10509" max="10752" width="8.75" style="25"/>
    <col min="10753" max="10753" width="16.75" style="25" customWidth="1"/>
    <col min="10754" max="10758" width="8.75" style="25"/>
    <col min="10759" max="10759" width="14.125" style="25" bestFit="1" customWidth="1"/>
    <col min="10760" max="10760" width="3.625" style="25" customWidth="1"/>
    <col min="10761" max="10761" width="24" style="25" customWidth="1"/>
    <col min="10762" max="10762" width="11.625" style="25" customWidth="1"/>
    <col min="10763" max="10763" width="13" style="25" customWidth="1"/>
    <col min="10764" max="10764" width="28" style="25" bestFit="1" customWidth="1"/>
    <col min="10765" max="11008" width="8.75" style="25"/>
    <col min="11009" max="11009" width="16.75" style="25" customWidth="1"/>
    <col min="11010" max="11014" width="8.75" style="25"/>
    <col min="11015" max="11015" width="14.125" style="25" bestFit="1" customWidth="1"/>
    <col min="11016" max="11016" width="3.625" style="25" customWidth="1"/>
    <col min="11017" max="11017" width="24" style="25" customWidth="1"/>
    <col min="11018" max="11018" width="11.625" style="25" customWidth="1"/>
    <col min="11019" max="11019" width="13" style="25" customWidth="1"/>
    <col min="11020" max="11020" width="28" style="25" bestFit="1" customWidth="1"/>
    <col min="11021" max="11264" width="8.75" style="25"/>
    <col min="11265" max="11265" width="16.75" style="25" customWidth="1"/>
    <col min="11266" max="11270" width="8.75" style="25"/>
    <col min="11271" max="11271" width="14.125" style="25" bestFit="1" customWidth="1"/>
    <col min="11272" max="11272" width="3.625" style="25" customWidth="1"/>
    <col min="11273" max="11273" width="24" style="25" customWidth="1"/>
    <col min="11274" max="11274" width="11.625" style="25" customWidth="1"/>
    <col min="11275" max="11275" width="13" style="25" customWidth="1"/>
    <col min="11276" max="11276" width="28" style="25" bestFit="1" customWidth="1"/>
    <col min="11277" max="11520" width="8.75" style="25"/>
    <col min="11521" max="11521" width="16.75" style="25" customWidth="1"/>
    <col min="11522" max="11526" width="8.75" style="25"/>
    <col min="11527" max="11527" width="14.125" style="25" bestFit="1" customWidth="1"/>
    <col min="11528" max="11528" width="3.625" style="25" customWidth="1"/>
    <col min="11529" max="11529" width="24" style="25" customWidth="1"/>
    <col min="11530" max="11530" width="11.625" style="25" customWidth="1"/>
    <col min="11531" max="11531" width="13" style="25" customWidth="1"/>
    <col min="11532" max="11532" width="28" style="25" bestFit="1" customWidth="1"/>
    <col min="11533" max="11776" width="8.75" style="25"/>
    <col min="11777" max="11777" width="16.75" style="25" customWidth="1"/>
    <col min="11778" max="11782" width="8.75" style="25"/>
    <col min="11783" max="11783" width="14.125" style="25" bestFit="1" customWidth="1"/>
    <col min="11784" max="11784" width="3.625" style="25" customWidth="1"/>
    <col min="11785" max="11785" width="24" style="25" customWidth="1"/>
    <col min="11786" max="11786" width="11.625" style="25" customWidth="1"/>
    <col min="11787" max="11787" width="13" style="25" customWidth="1"/>
    <col min="11788" max="11788" width="28" style="25" bestFit="1" customWidth="1"/>
    <col min="11789" max="12032" width="8.75" style="25"/>
    <col min="12033" max="12033" width="16.75" style="25" customWidth="1"/>
    <col min="12034" max="12038" width="8.75" style="25"/>
    <col min="12039" max="12039" width="14.125" style="25" bestFit="1" customWidth="1"/>
    <col min="12040" max="12040" width="3.625" style="25" customWidth="1"/>
    <col min="12041" max="12041" width="24" style="25" customWidth="1"/>
    <col min="12042" max="12042" width="11.625" style="25" customWidth="1"/>
    <col min="12043" max="12043" width="13" style="25" customWidth="1"/>
    <col min="12044" max="12044" width="28" style="25" bestFit="1" customWidth="1"/>
    <col min="12045" max="12288" width="8.75" style="25"/>
    <col min="12289" max="12289" width="16.75" style="25" customWidth="1"/>
    <col min="12290" max="12294" width="8.75" style="25"/>
    <col min="12295" max="12295" width="14.125" style="25" bestFit="1" customWidth="1"/>
    <col min="12296" max="12296" width="3.625" style="25" customWidth="1"/>
    <col min="12297" max="12297" width="24" style="25" customWidth="1"/>
    <col min="12298" max="12298" width="11.625" style="25" customWidth="1"/>
    <col min="12299" max="12299" width="13" style="25" customWidth="1"/>
    <col min="12300" max="12300" width="28" style="25" bestFit="1" customWidth="1"/>
    <col min="12301" max="12544" width="8.75" style="25"/>
    <col min="12545" max="12545" width="16.75" style="25" customWidth="1"/>
    <col min="12546" max="12550" width="8.75" style="25"/>
    <col min="12551" max="12551" width="14.125" style="25" bestFit="1" customWidth="1"/>
    <col min="12552" max="12552" width="3.625" style="25" customWidth="1"/>
    <col min="12553" max="12553" width="24" style="25" customWidth="1"/>
    <col min="12554" max="12554" width="11.625" style="25" customWidth="1"/>
    <col min="12555" max="12555" width="13" style="25" customWidth="1"/>
    <col min="12556" max="12556" width="28" style="25" bestFit="1" customWidth="1"/>
    <col min="12557" max="12800" width="8.75" style="25"/>
    <col min="12801" max="12801" width="16.75" style="25" customWidth="1"/>
    <col min="12802" max="12806" width="8.75" style="25"/>
    <col min="12807" max="12807" width="14.125" style="25" bestFit="1" customWidth="1"/>
    <col min="12808" max="12808" width="3.625" style="25" customWidth="1"/>
    <col min="12809" max="12809" width="24" style="25" customWidth="1"/>
    <col min="12810" max="12810" width="11.625" style="25" customWidth="1"/>
    <col min="12811" max="12811" width="13" style="25" customWidth="1"/>
    <col min="12812" max="12812" width="28" style="25" bestFit="1" customWidth="1"/>
    <col min="12813" max="13056" width="8.75" style="25"/>
    <col min="13057" max="13057" width="16.75" style="25" customWidth="1"/>
    <col min="13058" max="13062" width="8.75" style="25"/>
    <col min="13063" max="13063" width="14.125" style="25" bestFit="1" customWidth="1"/>
    <col min="13064" max="13064" width="3.625" style="25" customWidth="1"/>
    <col min="13065" max="13065" width="24" style="25" customWidth="1"/>
    <col min="13066" max="13066" width="11.625" style="25" customWidth="1"/>
    <col min="13067" max="13067" width="13" style="25" customWidth="1"/>
    <col min="13068" max="13068" width="28" style="25" bestFit="1" customWidth="1"/>
    <col min="13069" max="13312" width="8.75" style="25"/>
    <col min="13313" max="13313" width="16.75" style="25" customWidth="1"/>
    <col min="13314" max="13318" width="8.75" style="25"/>
    <col min="13319" max="13319" width="14.125" style="25" bestFit="1" customWidth="1"/>
    <col min="13320" max="13320" width="3.625" style="25" customWidth="1"/>
    <col min="13321" max="13321" width="24" style="25" customWidth="1"/>
    <col min="13322" max="13322" width="11.625" style="25" customWidth="1"/>
    <col min="13323" max="13323" width="13" style="25" customWidth="1"/>
    <col min="13324" max="13324" width="28" style="25" bestFit="1" customWidth="1"/>
    <col min="13325" max="13568" width="8.75" style="25"/>
    <col min="13569" max="13569" width="16.75" style="25" customWidth="1"/>
    <col min="13570" max="13574" width="8.75" style="25"/>
    <col min="13575" max="13575" width="14.125" style="25" bestFit="1" customWidth="1"/>
    <col min="13576" max="13576" width="3.625" style="25" customWidth="1"/>
    <col min="13577" max="13577" width="24" style="25" customWidth="1"/>
    <col min="13578" max="13578" width="11.625" style="25" customWidth="1"/>
    <col min="13579" max="13579" width="13" style="25" customWidth="1"/>
    <col min="13580" max="13580" width="28" style="25" bestFit="1" customWidth="1"/>
    <col min="13581" max="13824" width="8.75" style="25"/>
    <col min="13825" max="13825" width="16.75" style="25" customWidth="1"/>
    <col min="13826" max="13830" width="8.75" style="25"/>
    <col min="13831" max="13831" width="14.125" style="25" bestFit="1" customWidth="1"/>
    <col min="13832" max="13832" width="3.625" style="25" customWidth="1"/>
    <col min="13833" max="13833" width="24" style="25" customWidth="1"/>
    <col min="13834" max="13834" width="11.625" style="25" customWidth="1"/>
    <col min="13835" max="13835" width="13" style="25" customWidth="1"/>
    <col min="13836" max="13836" width="28" style="25" bestFit="1" customWidth="1"/>
    <col min="13837" max="14080" width="8.75" style="25"/>
    <col min="14081" max="14081" width="16.75" style="25" customWidth="1"/>
    <col min="14082" max="14086" width="8.75" style="25"/>
    <col min="14087" max="14087" width="14.125" style="25" bestFit="1" customWidth="1"/>
    <col min="14088" max="14088" width="3.625" style="25" customWidth="1"/>
    <col min="14089" max="14089" width="24" style="25" customWidth="1"/>
    <col min="14090" max="14090" width="11.625" style="25" customWidth="1"/>
    <col min="14091" max="14091" width="13" style="25" customWidth="1"/>
    <col min="14092" max="14092" width="28" style="25" bestFit="1" customWidth="1"/>
    <col min="14093" max="14336" width="8.75" style="25"/>
    <col min="14337" max="14337" width="16.75" style="25" customWidth="1"/>
    <col min="14338" max="14342" width="8.75" style="25"/>
    <col min="14343" max="14343" width="14.125" style="25" bestFit="1" customWidth="1"/>
    <col min="14344" max="14344" width="3.625" style="25" customWidth="1"/>
    <col min="14345" max="14345" width="24" style="25" customWidth="1"/>
    <col min="14346" max="14346" width="11.625" style="25" customWidth="1"/>
    <col min="14347" max="14347" width="13" style="25" customWidth="1"/>
    <col min="14348" max="14348" width="28" style="25" bestFit="1" customWidth="1"/>
    <col min="14349" max="14592" width="8.75" style="25"/>
    <col min="14593" max="14593" width="16.75" style="25" customWidth="1"/>
    <col min="14594" max="14598" width="8.75" style="25"/>
    <col min="14599" max="14599" width="14.125" style="25" bestFit="1" customWidth="1"/>
    <col min="14600" max="14600" width="3.625" style="25" customWidth="1"/>
    <col min="14601" max="14601" width="24" style="25" customWidth="1"/>
    <col min="14602" max="14602" width="11.625" style="25" customWidth="1"/>
    <col min="14603" max="14603" width="13" style="25" customWidth="1"/>
    <col min="14604" max="14604" width="28" style="25" bestFit="1" customWidth="1"/>
    <col min="14605" max="14848" width="8.75" style="25"/>
    <col min="14849" max="14849" width="16.75" style="25" customWidth="1"/>
    <col min="14850" max="14854" width="8.75" style="25"/>
    <col min="14855" max="14855" width="14.125" style="25" bestFit="1" customWidth="1"/>
    <col min="14856" max="14856" width="3.625" style="25" customWidth="1"/>
    <col min="14857" max="14857" width="24" style="25" customWidth="1"/>
    <col min="14858" max="14858" width="11.625" style="25" customWidth="1"/>
    <col min="14859" max="14859" width="13" style="25" customWidth="1"/>
    <col min="14860" max="14860" width="28" style="25" bestFit="1" customWidth="1"/>
    <col min="14861" max="15104" width="8.75" style="25"/>
    <col min="15105" max="15105" width="16.75" style="25" customWidth="1"/>
    <col min="15106" max="15110" width="8.75" style="25"/>
    <col min="15111" max="15111" width="14.125" style="25" bestFit="1" customWidth="1"/>
    <col min="15112" max="15112" width="3.625" style="25" customWidth="1"/>
    <col min="15113" max="15113" width="24" style="25" customWidth="1"/>
    <col min="15114" max="15114" width="11.625" style="25" customWidth="1"/>
    <col min="15115" max="15115" width="13" style="25" customWidth="1"/>
    <col min="15116" max="15116" width="28" style="25" bestFit="1" customWidth="1"/>
    <col min="15117" max="15360" width="8.75" style="25"/>
    <col min="15361" max="15361" width="16.75" style="25" customWidth="1"/>
    <col min="15362" max="15366" width="8.75" style="25"/>
    <col min="15367" max="15367" width="14.125" style="25" bestFit="1" customWidth="1"/>
    <col min="15368" max="15368" width="3.625" style="25" customWidth="1"/>
    <col min="15369" max="15369" width="24" style="25" customWidth="1"/>
    <col min="15370" max="15370" width="11.625" style="25" customWidth="1"/>
    <col min="15371" max="15371" width="13" style="25" customWidth="1"/>
    <col min="15372" max="15372" width="28" style="25" bestFit="1" customWidth="1"/>
    <col min="15373" max="15616" width="8.75" style="25"/>
    <col min="15617" max="15617" width="16.75" style="25" customWidth="1"/>
    <col min="15618" max="15622" width="8.75" style="25"/>
    <col min="15623" max="15623" width="14.125" style="25" bestFit="1" customWidth="1"/>
    <col min="15624" max="15624" width="3.625" style="25" customWidth="1"/>
    <col min="15625" max="15625" width="24" style="25" customWidth="1"/>
    <col min="15626" max="15626" width="11.625" style="25" customWidth="1"/>
    <col min="15627" max="15627" width="13" style="25" customWidth="1"/>
    <col min="15628" max="15628" width="28" style="25" bestFit="1" customWidth="1"/>
    <col min="15629" max="15872" width="8.75" style="25"/>
    <col min="15873" max="15873" width="16.75" style="25" customWidth="1"/>
    <col min="15874" max="15878" width="8.75" style="25"/>
    <col min="15879" max="15879" width="14.125" style="25" bestFit="1" customWidth="1"/>
    <col min="15880" max="15880" width="3.625" style="25" customWidth="1"/>
    <col min="15881" max="15881" width="24" style="25" customWidth="1"/>
    <col min="15882" max="15882" width="11.625" style="25" customWidth="1"/>
    <col min="15883" max="15883" width="13" style="25" customWidth="1"/>
    <col min="15884" max="15884" width="28" style="25" bestFit="1" customWidth="1"/>
    <col min="15885" max="16128" width="8.75" style="25"/>
    <col min="16129" max="16129" width="16.75" style="25" customWidth="1"/>
    <col min="16130" max="16134" width="8.75" style="25"/>
    <col min="16135" max="16135" width="14.125" style="25" bestFit="1" customWidth="1"/>
    <col min="16136" max="16136" width="3.625" style="25" customWidth="1"/>
    <col min="16137" max="16137" width="24" style="25" customWidth="1"/>
    <col min="16138" max="16138" width="11.625" style="25" customWidth="1"/>
    <col min="16139" max="16139" width="13" style="25" customWidth="1"/>
    <col min="16140" max="16140" width="28" style="25" bestFit="1" customWidth="1"/>
    <col min="16141" max="16384" width="8.75" style="25"/>
  </cols>
  <sheetData>
    <row r="1" spans="1:33" ht="36.6" customHeight="1" x14ac:dyDescent="0.25">
      <c r="A1" s="434" t="s">
        <v>140</v>
      </c>
      <c r="B1" s="435"/>
      <c r="C1" s="435"/>
      <c r="D1" s="435"/>
      <c r="E1" s="435"/>
      <c r="F1" s="435"/>
      <c r="G1" s="435"/>
      <c r="H1" s="35"/>
      <c r="Q1" s="433" t="s">
        <v>540</v>
      </c>
      <c r="R1" s="433"/>
      <c r="S1" s="433"/>
      <c r="T1" s="433"/>
      <c r="U1" s="433"/>
      <c r="V1" s="433"/>
      <c r="W1" s="433"/>
      <c r="X1" s="117"/>
      <c r="Y1" s="117"/>
      <c r="Z1" s="117"/>
      <c r="AA1" s="117"/>
      <c r="AB1" s="117"/>
      <c r="AC1" s="117"/>
      <c r="AD1" s="117"/>
      <c r="AE1" s="117"/>
      <c r="AF1" s="117"/>
      <c r="AG1" s="117"/>
    </row>
    <row r="2" spans="1:33" x14ac:dyDescent="0.2">
      <c r="A2" s="25" t="s">
        <v>119</v>
      </c>
      <c r="B2" s="50">
        <f>INTERCEPT(E11:E70,F11:F70)</f>
        <v>1.8131355609980349E-3</v>
      </c>
      <c r="C2" s="25" t="e">
        <f ca="1">getformula(B2)</f>
        <v>#NAME?</v>
      </c>
      <c r="I2" s="410" t="s">
        <v>141</v>
      </c>
      <c r="J2" s="410"/>
      <c r="K2" s="410"/>
      <c r="Q2" s="118" t="s">
        <v>541</v>
      </c>
      <c r="R2" s="118"/>
      <c r="S2" s="117"/>
      <c r="T2" s="117"/>
      <c r="U2" s="118" t="s">
        <v>542</v>
      </c>
      <c r="V2" s="119"/>
      <c r="W2" s="117"/>
      <c r="X2" s="117"/>
      <c r="Y2" s="117"/>
      <c r="Z2" s="117"/>
      <c r="AA2" s="117"/>
      <c r="AB2" s="117"/>
      <c r="AC2" s="117"/>
      <c r="AD2" s="117"/>
      <c r="AE2" s="117"/>
      <c r="AF2" s="117"/>
      <c r="AG2" s="117"/>
    </row>
    <row r="3" spans="1:33" ht="25.5" x14ac:dyDescent="0.2">
      <c r="A3" s="25" t="s">
        <v>120</v>
      </c>
      <c r="B3" s="50">
        <f>SLOPE(E11:E70,F11:F70)</f>
        <v>0.64350288539150746</v>
      </c>
      <c r="C3" s="25" t="e">
        <f ca="1">getformula(B3)</f>
        <v>#NAME?</v>
      </c>
      <c r="I3" s="71" t="s">
        <v>142</v>
      </c>
      <c r="J3" s="72">
        <f>_xlfn.COVARIANCE.S(E11:E70,F11:F70)</f>
        <v>2.0562689021161877E-3</v>
      </c>
      <c r="K3" s="25" t="e">
        <f ca="1">getformula(J3)</f>
        <v>#NAME?</v>
      </c>
      <c r="Q3" s="120" t="s">
        <v>21</v>
      </c>
      <c r="R3" s="121" t="s">
        <v>543</v>
      </c>
      <c r="S3" s="120"/>
      <c r="T3" s="120"/>
      <c r="U3" s="120" t="s">
        <v>21</v>
      </c>
      <c r="V3" s="121" t="s">
        <v>543</v>
      </c>
      <c r="W3" s="120"/>
      <c r="X3" s="117"/>
      <c r="Y3" s="118" t="s">
        <v>544</v>
      </c>
      <c r="Z3" s="117"/>
      <c r="AA3" s="117"/>
      <c r="AB3" s="117"/>
      <c r="AC3" s="117"/>
      <c r="AD3" s="117"/>
      <c r="AE3" s="117"/>
      <c r="AF3" s="117"/>
      <c r="AG3" s="117"/>
    </row>
    <row r="4" spans="1:33" ht="14.25" x14ac:dyDescent="0.2">
      <c r="A4" s="25" t="s">
        <v>121</v>
      </c>
      <c r="B4" s="50">
        <f>RSQ(E11:E70,F11:F70)</f>
        <v>0.22452080461041524</v>
      </c>
      <c r="C4" s="25" t="e">
        <f ca="1">getformula(B4)</f>
        <v>#NAME?</v>
      </c>
      <c r="I4" s="71" t="s">
        <v>143</v>
      </c>
      <c r="J4" s="72">
        <f>_xlfn.VAR.S(F11:F70)</f>
        <v>3.195430741332501E-3</v>
      </c>
      <c r="K4" s="25" t="e">
        <f ca="1">getformula(J4)</f>
        <v>#NAME?</v>
      </c>
      <c r="Q4" s="122">
        <v>35186</v>
      </c>
      <c r="R4" s="117">
        <v>669.12</v>
      </c>
      <c r="S4" s="31"/>
      <c r="T4" s="31"/>
      <c r="U4" s="122">
        <v>35186</v>
      </c>
      <c r="V4" s="119">
        <v>46.25</v>
      </c>
      <c r="W4" s="31"/>
      <c r="X4" s="117"/>
      <c r="Y4" s="117"/>
      <c r="Z4" s="117"/>
      <c r="AA4" s="117"/>
      <c r="AB4" s="117"/>
      <c r="AC4" s="117"/>
      <c r="AD4" s="117"/>
      <c r="AE4" s="117"/>
      <c r="AF4" s="117"/>
      <c r="AG4" s="117"/>
    </row>
    <row r="5" spans="1:33" ht="14.25" x14ac:dyDescent="0.2">
      <c r="A5" s="25" t="s">
        <v>122</v>
      </c>
      <c r="B5" s="50">
        <f>tintercept(E11:E70,F11:F70)</f>
        <v>0.20589000740820818</v>
      </c>
      <c r="C5" s="25" t="e">
        <f ca="1">getformula(B5)</f>
        <v>#NAME?</v>
      </c>
      <c r="I5" s="71" t="s">
        <v>120</v>
      </c>
      <c r="J5" s="72">
        <f>J3/J4</f>
        <v>0.64350288539150735</v>
      </c>
      <c r="K5" s="25" t="e">
        <f ca="1">getformula(J5)</f>
        <v>#NAME?</v>
      </c>
      <c r="Q5" s="122">
        <v>35217</v>
      </c>
      <c r="R5" s="117">
        <v>670.63</v>
      </c>
      <c r="S5" s="31">
        <f>R5/R4-1</f>
        <v>2.2566953610712037E-3</v>
      </c>
      <c r="T5" s="31"/>
      <c r="U5" s="122">
        <v>35217</v>
      </c>
      <c r="V5" s="119">
        <v>38.75</v>
      </c>
      <c r="W5" s="31">
        <f t="shared" ref="W5:W38" si="0">V5/V4-1</f>
        <v>-0.16216216216216217</v>
      </c>
      <c r="X5" s="117"/>
      <c r="Y5" s="31" t="s">
        <v>545</v>
      </c>
      <c r="Z5" s="123">
        <f>COVAR(S5:S38,W5:W38)/VARP(S5:S38)</f>
        <v>-0.64075209784580789</v>
      </c>
      <c r="AA5" s="123" t="e">
        <f ca="1">getformula(Z5)</f>
        <v>#NAME?</v>
      </c>
      <c r="AB5" s="123"/>
      <c r="AC5" s="117"/>
      <c r="AD5" s="117"/>
      <c r="AE5" s="117"/>
      <c r="AF5" s="117"/>
      <c r="AG5" s="117"/>
    </row>
    <row r="6" spans="1:33" ht="14.25" x14ac:dyDescent="0.2">
      <c r="A6" s="25" t="s">
        <v>123</v>
      </c>
      <c r="B6" s="50">
        <f>tslope(E11:E70,F11:F70)</f>
        <v>4.0978609362500711</v>
      </c>
      <c r="C6" s="25" t="e">
        <f ca="1">getformula(B6)</f>
        <v>#NAME?</v>
      </c>
      <c r="I6" s="71"/>
      <c r="Q6" s="122">
        <v>35247</v>
      </c>
      <c r="R6" s="117">
        <v>639.95000000000005</v>
      </c>
      <c r="S6" s="31">
        <f t="shared" ref="S6:S38" si="1">R6/R5-1</f>
        <v>-4.5748027973696259E-2</v>
      </c>
      <c r="T6" s="31"/>
      <c r="U6" s="122">
        <v>35247</v>
      </c>
      <c r="V6" s="119">
        <v>50</v>
      </c>
      <c r="W6" s="31">
        <f t="shared" si="0"/>
        <v>0.29032258064516125</v>
      </c>
      <c r="X6" s="117"/>
      <c r="Y6" s="31"/>
      <c r="Z6" s="31"/>
      <c r="AA6" s="31"/>
      <c r="AB6" s="31"/>
      <c r="AC6" s="117"/>
      <c r="AD6" s="117"/>
      <c r="AE6" s="117"/>
      <c r="AF6" s="117"/>
      <c r="AG6" s="117"/>
    </row>
    <row r="7" spans="1:33" ht="14.25" x14ac:dyDescent="0.2">
      <c r="B7" s="50"/>
      <c r="I7" s="71"/>
      <c r="Q7" s="122">
        <v>35278</v>
      </c>
      <c r="R7" s="117">
        <v>651.99</v>
      </c>
      <c r="S7" s="31">
        <f t="shared" si="1"/>
        <v>1.8813969841393829E-2</v>
      </c>
      <c r="T7" s="31"/>
      <c r="U7" s="122">
        <v>35278</v>
      </c>
      <c r="V7" s="119">
        <v>45.625</v>
      </c>
      <c r="W7" s="31">
        <f t="shared" si="0"/>
        <v>-8.7500000000000022E-2</v>
      </c>
      <c r="X7" s="117"/>
      <c r="Y7" s="118" t="s">
        <v>546</v>
      </c>
      <c r="Z7" s="117"/>
      <c r="AA7" s="31"/>
      <c r="AB7" s="31"/>
      <c r="AC7" s="117"/>
      <c r="AD7" s="117"/>
      <c r="AE7" s="117"/>
      <c r="AF7" s="117"/>
      <c r="AG7" s="117"/>
    </row>
    <row r="8" spans="1:33" ht="15.75" x14ac:dyDescent="0.3">
      <c r="B8" s="411" t="s">
        <v>124</v>
      </c>
      <c r="C8" s="411"/>
      <c r="E8" s="411" t="s">
        <v>125</v>
      </c>
      <c r="F8" s="411"/>
      <c r="I8" s="71"/>
      <c r="Q8" s="122">
        <v>35309</v>
      </c>
      <c r="R8" s="117">
        <v>687.33</v>
      </c>
      <c r="S8" s="31">
        <f t="shared" si="1"/>
        <v>5.4203285326462014E-2</v>
      </c>
      <c r="T8" s="31"/>
      <c r="U8" s="122">
        <v>35309</v>
      </c>
      <c r="V8" s="119">
        <v>35</v>
      </c>
      <c r="W8" s="31">
        <f t="shared" si="0"/>
        <v>-0.23287671232876717</v>
      </c>
      <c r="X8" s="117"/>
      <c r="Y8" s="117" t="s">
        <v>547</v>
      </c>
      <c r="Z8" s="124">
        <v>8.4000000000000005E-2</v>
      </c>
      <c r="AA8" s="31" t="s">
        <v>548</v>
      </c>
      <c r="AB8" s="31"/>
      <c r="AC8" s="117"/>
      <c r="AD8" s="117"/>
      <c r="AE8" s="117"/>
      <c r="AF8" s="117"/>
      <c r="AG8" s="117"/>
    </row>
    <row r="9" spans="1:33" ht="14.25" x14ac:dyDescent="0.2">
      <c r="A9" s="30" t="s">
        <v>21</v>
      </c>
      <c r="B9" s="30" t="s">
        <v>139</v>
      </c>
      <c r="C9" s="30" t="s">
        <v>126</v>
      </c>
      <c r="E9" s="30" t="s">
        <v>139</v>
      </c>
      <c r="F9" s="30" t="s">
        <v>126</v>
      </c>
      <c r="I9" s="71"/>
      <c r="J9" s="412" t="e">
        <f ca="1">"Cells "&amp;CHAR(COLUMN(J13)+64)&amp;ROW(J13)&amp;":"&amp;CHAR(COLUMN(K17)+64)&amp;ROW(K17)&amp;"created with the formula "&amp;ggetformula(J13)</f>
        <v>#NAME?</v>
      </c>
      <c r="K9" s="412"/>
      <c r="Q9" s="122">
        <v>35339</v>
      </c>
      <c r="R9" s="117">
        <v>705.27</v>
      </c>
      <c r="S9" s="31">
        <f t="shared" si="1"/>
        <v>2.6100999519881096E-2</v>
      </c>
      <c r="T9" s="31"/>
      <c r="U9" s="122">
        <v>35339</v>
      </c>
      <c r="V9" s="119">
        <v>33.75</v>
      </c>
      <c r="W9" s="31">
        <f t="shared" si="0"/>
        <v>-3.5714285714285698E-2</v>
      </c>
      <c r="X9" s="117"/>
      <c r="Y9" s="117" t="s">
        <v>549</v>
      </c>
      <c r="Z9" s="124">
        <v>4.3999999999999997E-2</v>
      </c>
      <c r="AA9" s="31" t="s">
        <v>550</v>
      </c>
      <c r="AB9" s="31"/>
      <c r="AC9" s="117"/>
      <c r="AD9" s="117"/>
      <c r="AE9" s="117"/>
      <c r="AF9" s="117"/>
      <c r="AG9" s="117"/>
    </row>
    <row r="10" spans="1:33" ht="15.75" x14ac:dyDescent="0.3">
      <c r="A10" s="38">
        <v>39234</v>
      </c>
      <c r="B10" s="15">
        <v>39.9</v>
      </c>
      <c r="C10" s="15">
        <v>1503.35</v>
      </c>
      <c r="J10" s="412"/>
      <c r="K10" s="412"/>
      <c r="Q10" s="122">
        <v>35370</v>
      </c>
      <c r="R10" s="117">
        <v>757.02</v>
      </c>
      <c r="S10" s="31">
        <f t="shared" si="1"/>
        <v>7.3376153813433209E-2</v>
      </c>
      <c r="T10" s="31"/>
      <c r="U10" s="122">
        <v>35370</v>
      </c>
      <c r="V10" s="119">
        <v>16.25</v>
      </c>
      <c r="W10" s="31">
        <f t="shared" si="0"/>
        <v>-0.5185185185185186</v>
      </c>
      <c r="X10" s="117"/>
      <c r="Y10" s="117" t="s">
        <v>551</v>
      </c>
      <c r="Z10" s="31">
        <f>Z9+Z5*Z8</f>
        <v>-9.8231762190478661E-3</v>
      </c>
      <c r="AA10" s="31" t="e">
        <f ca="1">getformula(Z10)</f>
        <v>#NAME?</v>
      </c>
      <c r="AB10" s="31"/>
      <c r="AC10" s="117"/>
      <c r="AD10" s="117"/>
      <c r="AE10" s="117"/>
      <c r="AF10" s="117"/>
      <c r="AG10" s="117"/>
    </row>
    <row r="11" spans="1:33" ht="14.25" x14ac:dyDescent="0.2">
      <c r="A11" s="38">
        <v>39265</v>
      </c>
      <c r="B11" s="15">
        <v>39.78</v>
      </c>
      <c r="C11" s="15">
        <v>1455.27</v>
      </c>
      <c r="E11" s="37">
        <f>LN(B11/B10)</f>
        <v>-3.0120504699916095E-3</v>
      </c>
      <c r="F11" s="37">
        <f>LN(C11/C10)</f>
        <v>-3.2504500841186675E-2</v>
      </c>
      <c r="G11" s="25" t="e">
        <f ca="1">getformula(F11)</f>
        <v>#NAME?</v>
      </c>
      <c r="J11" s="412"/>
      <c r="K11" s="412"/>
      <c r="Q11" s="122">
        <v>35400</v>
      </c>
      <c r="R11" s="117">
        <v>740.74</v>
      </c>
      <c r="S11" s="31">
        <f t="shared" si="1"/>
        <v>-2.1505376344086002E-2</v>
      </c>
      <c r="T11" s="31"/>
      <c r="U11" s="122">
        <v>35400</v>
      </c>
      <c r="V11" s="119">
        <v>13.125</v>
      </c>
      <c r="W11" s="31">
        <f t="shared" si="0"/>
        <v>-0.19230769230769229</v>
      </c>
      <c r="X11" s="117"/>
      <c r="Y11" s="117"/>
      <c r="Z11" s="117"/>
      <c r="AA11" s="31"/>
      <c r="AB11" s="31"/>
      <c r="AC11" s="117"/>
      <c r="AD11" s="117"/>
      <c r="AE11" s="117"/>
      <c r="AF11" s="117"/>
      <c r="AG11" s="117"/>
    </row>
    <row r="12" spans="1:33" ht="14.25" x14ac:dyDescent="0.2">
      <c r="A12" s="38">
        <v>39295</v>
      </c>
      <c r="B12" s="15">
        <v>40.200000000000003</v>
      </c>
      <c r="C12" s="15">
        <v>1473.99</v>
      </c>
      <c r="E12" s="37">
        <f t="shared" ref="E12:F42" si="2">LN(B12/B11)</f>
        <v>1.05027221991492E-2</v>
      </c>
      <c r="F12" s="37">
        <f t="shared" si="2"/>
        <v>1.2781559065278813E-2</v>
      </c>
      <c r="G12" s="25" t="e">
        <f ca="1">getformula(F12)</f>
        <v>#NAME?</v>
      </c>
      <c r="J12" s="30" t="s">
        <v>127</v>
      </c>
      <c r="K12" s="30" t="s">
        <v>128</v>
      </c>
      <c r="Q12" s="122">
        <v>35431</v>
      </c>
      <c r="R12" s="117">
        <v>786.16</v>
      </c>
      <c r="S12" s="31">
        <f t="shared" si="1"/>
        <v>6.1317061317061272E-2</v>
      </c>
      <c r="T12" s="31"/>
      <c r="U12" s="122">
        <v>35431</v>
      </c>
      <c r="V12" s="119">
        <v>17.5</v>
      </c>
      <c r="W12" s="31">
        <f t="shared" si="0"/>
        <v>0.33333333333333326</v>
      </c>
      <c r="X12" s="117"/>
      <c r="Y12" s="118" t="s">
        <v>552</v>
      </c>
      <c r="Z12" s="117"/>
      <c r="AA12" s="31"/>
      <c r="AB12" s="31"/>
      <c r="AC12" s="117"/>
      <c r="AD12" s="117"/>
      <c r="AE12" s="117"/>
      <c r="AF12" s="117"/>
      <c r="AG12" s="117"/>
    </row>
    <row r="13" spans="1:33" ht="15.75" x14ac:dyDescent="0.3">
      <c r="A13" s="38">
        <v>39329</v>
      </c>
      <c r="B13" s="15">
        <v>41.73</v>
      </c>
      <c r="C13" s="15">
        <v>1526.75</v>
      </c>
      <c r="E13" s="37">
        <f t="shared" si="2"/>
        <v>3.7353298978485779E-2</v>
      </c>
      <c r="F13" s="37">
        <f t="shared" si="2"/>
        <v>3.5168283637491062E-2</v>
      </c>
      <c r="G13" s="25" t="e">
        <f ca="1">getformula(F13)</f>
        <v>#NAME?</v>
      </c>
      <c r="I13" s="26" t="s">
        <v>129</v>
      </c>
      <c r="J13" s="65">
        <f t="array" ref="J13:K17">LINEST(E11:E70,F11:F70,,1)</f>
        <v>0.64350288539150724</v>
      </c>
      <c r="K13" s="66">
        <v>1.8131355609980347E-3</v>
      </c>
      <c r="L13" s="25" t="s">
        <v>130</v>
      </c>
      <c r="Q13" s="122">
        <v>35462</v>
      </c>
      <c r="R13" s="117">
        <v>790.82</v>
      </c>
      <c r="S13" s="31">
        <f t="shared" si="1"/>
        <v>5.9275465554087248E-3</v>
      </c>
      <c r="T13" s="31"/>
      <c r="U13" s="122">
        <v>35462</v>
      </c>
      <c r="V13" s="119">
        <v>22.5</v>
      </c>
      <c r="W13" s="31">
        <f t="shared" si="0"/>
        <v>0.28571428571428581</v>
      </c>
      <c r="X13" s="117"/>
      <c r="Y13" s="117" t="s">
        <v>547</v>
      </c>
      <c r="Z13" s="124">
        <v>8.4000000000000005E-2</v>
      </c>
      <c r="AA13" s="31" t="s">
        <v>548</v>
      </c>
      <c r="AB13" s="31"/>
      <c r="AC13" s="117"/>
      <c r="AD13" s="117"/>
      <c r="AE13" s="117"/>
      <c r="AF13" s="117"/>
      <c r="AG13" s="117"/>
    </row>
    <row r="14" spans="1:33" ht="14.25" x14ac:dyDescent="0.2">
      <c r="A14" s="38">
        <v>39356</v>
      </c>
      <c r="B14" s="15">
        <v>47.04</v>
      </c>
      <c r="C14" s="15">
        <v>1549.38</v>
      </c>
      <c r="E14" s="37">
        <f t="shared" si="2"/>
        <v>0.11977800898691028</v>
      </c>
      <c r="F14" s="37">
        <f t="shared" si="2"/>
        <v>1.4713557788708606E-2</v>
      </c>
      <c r="I14" s="26" t="s">
        <v>131</v>
      </c>
      <c r="J14" s="67">
        <v>0.15703385141721599</v>
      </c>
      <c r="K14" s="68">
        <v>8.8063310299621219E-3</v>
      </c>
      <c r="L14" s="25" t="s">
        <v>132</v>
      </c>
      <c r="Q14" s="122">
        <v>35490</v>
      </c>
      <c r="R14" s="117">
        <v>757.12</v>
      </c>
      <c r="S14" s="31">
        <f t="shared" si="1"/>
        <v>-4.2613995599504406E-2</v>
      </c>
      <c r="T14" s="31"/>
      <c r="U14" s="122">
        <v>35490</v>
      </c>
      <c r="V14" s="119">
        <v>25.625</v>
      </c>
      <c r="W14" s="31">
        <f t="shared" si="0"/>
        <v>0.13888888888888884</v>
      </c>
      <c r="X14" s="117"/>
      <c r="Y14" s="117" t="s">
        <v>549</v>
      </c>
      <c r="Z14" s="124">
        <f>Z9</f>
        <v>4.3999999999999997E-2</v>
      </c>
      <c r="AA14" s="31" t="s">
        <v>550</v>
      </c>
      <c r="AB14" s="31"/>
      <c r="AC14" s="117"/>
      <c r="AD14" s="117"/>
      <c r="AE14" s="117"/>
      <c r="AF14" s="117"/>
      <c r="AG14" s="117"/>
    </row>
    <row r="15" spans="1:33" ht="14.25" x14ac:dyDescent="0.2">
      <c r="A15" s="38">
        <v>39387</v>
      </c>
      <c r="B15" s="15">
        <v>47.93</v>
      </c>
      <c r="C15" s="15">
        <v>1481.14</v>
      </c>
      <c r="E15" s="37">
        <f t="shared" si="2"/>
        <v>1.8743309581168353E-2</v>
      </c>
      <c r="F15" s="37">
        <f t="shared" si="2"/>
        <v>-4.5042789369416157E-2</v>
      </c>
      <c r="I15" s="26" t="s">
        <v>133</v>
      </c>
      <c r="J15" s="67">
        <v>0.22452080461041501</v>
      </c>
      <c r="K15" s="68">
        <v>6.8184238201327574E-2</v>
      </c>
      <c r="L15" s="25" t="s">
        <v>134</v>
      </c>
      <c r="Q15" s="122">
        <v>35521</v>
      </c>
      <c r="R15" s="117">
        <v>801.34</v>
      </c>
      <c r="S15" s="31">
        <f t="shared" si="1"/>
        <v>5.8405536770921529E-2</v>
      </c>
      <c r="T15" s="31"/>
      <c r="U15" s="122">
        <v>35521</v>
      </c>
      <c r="V15" s="119">
        <v>30</v>
      </c>
      <c r="W15" s="31">
        <f t="shared" si="0"/>
        <v>0.1707317073170731</v>
      </c>
      <c r="X15" s="117"/>
      <c r="Y15" s="117" t="s">
        <v>553</v>
      </c>
      <c r="Z15" s="125">
        <v>0.4</v>
      </c>
      <c r="AA15" s="31"/>
      <c r="AB15" s="31"/>
      <c r="AC15" s="117"/>
      <c r="AD15" s="117"/>
      <c r="AE15" s="117"/>
      <c r="AF15" s="117"/>
      <c r="AG15" s="117"/>
    </row>
    <row r="16" spans="1:33" ht="15.75" x14ac:dyDescent="0.3">
      <c r="A16" s="38">
        <v>39419</v>
      </c>
      <c r="B16" s="15">
        <v>47.23</v>
      </c>
      <c r="C16" s="15">
        <v>1468.36</v>
      </c>
      <c r="E16" s="37">
        <f t="shared" si="2"/>
        <v>-1.47123292635142E-2</v>
      </c>
      <c r="F16" s="37">
        <f t="shared" si="2"/>
        <v>-8.6659298048018304E-3</v>
      </c>
      <c r="I16" s="26" t="s">
        <v>135</v>
      </c>
      <c r="J16" s="67">
        <v>16.792464252844308</v>
      </c>
      <c r="K16" s="68">
        <v>58</v>
      </c>
      <c r="L16" s="25" t="s">
        <v>136</v>
      </c>
      <c r="Q16" s="122">
        <v>35551</v>
      </c>
      <c r="R16" s="117">
        <v>848.28</v>
      </c>
      <c r="S16" s="31">
        <f t="shared" si="1"/>
        <v>5.8576883719769324E-2</v>
      </c>
      <c r="T16" s="31"/>
      <c r="U16" s="122">
        <v>35551</v>
      </c>
      <c r="V16" s="119">
        <v>25</v>
      </c>
      <c r="W16" s="31">
        <f t="shared" si="0"/>
        <v>-0.16666666666666663</v>
      </c>
      <c r="X16" s="117"/>
      <c r="Y16" s="117" t="s">
        <v>554</v>
      </c>
      <c r="Z16" s="124">
        <f>Z13+Z15*Z14</f>
        <v>0.10160000000000001</v>
      </c>
      <c r="AA16" s="31" t="s">
        <v>555</v>
      </c>
      <c r="AB16" s="31"/>
      <c r="AC16" s="117"/>
      <c r="AD16" s="117"/>
      <c r="AE16" s="117"/>
      <c r="AF16" s="117"/>
      <c r="AG16" s="117"/>
    </row>
    <row r="17" spans="1:33" ht="15.75" x14ac:dyDescent="0.3">
      <c r="A17" s="38">
        <v>39449</v>
      </c>
      <c r="B17" s="15">
        <v>37.47</v>
      </c>
      <c r="C17" s="15">
        <v>1378.55</v>
      </c>
      <c r="E17" s="37">
        <f t="shared" si="2"/>
        <v>-0.23148867110242963</v>
      </c>
      <c r="F17" s="37">
        <f t="shared" si="2"/>
        <v>-6.3113909602276946E-2</v>
      </c>
      <c r="I17" s="26" t="s">
        <v>137</v>
      </c>
      <c r="J17" s="69">
        <v>7.806968332750297E-2</v>
      </c>
      <c r="K17" s="70">
        <v>0.26964723966753201</v>
      </c>
      <c r="L17" s="25" t="s">
        <v>138</v>
      </c>
      <c r="Q17" s="122">
        <v>35582</v>
      </c>
      <c r="R17" s="117">
        <v>885.14</v>
      </c>
      <c r="S17" s="31">
        <f t="shared" si="1"/>
        <v>4.345263356438922E-2</v>
      </c>
      <c r="T17" s="31"/>
      <c r="U17" s="122">
        <v>35582</v>
      </c>
      <c r="V17" s="119">
        <v>24.375</v>
      </c>
      <c r="W17" s="31">
        <f t="shared" si="0"/>
        <v>-2.5000000000000022E-2</v>
      </c>
      <c r="X17" s="117"/>
      <c r="Y17" s="117" t="s">
        <v>551</v>
      </c>
      <c r="Z17" s="31">
        <f>Z14*(1-Z15)+Z5*Z16</f>
        <v>-3.8700413141134093E-2</v>
      </c>
      <c r="AA17" s="31" t="e">
        <f ca="1">getformula(Z17)</f>
        <v>#NAME?</v>
      </c>
      <c r="AB17" s="31"/>
      <c r="AC17" s="117"/>
      <c r="AD17" s="117"/>
      <c r="AE17" s="117"/>
      <c r="AF17" s="117"/>
      <c r="AG17" s="117"/>
    </row>
    <row r="18" spans="1:33" ht="14.25" x14ac:dyDescent="0.2">
      <c r="A18" s="38">
        <v>39479</v>
      </c>
      <c r="B18" s="15">
        <v>36</v>
      </c>
      <c r="C18" s="15">
        <v>1330.63</v>
      </c>
      <c r="E18" s="37">
        <f t="shared" si="2"/>
        <v>-4.0021674349485961E-2</v>
      </c>
      <c r="F18" s="37">
        <f t="shared" si="2"/>
        <v>-3.5379707842082095E-2</v>
      </c>
      <c r="Q18" s="122">
        <v>35612</v>
      </c>
      <c r="R18" s="117">
        <v>954.31</v>
      </c>
      <c r="S18" s="31">
        <f t="shared" si="1"/>
        <v>7.8145830038186093E-2</v>
      </c>
      <c r="T18" s="31"/>
      <c r="U18" s="122">
        <v>35612</v>
      </c>
      <c r="V18" s="119">
        <v>26.25</v>
      </c>
      <c r="W18" s="31">
        <f t="shared" si="0"/>
        <v>7.6923076923076872E-2</v>
      </c>
      <c r="X18" s="117"/>
      <c r="Y18" s="117"/>
      <c r="Z18" s="117"/>
      <c r="AA18" s="117"/>
      <c r="AB18" s="117"/>
      <c r="AC18" s="117"/>
      <c r="AD18" s="117"/>
      <c r="AE18" s="117"/>
      <c r="AF18" s="117"/>
      <c r="AG18" s="117"/>
    </row>
    <row r="19" spans="1:33" ht="14.25" x14ac:dyDescent="0.2">
      <c r="A19" s="38">
        <v>39510</v>
      </c>
      <c r="B19" s="15">
        <v>31.11</v>
      </c>
      <c r="C19" s="15">
        <v>1322.7</v>
      </c>
      <c r="E19" s="37">
        <f t="shared" si="2"/>
        <v>-0.14598962754656439</v>
      </c>
      <c r="F19" s="37">
        <f t="shared" si="2"/>
        <v>-5.9774122413739049E-3</v>
      </c>
      <c r="Q19" s="122">
        <v>35643</v>
      </c>
      <c r="R19" s="117">
        <v>899.47</v>
      </c>
      <c r="S19" s="31">
        <f t="shared" si="1"/>
        <v>-5.7465603420272182E-2</v>
      </c>
      <c r="T19" s="31"/>
      <c r="U19" s="122">
        <v>35643</v>
      </c>
      <c r="V19" s="119">
        <v>20.9375</v>
      </c>
      <c r="W19" s="31">
        <f t="shared" si="0"/>
        <v>-0.20238095238095233</v>
      </c>
      <c r="X19" s="117"/>
      <c r="Y19" s="117"/>
      <c r="Z19" s="117"/>
      <c r="AA19" s="117"/>
      <c r="AB19" s="117"/>
      <c r="AC19" s="117"/>
      <c r="AD19" s="117"/>
      <c r="AE19" s="117"/>
      <c r="AF19" s="117"/>
      <c r="AG19" s="117"/>
    </row>
    <row r="20" spans="1:33" ht="14.25" x14ac:dyDescent="0.2">
      <c r="A20" s="38">
        <v>39539</v>
      </c>
      <c r="B20" s="15">
        <v>31.19</v>
      </c>
      <c r="C20" s="15">
        <v>1385.59</v>
      </c>
      <c r="E20" s="37">
        <f t="shared" si="2"/>
        <v>2.5682197101663468E-3</v>
      </c>
      <c r="F20" s="37">
        <f t="shared" si="2"/>
        <v>4.6450939660056381E-2</v>
      </c>
      <c r="Q20" s="122">
        <v>35674</v>
      </c>
      <c r="R20" s="117">
        <v>947.28</v>
      </c>
      <c r="S20" s="31">
        <f t="shared" si="1"/>
        <v>5.3153523741759079E-2</v>
      </c>
      <c r="T20" s="31"/>
      <c r="U20" s="122">
        <v>35674</v>
      </c>
      <c r="V20" s="119">
        <v>22.5</v>
      </c>
      <c r="W20" s="31">
        <f t="shared" si="0"/>
        <v>7.4626865671641784E-2</v>
      </c>
      <c r="X20" s="117"/>
      <c r="Y20" s="117"/>
      <c r="Z20" s="117"/>
      <c r="AA20" s="117"/>
      <c r="AB20" s="117"/>
      <c r="AC20" s="117"/>
      <c r="AD20" s="117"/>
      <c r="AE20" s="117"/>
      <c r="AF20" s="117"/>
      <c r="AG20" s="117"/>
    </row>
    <row r="21" spans="1:33" ht="14.25" x14ac:dyDescent="0.2">
      <c r="A21" s="38">
        <v>39569</v>
      </c>
      <c r="B21" s="15">
        <v>31.94</v>
      </c>
      <c r="C21" s="15">
        <v>1400.38</v>
      </c>
      <c r="E21" s="37">
        <f t="shared" si="2"/>
        <v>2.3761612167154448E-2</v>
      </c>
      <c r="F21" s="37">
        <f t="shared" si="2"/>
        <v>1.0617586652650165E-2</v>
      </c>
      <c r="Q21" s="122">
        <v>35704</v>
      </c>
      <c r="R21" s="117">
        <v>914.62</v>
      </c>
      <c r="S21" s="31">
        <f t="shared" si="1"/>
        <v>-3.4477662359597927E-2</v>
      </c>
      <c r="T21" s="31"/>
      <c r="U21" s="122">
        <v>35704</v>
      </c>
      <c r="V21" s="119">
        <v>10.1562</v>
      </c>
      <c r="W21" s="31">
        <f t="shared" si="0"/>
        <v>-0.5486133333333334</v>
      </c>
      <c r="X21" s="117"/>
      <c r="Y21" s="126"/>
      <c r="Z21" s="126"/>
      <c r="AA21" s="126"/>
      <c r="AB21" s="126"/>
      <c r="AC21" s="126"/>
      <c r="AD21" s="126"/>
      <c r="AE21" s="126"/>
      <c r="AF21" s="126"/>
      <c r="AG21" s="126"/>
    </row>
    <row r="22" spans="1:33" ht="14.25" x14ac:dyDescent="0.2">
      <c r="A22" s="38">
        <v>39601</v>
      </c>
      <c r="B22" s="15">
        <v>31.21</v>
      </c>
      <c r="C22" s="15">
        <v>1280</v>
      </c>
      <c r="E22" s="37">
        <f t="shared" si="2"/>
        <v>-2.3120586504178278E-2</v>
      </c>
      <c r="F22" s="37">
        <f t="shared" si="2"/>
        <v>-8.98835504310454E-2</v>
      </c>
      <c r="Q22" s="122">
        <v>35735</v>
      </c>
      <c r="R22" s="117">
        <v>955.4</v>
      </c>
      <c r="S22" s="31">
        <f t="shared" si="1"/>
        <v>4.4586822942861426E-2</v>
      </c>
      <c r="T22" s="31"/>
      <c r="U22" s="122">
        <v>35735</v>
      </c>
      <c r="V22" s="119">
        <v>12.5</v>
      </c>
      <c r="W22" s="31">
        <f t="shared" si="0"/>
        <v>0.23077528997065833</v>
      </c>
      <c r="X22" s="117"/>
      <c r="Y22" s="126"/>
      <c r="Z22" s="126"/>
      <c r="AA22" s="126"/>
      <c r="AB22" s="126"/>
      <c r="AC22" s="126"/>
      <c r="AD22" s="126"/>
      <c r="AE22" s="126"/>
      <c r="AF22" s="126"/>
      <c r="AG22" s="126"/>
    </row>
    <row r="23" spans="1:33" ht="14.25" x14ac:dyDescent="0.2">
      <c r="A23" s="38">
        <v>39630</v>
      </c>
      <c r="B23" s="15">
        <v>27.24</v>
      </c>
      <c r="C23" s="15">
        <v>1267.3800000000001</v>
      </c>
      <c r="E23" s="37">
        <f t="shared" si="2"/>
        <v>-0.13605207500137656</v>
      </c>
      <c r="F23" s="37">
        <f t="shared" si="2"/>
        <v>-9.9083004864562122E-3</v>
      </c>
      <c r="Q23" s="122">
        <v>35765</v>
      </c>
      <c r="R23" s="117">
        <v>970.43</v>
      </c>
      <c r="S23" s="31">
        <f t="shared" si="1"/>
        <v>1.5731630730583923E-2</v>
      </c>
      <c r="T23" s="31"/>
      <c r="U23" s="122">
        <v>35765</v>
      </c>
      <c r="V23" s="119">
        <v>6.4062000000000001</v>
      </c>
      <c r="W23" s="31">
        <f t="shared" si="0"/>
        <v>-0.48750399999999994</v>
      </c>
      <c r="X23" s="117"/>
      <c r="Y23" s="130"/>
      <c r="Z23" s="130"/>
      <c r="AA23" s="126"/>
      <c r="AB23" s="126"/>
      <c r="AC23" s="126"/>
      <c r="AD23" s="126"/>
      <c r="AE23" s="126"/>
      <c r="AF23" s="126"/>
      <c r="AG23" s="126"/>
    </row>
    <row r="24" spans="1:33" ht="14.25" x14ac:dyDescent="0.2">
      <c r="A24" s="38">
        <v>39661</v>
      </c>
      <c r="B24" s="15">
        <v>29.54</v>
      </c>
      <c r="C24" s="15">
        <v>1282.83</v>
      </c>
      <c r="E24" s="37">
        <f t="shared" si="2"/>
        <v>8.1058795821922214E-2</v>
      </c>
      <c r="F24" s="37">
        <f t="shared" si="2"/>
        <v>1.2116797460712942E-2</v>
      </c>
      <c r="Q24" s="122">
        <v>35796</v>
      </c>
      <c r="R24" s="117">
        <v>980.28</v>
      </c>
      <c r="S24" s="31">
        <f t="shared" si="1"/>
        <v>1.0150139628824384E-2</v>
      </c>
      <c r="T24" s="31"/>
      <c r="U24" s="122">
        <v>35796</v>
      </c>
      <c r="V24" s="119">
        <v>5.9375</v>
      </c>
      <c r="W24" s="31">
        <f t="shared" si="0"/>
        <v>-7.3163497861446714E-2</v>
      </c>
      <c r="X24" s="117"/>
      <c r="Y24" s="127"/>
      <c r="Z24" s="128"/>
      <c r="AA24" s="129"/>
      <c r="AB24" s="129"/>
      <c r="AC24" s="129"/>
      <c r="AD24" s="129"/>
      <c r="AE24" s="129"/>
      <c r="AF24" s="129"/>
      <c r="AG24" s="129"/>
    </row>
    <row r="25" spans="1:33" ht="14.25" x14ac:dyDescent="0.2">
      <c r="A25" s="38">
        <v>39693</v>
      </c>
      <c r="B25" s="15">
        <v>26.42</v>
      </c>
      <c r="C25" s="15">
        <v>1166.3599999999999</v>
      </c>
      <c r="E25" s="37">
        <f t="shared" si="2"/>
        <v>-0.11162397800905437</v>
      </c>
      <c r="F25" s="37">
        <f t="shared" si="2"/>
        <v>-9.5180786774375359E-2</v>
      </c>
      <c r="Q25" s="122">
        <v>35827</v>
      </c>
      <c r="R25" s="117">
        <v>1049.3399999999999</v>
      </c>
      <c r="S25" s="31">
        <f t="shared" si="1"/>
        <v>7.0449259395274799E-2</v>
      </c>
      <c r="T25" s="31"/>
      <c r="U25" s="122">
        <v>35827</v>
      </c>
      <c r="V25" s="119">
        <v>4.375</v>
      </c>
      <c r="W25" s="31">
        <f t="shared" si="0"/>
        <v>-0.26315789473684215</v>
      </c>
      <c r="X25" s="117"/>
      <c r="Y25" s="127"/>
      <c r="Z25" s="128"/>
      <c r="AA25" s="129"/>
      <c r="AB25" s="129"/>
      <c r="AC25" s="129"/>
      <c r="AD25" s="129"/>
      <c r="AE25" s="129"/>
      <c r="AF25" s="129"/>
      <c r="AG25" s="129"/>
    </row>
    <row r="26" spans="1:33" ht="14.25" x14ac:dyDescent="0.2">
      <c r="A26" s="38">
        <v>39722</v>
      </c>
      <c r="B26" s="15">
        <v>25.91</v>
      </c>
      <c r="C26" s="15">
        <v>968.75</v>
      </c>
      <c r="E26" s="37">
        <f t="shared" si="2"/>
        <v>-1.9492304520160767E-2</v>
      </c>
      <c r="F26" s="37">
        <f t="shared" si="2"/>
        <v>-0.18563648644598751</v>
      </c>
      <c r="Q26" s="122">
        <v>35855</v>
      </c>
      <c r="R26" s="117">
        <v>1101.75</v>
      </c>
      <c r="S26" s="31">
        <f t="shared" si="1"/>
        <v>4.994568014180345E-2</v>
      </c>
      <c r="T26" s="31"/>
      <c r="U26" s="122">
        <v>35855</v>
      </c>
      <c r="V26" s="119">
        <v>4.375</v>
      </c>
      <c r="W26" s="31">
        <f t="shared" si="0"/>
        <v>0</v>
      </c>
      <c r="X26" s="117"/>
      <c r="Y26" s="127"/>
      <c r="Z26" s="128"/>
      <c r="AA26" s="129"/>
      <c r="AB26" s="129"/>
      <c r="AC26" s="129"/>
      <c r="AD26" s="129"/>
      <c r="AE26" s="129"/>
      <c r="AF26" s="129"/>
      <c r="AG26" s="129"/>
    </row>
    <row r="27" spans="1:33" ht="14.25" x14ac:dyDescent="0.2">
      <c r="A27" s="38">
        <v>39755</v>
      </c>
      <c r="B27" s="15">
        <v>22.37</v>
      </c>
      <c r="C27" s="15">
        <v>896.24</v>
      </c>
      <c r="E27" s="37">
        <f t="shared" si="2"/>
        <v>-0.14690821907198037</v>
      </c>
      <c r="F27" s="37">
        <f t="shared" si="2"/>
        <v>-7.7798346417088868E-2</v>
      </c>
      <c r="Q27" s="122">
        <v>35886</v>
      </c>
      <c r="R27" s="117">
        <v>1111.75</v>
      </c>
      <c r="S27" s="31">
        <f t="shared" si="1"/>
        <v>9.0764692534603952E-3</v>
      </c>
      <c r="T27" s="31"/>
      <c r="U27" s="122">
        <v>35886</v>
      </c>
      <c r="V27" s="119">
        <v>2.1875</v>
      </c>
      <c r="W27" s="31">
        <f t="shared" si="0"/>
        <v>-0.5</v>
      </c>
      <c r="X27" s="117"/>
      <c r="Y27" s="127"/>
      <c r="Z27" s="128"/>
      <c r="AA27" s="129"/>
      <c r="AB27" s="129"/>
      <c r="AC27" s="129"/>
      <c r="AD27" s="129"/>
      <c r="AE27" s="129"/>
      <c r="AF27" s="129"/>
      <c r="AG27" s="129"/>
    </row>
    <row r="28" spans="1:33" ht="14.25" x14ac:dyDescent="0.2">
      <c r="A28" s="38">
        <v>39783</v>
      </c>
      <c r="B28" s="15">
        <v>25.82</v>
      </c>
      <c r="C28" s="15">
        <v>903.25</v>
      </c>
      <c r="E28" s="37">
        <f t="shared" si="2"/>
        <v>0.1434286099164582</v>
      </c>
      <c r="F28" s="37">
        <f t="shared" si="2"/>
        <v>7.7911357772817548E-3</v>
      </c>
      <c r="Q28" s="122">
        <v>35916</v>
      </c>
      <c r="R28" s="117">
        <v>1090.82</v>
      </c>
      <c r="S28" s="31">
        <f t="shared" si="1"/>
        <v>-1.8826174949404195E-2</v>
      </c>
      <c r="T28" s="31"/>
      <c r="U28" s="122">
        <v>35916</v>
      </c>
      <c r="V28" s="119">
        <v>2.0312000000000001</v>
      </c>
      <c r="W28" s="31">
        <f t="shared" si="0"/>
        <v>-7.1451428571428499E-2</v>
      </c>
      <c r="X28" s="117"/>
      <c r="Y28" s="127"/>
      <c r="Z28" s="128"/>
      <c r="AA28" s="129"/>
      <c r="AB28" s="129"/>
      <c r="AC28" s="129"/>
      <c r="AD28" s="129"/>
      <c r="AE28" s="129"/>
      <c r="AF28" s="129"/>
      <c r="AG28" s="129"/>
    </row>
    <row r="29" spans="1:33" ht="14.25" x14ac:dyDescent="0.2">
      <c r="A29" s="38">
        <v>39815</v>
      </c>
      <c r="B29" s="15">
        <v>24.25</v>
      </c>
      <c r="C29" s="15">
        <v>825.88</v>
      </c>
      <c r="E29" s="37">
        <f t="shared" si="2"/>
        <v>-6.2732768035004202E-2</v>
      </c>
      <c r="F29" s="37">
        <f t="shared" si="2"/>
        <v>-8.9549885511070959E-2</v>
      </c>
      <c r="Q29" s="122">
        <v>35947</v>
      </c>
      <c r="R29" s="117">
        <v>1133.8399999999999</v>
      </c>
      <c r="S29" s="31">
        <f t="shared" si="1"/>
        <v>3.9438220788031053E-2</v>
      </c>
      <c r="T29" s="31"/>
      <c r="U29" s="122">
        <v>35947</v>
      </c>
      <c r="V29" s="119">
        <v>1</v>
      </c>
      <c r="W29" s="31">
        <f t="shared" si="0"/>
        <v>-0.50768018905080736</v>
      </c>
      <c r="X29" s="117"/>
      <c r="Y29" s="126"/>
      <c r="Z29" s="129"/>
      <c r="AA29" s="129"/>
      <c r="AB29" s="129"/>
      <c r="AC29" s="129"/>
      <c r="AD29" s="129"/>
      <c r="AE29" s="129"/>
      <c r="AF29" s="129"/>
      <c r="AG29" s="129"/>
    </row>
    <row r="30" spans="1:33" ht="14.25" x14ac:dyDescent="0.2">
      <c r="A30" s="38">
        <v>39846</v>
      </c>
      <c r="B30" s="15">
        <v>20.55</v>
      </c>
      <c r="C30" s="15">
        <v>735.09</v>
      </c>
      <c r="E30" s="37">
        <f t="shared" si="2"/>
        <v>-0.16555567644124861</v>
      </c>
      <c r="F30" s="37">
        <f t="shared" si="2"/>
        <v>-0.11645654382051443</v>
      </c>
      <c r="Q30" s="122">
        <v>35977</v>
      </c>
      <c r="R30" s="117">
        <v>1120.67</v>
      </c>
      <c r="S30" s="31">
        <f t="shared" si="1"/>
        <v>-1.1615395470260248E-2</v>
      </c>
      <c r="T30" s="31"/>
      <c r="U30" s="122">
        <v>35977</v>
      </c>
      <c r="V30" s="119">
        <v>1</v>
      </c>
      <c r="W30" s="31">
        <f t="shared" si="0"/>
        <v>0</v>
      </c>
      <c r="X30" s="117"/>
      <c r="Y30" s="126"/>
      <c r="Z30" s="129"/>
      <c r="AA30" s="129"/>
      <c r="AB30" s="129"/>
      <c r="AC30" s="129"/>
      <c r="AD30" s="129"/>
      <c r="AE30" s="129"/>
      <c r="AF30" s="129"/>
      <c r="AG30" s="129"/>
    </row>
    <row r="31" spans="1:33" ht="14.25" x14ac:dyDescent="0.2">
      <c r="A31" s="38">
        <v>39874</v>
      </c>
      <c r="B31" s="15">
        <v>23.1</v>
      </c>
      <c r="C31" s="15">
        <v>797.87</v>
      </c>
      <c r="E31" s="37">
        <f t="shared" si="2"/>
        <v>0.11697167658550421</v>
      </c>
      <c r="F31" s="37">
        <f t="shared" si="2"/>
        <v>8.1952736214643773E-2</v>
      </c>
      <c r="Q31" s="122">
        <v>36008</v>
      </c>
      <c r="R31" s="117">
        <v>957.28</v>
      </c>
      <c r="S31" s="31">
        <f t="shared" si="1"/>
        <v>-0.14579671089616042</v>
      </c>
      <c r="T31" s="31"/>
      <c r="U31" s="122">
        <v>36008</v>
      </c>
      <c r="V31" s="119">
        <v>0.625</v>
      </c>
      <c r="W31" s="31">
        <f t="shared" si="0"/>
        <v>-0.375</v>
      </c>
      <c r="X31" s="117"/>
      <c r="Y31" s="130"/>
      <c r="Z31" s="131"/>
      <c r="AA31" s="131"/>
      <c r="AB31" s="131"/>
      <c r="AC31" s="131"/>
      <c r="AD31" s="131"/>
      <c r="AE31" s="129"/>
      <c r="AF31" s="129"/>
      <c r="AG31" s="129"/>
    </row>
    <row r="32" spans="1:33" ht="14.25" x14ac:dyDescent="0.2">
      <c r="A32" s="38">
        <v>39904</v>
      </c>
      <c r="B32" s="15">
        <v>20.93</v>
      </c>
      <c r="C32" s="15">
        <v>872.81</v>
      </c>
      <c r="E32" s="37">
        <f t="shared" si="2"/>
        <v>-9.864908106983955E-2</v>
      </c>
      <c r="F32" s="37">
        <f t="shared" si="2"/>
        <v>8.9772214920969498E-2</v>
      </c>
      <c r="Q32" s="122">
        <v>36039</v>
      </c>
      <c r="R32" s="117">
        <v>1017.01</v>
      </c>
      <c r="S32" s="31">
        <f t="shared" si="1"/>
        <v>6.2395537355841579E-2</v>
      </c>
      <c r="T32" s="31"/>
      <c r="U32" s="122">
        <v>36039</v>
      </c>
      <c r="V32" s="119">
        <v>0.375</v>
      </c>
      <c r="W32" s="31">
        <f t="shared" si="0"/>
        <v>-0.4</v>
      </c>
      <c r="X32" s="117"/>
      <c r="Y32" s="127"/>
      <c r="Z32" s="128"/>
      <c r="AA32" s="128"/>
      <c r="AB32" s="128"/>
      <c r="AC32" s="128"/>
      <c r="AD32" s="128"/>
      <c r="AE32" s="129"/>
      <c r="AF32" s="129"/>
      <c r="AG32" s="129"/>
    </row>
    <row r="33" spans="1:33" ht="14.25" x14ac:dyDescent="0.2">
      <c r="A33" s="38">
        <v>39934</v>
      </c>
      <c r="B33" s="15">
        <v>23.81</v>
      </c>
      <c r="C33" s="15">
        <v>919.14</v>
      </c>
      <c r="E33" s="37">
        <f t="shared" si="2"/>
        <v>0.12892212404086306</v>
      </c>
      <c r="F33" s="37">
        <f t="shared" si="2"/>
        <v>5.1720558420882315E-2</v>
      </c>
      <c r="Q33" s="122">
        <v>36069</v>
      </c>
      <c r="R33" s="117">
        <v>1098.67</v>
      </c>
      <c r="S33" s="31">
        <f t="shared" si="1"/>
        <v>8.0294195730622242E-2</v>
      </c>
      <c r="T33" s="31"/>
      <c r="U33" s="122">
        <v>36069</v>
      </c>
      <c r="V33" s="119">
        <v>0.25</v>
      </c>
      <c r="W33" s="31">
        <f t="shared" si="0"/>
        <v>-0.33333333333333337</v>
      </c>
      <c r="X33" s="117"/>
      <c r="Y33" s="127"/>
      <c r="Z33" s="128"/>
      <c r="AA33" s="128"/>
      <c r="AB33" s="128"/>
      <c r="AC33" s="128"/>
      <c r="AD33" s="128"/>
      <c r="AE33" s="129"/>
      <c r="AF33" s="129"/>
      <c r="AG33" s="129"/>
    </row>
    <row r="34" spans="1:33" ht="14.25" x14ac:dyDescent="0.2">
      <c r="A34" s="38">
        <v>39965</v>
      </c>
      <c r="B34" s="15">
        <v>24.48</v>
      </c>
      <c r="C34" s="15">
        <v>919.32</v>
      </c>
      <c r="E34" s="37">
        <f t="shared" si="2"/>
        <v>2.7750797145353924E-2</v>
      </c>
      <c r="F34" s="37">
        <f t="shared" si="2"/>
        <v>1.9581606407012827E-4</v>
      </c>
      <c r="Q34" s="122">
        <v>36100</v>
      </c>
      <c r="R34" s="117">
        <v>1163.6300000000001</v>
      </c>
      <c r="S34" s="31">
        <f t="shared" si="1"/>
        <v>5.9126034204993294E-2</v>
      </c>
      <c r="T34" s="31"/>
      <c r="U34" s="122">
        <v>36100</v>
      </c>
      <c r="V34" s="119">
        <v>0.375</v>
      </c>
      <c r="W34" s="31">
        <f t="shared" si="0"/>
        <v>0.5</v>
      </c>
      <c r="X34" s="117"/>
      <c r="Y34" s="127"/>
      <c r="Z34" s="128"/>
      <c r="AA34" s="128"/>
      <c r="AB34" s="128"/>
      <c r="AC34" s="128"/>
      <c r="AD34" s="128"/>
      <c r="AE34" s="129"/>
      <c r="AF34" s="129"/>
      <c r="AG34" s="129"/>
    </row>
    <row r="35" spans="1:33" ht="14.25" x14ac:dyDescent="0.2">
      <c r="A35" s="38">
        <v>39995</v>
      </c>
      <c r="B35" s="15">
        <v>26.28</v>
      </c>
      <c r="C35" s="15">
        <v>987.48</v>
      </c>
      <c r="E35" s="37">
        <f t="shared" si="2"/>
        <v>7.0951735972284394E-2</v>
      </c>
      <c r="F35" s="37">
        <f t="shared" si="2"/>
        <v>7.1521977088891908E-2</v>
      </c>
      <c r="Q35" s="122">
        <v>36130</v>
      </c>
      <c r="R35" s="117">
        <v>1229.23</v>
      </c>
      <c r="S35" s="31">
        <f t="shared" si="1"/>
        <v>5.6375308302467175E-2</v>
      </c>
      <c r="T35" s="31"/>
      <c r="U35" s="122">
        <v>36130</v>
      </c>
      <c r="V35" s="119">
        <v>0.25</v>
      </c>
      <c r="W35" s="31">
        <f t="shared" si="0"/>
        <v>-0.33333333333333337</v>
      </c>
      <c r="X35" s="117"/>
      <c r="Y35" s="126"/>
      <c r="Z35" s="129"/>
      <c r="AA35" s="129"/>
      <c r="AB35" s="129"/>
      <c r="AC35" s="129"/>
      <c r="AD35" s="129"/>
      <c r="AE35" s="129"/>
      <c r="AF35" s="129"/>
      <c r="AG35" s="129"/>
    </row>
    <row r="36" spans="1:33" ht="14.25" x14ac:dyDescent="0.2">
      <c r="A36" s="38">
        <v>40028</v>
      </c>
      <c r="B36" s="15">
        <v>28.39</v>
      </c>
      <c r="C36" s="15">
        <v>1020.62</v>
      </c>
      <c r="E36" s="37">
        <f t="shared" si="2"/>
        <v>7.7228776868470086E-2</v>
      </c>
      <c r="F36" s="37">
        <f t="shared" si="2"/>
        <v>3.3009321348136535E-2</v>
      </c>
      <c r="Q36" s="122">
        <v>36161</v>
      </c>
      <c r="R36" s="117">
        <v>1279.6400000000001</v>
      </c>
      <c r="S36" s="31">
        <f t="shared" si="1"/>
        <v>4.1009412396378231E-2</v>
      </c>
      <c r="T36" s="31"/>
      <c r="U36" s="122">
        <v>36161</v>
      </c>
      <c r="V36" s="119">
        <v>0.375</v>
      </c>
      <c r="W36" s="31">
        <f t="shared" si="0"/>
        <v>0.5</v>
      </c>
      <c r="X36" s="117"/>
      <c r="Y36" s="130"/>
      <c r="Z36" s="131"/>
      <c r="AA36" s="131"/>
      <c r="AB36" s="131"/>
      <c r="AC36" s="131"/>
      <c r="AD36" s="131"/>
      <c r="AE36" s="131"/>
      <c r="AF36" s="131"/>
      <c r="AG36" s="131"/>
    </row>
    <row r="37" spans="1:33" ht="14.25" x14ac:dyDescent="0.2">
      <c r="A37" s="38">
        <v>40057</v>
      </c>
      <c r="B37" s="15">
        <v>28.03</v>
      </c>
      <c r="C37" s="15">
        <v>1057.08</v>
      </c>
      <c r="E37" s="37">
        <f t="shared" si="2"/>
        <v>-1.2761605308182863E-2</v>
      </c>
      <c r="F37" s="37">
        <f t="shared" si="2"/>
        <v>3.5100104155946166E-2</v>
      </c>
      <c r="Q37" s="122">
        <v>36192</v>
      </c>
      <c r="R37" s="117">
        <v>1238.33</v>
      </c>
      <c r="S37" s="31">
        <f t="shared" si="1"/>
        <v>-3.2282516957894525E-2</v>
      </c>
      <c r="T37" s="31"/>
      <c r="U37" s="122">
        <v>36192</v>
      </c>
      <c r="V37" s="119">
        <v>1.0625</v>
      </c>
      <c r="W37" s="31">
        <f t="shared" si="0"/>
        <v>1.8333333333333335</v>
      </c>
      <c r="X37" s="117"/>
      <c r="Y37" s="127"/>
      <c r="Z37" s="128"/>
      <c r="AA37" s="128"/>
      <c r="AB37" s="128"/>
      <c r="AC37" s="128"/>
      <c r="AD37" s="128"/>
      <c r="AE37" s="128"/>
      <c r="AF37" s="128"/>
      <c r="AG37" s="128"/>
    </row>
    <row r="38" spans="1:33" ht="14.25" x14ac:dyDescent="0.2">
      <c r="A38" s="38">
        <v>40087</v>
      </c>
      <c r="B38" s="15">
        <v>27.41</v>
      </c>
      <c r="C38" s="15">
        <v>1036.19</v>
      </c>
      <c r="E38" s="37">
        <f t="shared" si="2"/>
        <v>-2.2367454862002555E-2</v>
      </c>
      <c r="F38" s="37">
        <f t="shared" si="2"/>
        <v>-1.9959865222177731E-2</v>
      </c>
      <c r="Q38" s="122">
        <v>36220</v>
      </c>
      <c r="R38" s="117">
        <v>1286.3699999999999</v>
      </c>
      <c r="S38" s="31">
        <f t="shared" si="1"/>
        <v>3.8794182487705164E-2</v>
      </c>
      <c r="T38" s="117"/>
      <c r="U38" s="122">
        <v>36220</v>
      </c>
      <c r="V38" s="119">
        <v>0.96879999999999999</v>
      </c>
      <c r="W38" s="31">
        <f t="shared" si="0"/>
        <v>-8.8188235294117678E-2</v>
      </c>
      <c r="X38" s="117"/>
      <c r="Y38" s="127"/>
      <c r="Z38" s="128"/>
      <c r="AA38" s="128"/>
      <c r="AB38" s="128"/>
      <c r="AC38" s="128"/>
      <c r="AD38" s="128"/>
      <c r="AE38" s="128"/>
      <c r="AF38" s="128"/>
      <c r="AG38" s="128"/>
    </row>
    <row r="39" spans="1:33" ht="14.25" x14ac:dyDescent="0.2">
      <c r="A39" s="38">
        <v>40119</v>
      </c>
      <c r="B39" s="15">
        <v>32.090000000000003</v>
      </c>
      <c r="C39" s="15">
        <v>1095.6300000000001</v>
      </c>
      <c r="E39" s="37">
        <f t="shared" si="2"/>
        <v>0.15763654480707118</v>
      </c>
      <c r="F39" s="37">
        <f t="shared" si="2"/>
        <v>5.5779015582807137E-2</v>
      </c>
      <c r="Q39" s="117" t="s">
        <v>556</v>
      </c>
      <c r="R39" s="117"/>
      <c r="S39" s="31">
        <f>STDEV(S5:S38)</f>
        <v>4.9132476476691937E-2</v>
      </c>
      <c r="T39" s="31"/>
      <c r="U39" s="117"/>
      <c r="V39" s="119"/>
      <c r="W39" s="31">
        <f>STDEV(W5:W38)</f>
        <v>0.43805510243326717</v>
      </c>
      <c r="X39" s="117"/>
      <c r="Y39" s="126"/>
      <c r="Z39" s="126"/>
      <c r="AA39" s="126"/>
      <c r="AB39" s="126"/>
      <c r="AC39" s="126"/>
      <c r="AD39" s="126"/>
      <c r="AE39" s="126"/>
      <c r="AF39" s="126"/>
      <c r="AG39" s="126"/>
    </row>
    <row r="40" spans="1:33" ht="14.25" x14ac:dyDescent="0.2">
      <c r="A40" s="38">
        <v>40148</v>
      </c>
      <c r="B40" s="15">
        <v>32.71</v>
      </c>
      <c r="C40" s="15">
        <v>1115.0999999999999</v>
      </c>
      <c r="E40" s="37">
        <f t="shared" si="2"/>
        <v>1.9136386428526997E-2</v>
      </c>
      <c r="F40" s="37">
        <f t="shared" si="2"/>
        <v>1.7614546700982087E-2</v>
      </c>
      <c r="Q40" s="117" t="s">
        <v>557</v>
      </c>
      <c r="R40" s="117"/>
      <c r="S40" s="31">
        <f>SQRT(12)*S39</f>
        <v>0.17019989111862627</v>
      </c>
      <c r="T40" s="31"/>
      <c r="U40" s="117"/>
      <c r="V40" s="119"/>
      <c r="W40" s="31">
        <f>SQRT(12)*W39</f>
        <v>1.5174673878584153</v>
      </c>
      <c r="X40" s="117"/>
      <c r="Y40" s="126"/>
      <c r="Z40" s="126"/>
      <c r="AA40" s="126"/>
      <c r="AB40" s="126"/>
      <c r="AC40" s="126"/>
      <c r="AD40" s="126"/>
      <c r="AE40" s="126"/>
      <c r="AF40" s="126"/>
      <c r="AG40" s="126"/>
    </row>
    <row r="41" spans="1:33" ht="14.25" x14ac:dyDescent="0.2">
      <c r="A41" s="38">
        <v>40182</v>
      </c>
      <c r="B41" s="15">
        <v>34.18</v>
      </c>
      <c r="C41" s="15">
        <v>1073.8699999999999</v>
      </c>
      <c r="E41" s="37">
        <f t="shared" si="2"/>
        <v>4.3959836137152229E-2</v>
      </c>
      <c r="F41" s="37">
        <f t="shared" si="2"/>
        <v>-3.7675141059320766E-2</v>
      </c>
      <c r="Q41" s="117"/>
      <c r="R41" s="117"/>
      <c r="S41" s="117"/>
      <c r="T41" s="117"/>
      <c r="U41" s="117"/>
      <c r="V41" s="119"/>
      <c r="W41" s="117"/>
      <c r="X41" s="117"/>
      <c r="Y41" s="117"/>
      <c r="Z41" s="117"/>
      <c r="AA41" s="117"/>
      <c r="AB41" s="117"/>
      <c r="AC41" s="117"/>
      <c r="AD41" s="117"/>
      <c r="AE41" s="117"/>
      <c r="AF41" s="117"/>
      <c r="AG41" s="117"/>
    </row>
    <row r="42" spans="1:33" ht="14.25" x14ac:dyDescent="0.2">
      <c r="A42" s="38">
        <v>40210</v>
      </c>
      <c r="B42" s="15">
        <v>33.01</v>
      </c>
      <c r="C42" s="15">
        <v>1104.49</v>
      </c>
      <c r="E42" s="37">
        <f t="shared" si="2"/>
        <v>-3.4830131822343235E-2</v>
      </c>
      <c r="F42" s="37">
        <f t="shared" si="2"/>
        <v>2.8114744036660498E-2</v>
      </c>
      <c r="Q42" s="117"/>
      <c r="R42" s="117"/>
      <c r="S42" s="117"/>
      <c r="T42" s="117"/>
      <c r="U42" s="117"/>
      <c r="V42" s="119"/>
      <c r="W42" s="117"/>
      <c r="X42" s="117"/>
      <c r="Y42" s="117"/>
      <c r="Z42" s="117"/>
      <c r="AA42" s="117"/>
      <c r="AB42" s="117"/>
      <c r="AC42" s="117"/>
      <c r="AD42" s="117"/>
      <c r="AE42" s="117"/>
      <c r="AF42" s="117"/>
      <c r="AG42" s="117"/>
    </row>
    <row r="43" spans="1:33" ht="14.25" x14ac:dyDescent="0.2">
      <c r="A43" s="38">
        <v>40238</v>
      </c>
      <c r="B43" s="15">
        <v>33.79</v>
      </c>
      <c r="C43" s="15">
        <v>1169.43</v>
      </c>
      <c r="E43" s="37">
        <f t="shared" ref="E43:F70" si="3">LN(B43/B42)</f>
        <v>2.3354354861096886E-2</v>
      </c>
      <c r="F43" s="37">
        <f t="shared" si="3"/>
        <v>5.7132760645483123E-2</v>
      </c>
      <c r="Q43" s="117"/>
      <c r="R43" s="117"/>
      <c r="S43" s="117"/>
      <c r="T43" s="117"/>
      <c r="U43" s="117"/>
      <c r="V43" s="119"/>
      <c r="W43" s="117"/>
      <c r="X43" s="117"/>
      <c r="Y43" s="117"/>
      <c r="Z43" s="117"/>
      <c r="AA43" s="117"/>
      <c r="AB43" s="117"/>
      <c r="AC43" s="117"/>
      <c r="AD43" s="117"/>
      <c r="AE43" s="117"/>
      <c r="AF43" s="117"/>
      <c r="AG43" s="117"/>
    </row>
    <row r="44" spans="1:33" ht="14.25" x14ac:dyDescent="0.2">
      <c r="A44" s="38">
        <v>40269</v>
      </c>
      <c r="B44" s="15">
        <v>31.7</v>
      </c>
      <c r="C44" s="15">
        <v>1186.69</v>
      </c>
      <c r="E44" s="37">
        <f t="shared" si="3"/>
        <v>-6.3848219842963641E-2</v>
      </c>
      <c r="F44" s="37">
        <f t="shared" si="3"/>
        <v>1.4651468311863144E-2</v>
      </c>
      <c r="Q44" s="117"/>
      <c r="R44" s="117"/>
      <c r="S44" s="117"/>
      <c r="T44" s="117"/>
      <c r="U44" s="117"/>
      <c r="V44" s="119"/>
      <c r="W44" s="117"/>
      <c r="X44" s="117"/>
      <c r="Y44" s="117"/>
      <c r="Z44" s="117"/>
      <c r="AA44" s="117"/>
      <c r="AB44" s="117"/>
      <c r="AC44" s="117"/>
      <c r="AD44" s="117"/>
      <c r="AE44" s="117"/>
      <c r="AF44" s="117"/>
      <c r="AG44" s="117"/>
    </row>
    <row r="45" spans="1:33" ht="14.25" x14ac:dyDescent="0.2">
      <c r="A45" s="38">
        <v>40301</v>
      </c>
      <c r="B45" s="15">
        <v>30.48</v>
      </c>
      <c r="C45" s="15">
        <v>1089.4100000000001</v>
      </c>
      <c r="E45" s="37">
        <f t="shared" si="3"/>
        <v>-3.9245950064789321E-2</v>
      </c>
      <c r="F45" s="37">
        <f t="shared" si="3"/>
        <v>-8.5531653633770133E-2</v>
      </c>
    </row>
    <row r="46" spans="1:33" ht="14.25" x14ac:dyDescent="0.2">
      <c r="A46" s="38">
        <v>40330</v>
      </c>
      <c r="B46" s="15">
        <v>31.98</v>
      </c>
      <c r="C46" s="15">
        <v>1030.71</v>
      </c>
      <c r="E46" s="37">
        <f t="shared" si="3"/>
        <v>4.8039976587362566E-2</v>
      </c>
      <c r="F46" s="37">
        <f t="shared" si="3"/>
        <v>-5.5388380132376618E-2</v>
      </c>
    </row>
    <row r="47" spans="1:33" ht="14.25" x14ac:dyDescent="0.2">
      <c r="A47" s="38">
        <v>40360</v>
      </c>
      <c r="B47" s="15">
        <v>31.52</v>
      </c>
      <c r="C47" s="15">
        <v>1101.5999999999999</v>
      </c>
      <c r="E47" s="37">
        <f t="shared" si="3"/>
        <v>-1.4488442416129833E-2</v>
      </c>
      <c r="F47" s="37">
        <f t="shared" si="3"/>
        <v>6.6515783274589638E-2</v>
      </c>
    </row>
    <row r="48" spans="1:33" ht="14.25" x14ac:dyDescent="0.2">
      <c r="A48" s="38">
        <v>40392</v>
      </c>
      <c r="B48" s="15">
        <v>32.159999999999997</v>
      </c>
      <c r="C48" s="15">
        <v>1049.33</v>
      </c>
      <c r="E48" s="37">
        <f t="shared" si="3"/>
        <v>2.0101179321087088E-2</v>
      </c>
      <c r="F48" s="37">
        <f t="shared" si="3"/>
        <v>-4.8611803170382606E-2</v>
      </c>
    </row>
    <row r="49" spans="1:6" ht="14.25" x14ac:dyDescent="0.2">
      <c r="A49" s="38">
        <v>40422</v>
      </c>
      <c r="B49" s="15">
        <v>34.020000000000003</v>
      </c>
      <c r="C49" s="15">
        <v>1141.2</v>
      </c>
      <c r="E49" s="37">
        <f t="shared" si="3"/>
        <v>5.6225142656950215E-2</v>
      </c>
      <c r="F49" s="37">
        <f t="shared" si="3"/>
        <v>8.3928475095282604E-2</v>
      </c>
    </row>
    <row r="50" spans="1:6" ht="14.25" x14ac:dyDescent="0.2">
      <c r="A50" s="38">
        <v>40452</v>
      </c>
      <c r="B50" s="15">
        <v>33.56</v>
      </c>
      <c r="C50" s="15">
        <v>1183.26</v>
      </c>
      <c r="E50" s="37">
        <f t="shared" si="3"/>
        <v>-1.3613705368710293E-2</v>
      </c>
      <c r="F50" s="37">
        <f t="shared" si="3"/>
        <v>3.6193000710687595E-2</v>
      </c>
    </row>
    <row r="51" spans="1:6" ht="14.25" x14ac:dyDescent="0.2">
      <c r="A51" s="38">
        <v>40483</v>
      </c>
      <c r="B51" s="15">
        <v>31.86</v>
      </c>
      <c r="C51" s="15">
        <v>1180.55</v>
      </c>
      <c r="E51" s="37">
        <f t="shared" si="3"/>
        <v>-5.1983577117103094E-2</v>
      </c>
      <c r="F51" s="37">
        <f t="shared" si="3"/>
        <v>-2.2929094870601432E-3</v>
      </c>
    </row>
    <row r="52" spans="1:6" ht="14.25" x14ac:dyDescent="0.2">
      <c r="A52" s="38">
        <v>40513</v>
      </c>
      <c r="B52" s="15">
        <v>33.659999999999997</v>
      </c>
      <c r="C52" s="15">
        <v>1257.6400000000001</v>
      </c>
      <c r="E52" s="37">
        <f t="shared" si="3"/>
        <v>5.495888428075741E-2</v>
      </c>
      <c r="F52" s="37">
        <f t="shared" si="3"/>
        <v>6.3256517221926059E-2</v>
      </c>
    </row>
    <row r="53" spans="1:6" ht="14.25" x14ac:dyDescent="0.2">
      <c r="A53" s="38">
        <v>40546</v>
      </c>
      <c r="B53" s="15">
        <v>30.98</v>
      </c>
      <c r="C53" s="15">
        <v>1286.1199999999999</v>
      </c>
      <c r="E53" s="37">
        <f t="shared" si="3"/>
        <v>-8.296835377393727E-2</v>
      </c>
      <c r="F53" s="37">
        <f t="shared" si="3"/>
        <v>2.239298525651701E-2</v>
      </c>
    </row>
    <row r="54" spans="1:6" ht="14.25" x14ac:dyDescent="0.2">
      <c r="A54" s="38">
        <v>40575</v>
      </c>
      <c r="B54" s="15">
        <v>30.42</v>
      </c>
      <c r="C54" s="15">
        <v>1327.22</v>
      </c>
      <c r="E54" s="37">
        <f t="shared" si="3"/>
        <v>-1.8241548157575754E-2</v>
      </c>
      <c r="F54" s="37">
        <f t="shared" si="3"/>
        <v>3.1456595040144836E-2</v>
      </c>
    </row>
    <row r="55" spans="1:6" ht="14.25" x14ac:dyDescent="0.2">
      <c r="A55" s="38">
        <v>40603</v>
      </c>
      <c r="B55" s="15">
        <v>31.19</v>
      </c>
      <c r="C55" s="15">
        <v>1325.83</v>
      </c>
      <c r="E55" s="37">
        <f t="shared" si="3"/>
        <v>2.4997243788565042E-2</v>
      </c>
      <c r="F55" s="37">
        <f t="shared" si="3"/>
        <v>-1.0478506829378123E-3</v>
      </c>
    </row>
    <row r="56" spans="1:6" ht="14.25" x14ac:dyDescent="0.2">
      <c r="A56" s="38">
        <v>40634</v>
      </c>
      <c r="B56" s="15">
        <v>33.97</v>
      </c>
      <c r="C56" s="15">
        <v>1363.61</v>
      </c>
      <c r="E56" s="37">
        <f t="shared" si="3"/>
        <v>8.5380251552780631E-2</v>
      </c>
      <c r="F56" s="37">
        <f t="shared" si="3"/>
        <v>2.809691636712916E-2</v>
      </c>
    </row>
    <row r="57" spans="1:6" ht="14.25" x14ac:dyDescent="0.2">
      <c r="A57" s="38">
        <v>40665</v>
      </c>
      <c r="B57" s="15">
        <v>34.729999999999997</v>
      </c>
      <c r="C57" s="15">
        <v>1345.2</v>
      </c>
      <c r="E57" s="37">
        <f t="shared" si="3"/>
        <v>2.2126084583490073E-2</v>
      </c>
      <c r="F57" s="37">
        <f t="shared" si="3"/>
        <v>-1.3592893899637262E-2</v>
      </c>
    </row>
    <row r="58" spans="1:6" ht="14.25" x14ac:dyDescent="0.2">
      <c r="A58" s="38">
        <v>40695</v>
      </c>
      <c r="B58" s="15">
        <v>33.71</v>
      </c>
      <c r="C58" s="15">
        <v>1320.64</v>
      </c>
      <c r="E58" s="37">
        <f t="shared" si="3"/>
        <v>-2.9809337510013134E-2</v>
      </c>
      <c r="F58" s="37">
        <f t="shared" si="3"/>
        <v>-1.8426233301897538E-2</v>
      </c>
    </row>
    <row r="59" spans="1:6" ht="14.25" x14ac:dyDescent="0.2">
      <c r="A59" s="38">
        <v>40725</v>
      </c>
      <c r="B59" s="15">
        <v>32.6</v>
      </c>
      <c r="C59" s="15">
        <v>1292.28</v>
      </c>
      <c r="E59" s="37">
        <f t="shared" si="3"/>
        <v>-3.348224087330743E-2</v>
      </c>
      <c r="F59" s="37">
        <f t="shared" si="3"/>
        <v>-2.1708367435427242E-2</v>
      </c>
    </row>
    <row r="60" spans="1:6" ht="14.25" x14ac:dyDescent="0.2">
      <c r="A60" s="38">
        <v>40756</v>
      </c>
      <c r="B60" s="15">
        <v>31.62</v>
      </c>
      <c r="C60" s="15">
        <v>1218.8900000000001</v>
      </c>
      <c r="E60" s="37">
        <f t="shared" si="3"/>
        <v>-3.0522456591336049E-2</v>
      </c>
      <c r="F60" s="37">
        <f t="shared" si="3"/>
        <v>-5.8467491619120418E-2</v>
      </c>
    </row>
    <row r="61" spans="1:6" ht="14.25" x14ac:dyDescent="0.2">
      <c r="A61" s="38">
        <v>40787</v>
      </c>
      <c r="B61" s="15">
        <v>31.61</v>
      </c>
      <c r="C61" s="15">
        <v>1131.42</v>
      </c>
      <c r="E61" s="37">
        <f t="shared" si="3"/>
        <v>-3.1630555379964488E-4</v>
      </c>
      <c r="F61" s="37">
        <f t="shared" si="3"/>
        <v>-7.4467127542783104E-2</v>
      </c>
    </row>
    <row r="62" spans="1:6" ht="14.25" x14ac:dyDescent="0.2">
      <c r="A62" s="38">
        <v>40819</v>
      </c>
      <c r="B62" s="15">
        <v>33.35</v>
      </c>
      <c r="C62" s="15">
        <v>1253.3</v>
      </c>
      <c r="E62" s="37">
        <f t="shared" si="3"/>
        <v>5.3584246134106471E-2</v>
      </c>
      <c r="F62" s="37">
        <f t="shared" si="3"/>
        <v>0.10230659165059017</v>
      </c>
    </row>
    <row r="63" spans="1:6" ht="14.25" x14ac:dyDescent="0.2">
      <c r="A63" s="38">
        <v>40848</v>
      </c>
      <c r="B63" s="15">
        <v>34.56</v>
      </c>
      <c r="C63" s="15">
        <v>1246.96</v>
      </c>
      <c r="E63" s="37">
        <f t="shared" si="3"/>
        <v>3.5639171574222153E-2</v>
      </c>
      <c r="F63" s="37">
        <f t="shared" si="3"/>
        <v>-5.0714834366809821E-3</v>
      </c>
    </row>
    <row r="64" spans="1:6" ht="14.25" x14ac:dyDescent="0.2">
      <c r="A64" s="38">
        <v>40878</v>
      </c>
      <c r="B64" s="15">
        <v>36.880000000000003</v>
      </c>
      <c r="C64" s="15">
        <v>1257.5999999999999</v>
      </c>
      <c r="E64" s="37">
        <f t="shared" si="3"/>
        <v>6.4972454752538128E-2</v>
      </c>
      <c r="F64" s="37">
        <f t="shared" si="3"/>
        <v>8.4965534941463527E-3</v>
      </c>
    </row>
    <row r="65" spans="1:6" ht="14.25" x14ac:dyDescent="0.2">
      <c r="A65" s="38">
        <v>40911</v>
      </c>
      <c r="B65" s="15">
        <v>37.44</v>
      </c>
      <c r="C65" s="15">
        <v>1312.41</v>
      </c>
      <c r="E65" s="37">
        <f t="shared" si="3"/>
        <v>1.5070252920998173E-2</v>
      </c>
      <c r="F65" s="37">
        <f t="shared" si="3"/>
        <v>4.2659999011137491E-2</v>
      </c>
    </row>
    <row r="66" spans="1:6" ht="14.25" x14ac:dyDescent="0.2">
      <c r="A66" s="38">
        <v>40940</v>
      </c>
      <c r="B66" s="15">
        <v>37.340000000000003</v>
      </c>
      <c r="C66" s="15">
        <v>1365.68</v>
      </c>
      <c r="E66" s="37">
        <f t="shared" si="3"/>
        <v>-2.6745134958146215E-3</v>
      </c>
      <c r="F66" s="37">
        <f t="shared" si="3"/>
        <v>3.9787331386417914E-2</v>
      </c>
    </row>
    <row r="67" spans="1:6" ht="14.25" x14ac:dyDescent="0.2">
      <c r="A67" s="38">
        <v>40969</v>
      </c>
      <c r="B67" s="15">
        <v>37.979999999999997</v>
      </c>
      <c r="C67" s="15">
        <v>1408.47</v>
      </c>
      <c r="E67" s="37">
        <f t="shared" si="3"/>
        <v>1.6994567270562991E-2</v>
      </c>
      <c r="F67" s="37">
        <f t="shared" si="3"/>
        <v>3.0851535762571346E-2</v>
      </c>
    </row>
    <row r="68" spans="1:6" ht="14.25" x14ac:dyDescent="0.2">
      <c r="A68" s="38">
        <v>41001</v>
      </c>
      <c r="B68" s="15">
        <v>38.82</v>
      </c>
      <c r="C68" s="15">
        <v>1397.91</v>
      </c>
      <c r="E68" s="37">
        <f t="shared" si="3"/>
        <v>2.1875872356724457E-2</v>
      </c>
      <c r="F68" s="37">
        <f t="shared" si="3"/>
        <v>-7.5257447960486246E-3</v>
      </c>
    </row>
    <row r="69" spans="1:6" ht="14.25" x14ac:dyDescent="0.2">
      <c r="A69" s="38">
        <v>41030</v>
      </c>
      <c r="B69" s="15">
        <v>37.17</v>
      </c>
      <c r="C69" s="15">
        <v>1310.33</v>
      </c>
      <c r="E69" s="37">
        <f t="shared" si="3"/>
        <v>-4.3433593431703353E-2</v>
      </c>
      <c r="F69" s="37">
        <f t="shared" si="3"/>
        <v>-6.4699250170469236E-2</v>
      </c>
    </row>
    <row r="70" spans="1:6" ht="14.25" x14ac:dyDescent="0.2">
      <c r="A70" s="38">
        <v>41061</v>
      </c>
      <c r="B70" s="15">
        <v>41.75</v>
      </c>
      <c r="C70" s="15">
        <v>1362.16</v>
      </c>
      <c r="E70" s="37">
        <f t="shared" si="3"/>
        <v>0.11619746698770368</v>
      </c>
      <c r="F70" s="37">
        <f t="shared" si="3"/>
        <v>3.8792661243837456E-2</v>
      </c>
    </row>
  </sheetData>
  <mergeCells count="6">
    <mergeCell ref="Q1:W1"/>
    <mergeCell ref="A1:G1"/>
    <mergeCell ref="B8:C8"/>
    <mergeCell ref="E8:F8"/>
    <mergeCell ref="J9:K11"/>
    <mergeCell ref="I2:K2"/>
  </mergeCells>
  <printOptions headings="1" gridLines="1"/>
  <pageMargins left="0.75" right="0.75" top="1" bottom="1" header="0.5" footer="0.5"/>
  <pageSetup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2"/>
  <dimension ref="A1:F311"/>
  <sheetViews>
    <sheetView topLeftCell="A8" workbookViewId="0">
      <selection activeCell="A2" sqref="A2:F311"/>
    </sheetView>
  </sheetViews>
  <sheetFormatPr defaultColWidth="8.75" defaultRowHeight="12.75" x14ac:dyDescent="0.2"/>
  <cols>
    <col min="1" max="1" width="26.25" style="25" customWidth="1"/>
    <col min="2" max="2" width="8.75" style="25"/>
    <col min="3" max="3" width="11.75" style="25" customWidth="1"/>
    <col min="4" max="5" width="8.75" style="25"/>
    <col min="6" max="6" width="45.75" style="25" customWidth="1"/>
    <col min="7" max="16384" width="8.75" style="25"/>
  </cols>
  <sheetData>
    <row r="1" spans="1:6" ht="74.25" customHeight="1" x14ac:dyDescent="0.2">
      <c r="A1" s="434" t="s">
        <v>75</v>
      </c>
      <c r="B1" s="434"/>
      <c r="C1" s="434"/>
      <c r="D1" s="434"/>
      <c r="E1" s="434"/>
      <c r="F1" s="436"/>
    </row>
    <row r="2" spans="1:6" ht="14.25" x14ac:dyDescent="0.2">
      <c r="A2" s="46" t="s">
        <v>47</v>
      </c>
      <c r="B2" s="47">
        <f>AVERAGE(E10:E311)</f>
        <v>3.6672469997991483E-3</v>
      </c>
      <c r="C2" s="43" t="e">
        <f ca="1">getformula(B2)</f>
        <v>#NAME?</v>
      </c>
    </row>
    <row r="3" spans="1:6" ht="14.25" x14ac:dyDescent="0.2">
      <c r="A3" s="43" t="s">
        <v>42</v>
      </c>
      <c r="B3" s="48">
        <f>STDEV(E10:E311)</f>
        <v>4.5763003919865174E-2</v>
      </c>
      <c r="C3" s="43" t="e">
        <f ca="1">getformula(B3)</f>
        <v>#NAME?</v>
      </c>
    </row>
    <row r="4" spans="1:6" ht="14.25" x14ac:dyDescent="0.2">
      <c r="A4" s="43"/>
      <c r="B4" s="43"/>
      <c r="C4" s="43"/>
    </row>
    <row r="5" spans="1:6" ht="14.25" x14ac:dyDescent="0.2">
      <c r="A5" s="46" t="s">
        <v>46</v>
      </c>
      <c r="B5" s="49">
        <f>12*B2</f>
        <v>4.4006963997589778E-2</v>
      </c>
      <c r="C5" s="43" t="e">
        <f ca="1">getformula(B5)</f>
        <v>#NAME?</v>
      </c>
    </row>
    <row r="6" spans="1:6" ht="14.25" x14ac:dyDescent="0.2">
      <c r="A6" s="43" t="s">
        <v>40</v>
      </c>
      <c r="B6" s="48">
        <f>SQRT(12)*B3</f>
        <v>0.15852769579236034</v>
      </c>
      <c r="C6" s="43" t="e">
        <f ca="1">getformula(B6)</f>
        <v>#NAME?</v>
      </c>
    </row>
    <row r="8" spans="1:6" ht="38.25" x14ac:dyDescent="0.2">
      <c r="A8" s="30" t="s">
        <v>21</v>
      </c>
      <c r="B8" s="30" t="s">
        <v>39</v>
      </c>
      <c r="C8" s="30" t="s">
        <v>38</v>
      </c>
      <c r="D8" s="36" t="s">
        <v>45</v>
      </c>
      <c r="E8" s="36" t="s">
        <v>44</v>
      </c>
    </row>
    <row r="9" spans="1:6" ht="14.25" x14ac:dyDescent="0.2">
      <c r="A9" s="39">
        <v>31868</v>
      </c>
      <c r="B9" s="40">
        <v>15.66</v>
      </c>
      <c r="C9" s="41"/>
      <c r="D9" s="42"/>
      <c r="E9" s="43"/>
    </row>
    <row r="10" spans="1:6" ht="14.25" x14ac:dyDescent="0.2">
      <c r="A10" s="39">
        <v>31898</v>
      </c>
      <c r="B10" s="40">
        <v>15.82</v>
      </c>
      <c r="C10" s="44">
        <f>LN(B10/B9)</f>
        <v>1.0165271776850711E-2</v>
      </c>
      <c r="D10" s="31">
        <f>'3month_treasury (2)'!D4</f>
        <v>4.8377442873847537E-3</v>
      </c>
      <c r="E10" s="45">
        <f>C10-D10</f>
        <v>5.3275274894659568E-3</v>
      </c>
      <c r="F10" s="25" t="e">
        <f ca="1">getformula(E10)</f>
        <v>#NAME?</v>
      </c>
    </row>
    <row r="11" spans="1:6" ht="14.25" x14ac:dyDescent="0.2">
      <c r="A11" s="39">
        <v>31929</v>
      </c>
      <c r="B11" s="40">
        <v>16.62</v>
      </c>
      <c r="C11" s="44">
        <f t="shared" ref="C11:C73" si="0">LN(B11/B10)</f>
        <v>4.9331827087794301E-2</v>
      </c>
      <c r="D11" s="31">
        <f>'3month_treasury (2)'!D5</f>
        <v>4.8554090109979714E-3</v>
      </c>
      <c r="E11" s="45">
        <f t="shared" ref="E11:E73" si="1">C11-D11</f>
        <v>4.447641807679633E-2</v>
      </c>
      <c r="F11" s="25" t="e">
        <f ca="1">getformula(E11)</f>
        <v>#NAME?</v>
      </c>
    </row>
    <row r="12" spans="1:6" ht="14.25" x14ac:dyDescent="0.2">
      <c r="A12" s="39">
        <v>31959</v>
      </c>
      <c r="B12" s="40">
        <v>17.440000000000001</v>
      </c>
      <c r="C12" s="44">
        <f t="shared" si="0"/>
        <v>4.8159629053531397E-2</v>
      </c>
      <c r="D12" s="31">
        <f>'3month_treasury (2)'!D6</f>
        <v>4.8642427771941254E-3</v>
      </c>
      <c r="E12" s="45">
        <f t="shared" si="1"/>
        <v>4.3295386276337271E-2</v>
      </c>
    </row>
    <row r="13" spans="1:6" ht="14.25" x14ac:dyDescent="0.2">
      <c r="A13" s="39">
        <v>31992</v>
      </c>
      <c r="B13" s="40">
        <v>18.11</v>
      </c>
      <c r="C13" s="44">
        <f t="shared" si="0"/>
        <v>3.7697853414488287E-2</v>
      </c>
      <c r="D13" s="31">
        <f>'3month_treasury (2)'!D7</f>
        <v>4.881913119358163E-3</v>
      </c>
      <c r="E13" s="45">
        <f t="shared" si="1"/>
        <v>3.2815940295130124E-2</v>
      </c>
    </row>
    <row r="14" spans="1:6" ht="14.25" hidden="1" x14ac:dyDescent="0.2">
      <c r="A14" s="39">
        <v>32021</v>
      </c>
      <c r="B14" s="40">
        <v>17.690000000000001</v>
      </c>
      <c r="C14" s="44">
        <f t="shared" si="0"/>
        <v>-2.3464763723627959E-2</v>
      </c>
      <c r="D14" s="31">
        <f>'3month_treasury (2)'!D8</f>
        <v>5.1917521831149555E-3</v>
      </c>
      <c r="E14" s="45">
        <f t="shared" si="1"/>
        <v>-2.8656515906742914E-2</v>
      </c>
    </row>
    <row r="15" spans="1:6" ht="14.25" hidden="1" x14ac:dyDescent="0.2">
      <c r="A15" s="39">
        <v>32051</v>
      </c>
      <c r="B15" s="40">
        <v>13.85</v>
      </c>
      <c r="C15" s="44">
        <f t="shared" si="0"/>
        <v>-0.24471427553834646</v>
      </c>
      <c r="D15" s="31">
        <f>'3month_treasury (2)'!D9</f>
        <v>5.5116502087120822E-3</v>
      </c>
      <c r="E15" s="45">
        <f t="shared" si="1"/>
        <v>-0.25022592574705854</v>
      </c>
    </row>
    <row r="16" spans="1:6" ht="14.25" hidden="1" x14ac:dyDescent="0.2">
      <c r="A16" s="39">
        <v>32083</v>
      </c>
      <c r="B16" s="40">
        <v>12.72</v>
      </c>
      <c r="C16" s="44">
        <f t="shared" si="0"/>
        <v>-8.5109674721371348E-2</v>
      </c>
      <c r="D16" s="31">
        <f>'3month_treasury (2)'!D10</f>
        <v>5.2716116365992384E-3</v>
      </c>
      <c r="E16" s="45">
        <f t="shared" si="1"/>
        <v>-9.0381286357970589E-2</v>
      </c>
    </row>
    <row r="17" spans="1:5" ht="14.25" hidden="1" x14ac:dyDescent="0.2">
      <c r="A17" s="39">
        <v>32112</v>
      </c>
      <c r="B17" s="40">
        <v>13.67</v>
      </c>
      <c r="C17" s="44">
        <f t="shared" si="0"/>
        <v>7.2028092823882117E-2</v>
      </c>
      <c r="D17" s="31">
        <f>'3month_treasury (2)'!D11</f>
        <v>4.881913119358163E-3</v>
      </c>
      <c r="E17" s="45">
        <f t="shared" si="1"/>
        <v>6.7146179704523953E-2</v>
      </c>
    </row>
    <row r="18" spans="1:5" ht="14.25" hidden="1" x14ac:dyDescent="0.2">
      <c r="A18" s="39">
        <v>32146</v>
      </c>
      <c r="B18" s="40">
        <v>14.14</v>
      </c>
      <c r="C18" s="44">
        <f t="shared" si="0"/>
        <v>3.3804009732568543E-2</v>
      </c>
      <c r="D18" s="31">
        <f>'3month_treasury (2)'!D12</f>
        <v>4.9526319807855429E-3</v>
      </c>
      <c r="E18" s="45">
        <f t="shared" si="1"/>
        <v>2.8851377751783001E-2</v>
      </c>
    </row>
    <row r="19" spans="1:5" ht="14.25" hidden="1" x14ac:dyDescent="0.2">
      <c r="A19" s="39">
        <v>32174</v>
      </c>
      <c r="B19" s="40">
        <v>14.79</v>
      </c>
      <c r="C19" s="44">
        <f t="shared" si="0"/>
        <v>4.4943616254281712E-2</v>
      </c>
      <c r="D19" s="31">
        <f>'3month_treasury (2)'!D13</f>
        <v>4.9880139294471403E-3</v>
      </c>
      <c r="E19" s="45">
        <f t="shared" si="1"/>
        <v>3.9955602324834569E-2</v>
      </c>
    </row>
    <row r="20" spans="1:5" ht="14.25" hidden="1" x14ac:dyDescent="0.2">
      <c r="A20" s="39">
        <v>32203</v>
      </c>
      <c r="B20" s="40">
        <v>14.34</v>
      </c>
      <c r="C20" s="44">
        <f t="shared" si="0"/>
        <v>-3.0898441551234061E-2</v>
      </c>
      <c r="D20" s="31">
        <f>'3month_treasury (2)'!D14</f>
        <v>4.8554090109979714E-3</v>
      </c>
      <c r="E20" s="45">
        <f t="shared" si="1"/>
        <v>-3.5753850562232029E-2</v>
      </c>
    </row>
    <row r="21" spans="1:5" ht="14.25" hidden="1" x14ac:dyDescent="0.2">
      <c r="A21" s="39">
        <v>32237</v>
      </c>
      <c r="B21" s="40">
        <v>14.49</v>
      </c>
      <c r="C21" s="44">
        <f t="shared" si="0"/>
        <v>1.040592116111682E-2</v>
      </c>
      <c r="D21" s="31">
        <f>'3month_treasury (2)'!D15</f>
        <v>4.8907496957232982E-3</v>
      </c>
      <c r="E21" s="45">
        <f t="shared" si="1"/>
        <v>5.5151714653935216E-3</v>
      </c>
    </row>
    <row r="22" spans="1:5" ht="14.25" hidden="1" x14ac:dyDescent="0.2">
      <c r="A22" s="39">
        <v>32265</v>
      </c>
      <c r="B22" s="40">
        <v>14.6</v>
      </c>
      <c r="C22" s="44">
        <f t="shared" si="0"/>
        <v>7.5627723816997462E-3</v>
      </c>
      <c r="D22" s="31">
        <f>'3month_treasury (2)'!D16</f>
        <v>5.0765345807847516E-3</v>
      </c>
      <c r="E22" s="45">
        <f t="shared" si="1"/>
        <v>2.4862378009149946E-3</v>
      </c>
    </row>
    <row r="23" spans="1:5" ht="14.25" hidden="1" x14ac:dyDescent="0.2">
      <c r="A23" s="39">
        <v>32295</v>
      </c>
      <c r="B23" s="40">
        <v>15.27</v>
      </c>
      <c r="C23" s="44">
        <f t="shared" si="0"/>
        <v>4.4868590516250209E-2</v>
      </c>
      <c r="D23" s="31">
        <f>'3month_treasury (2)'!D17</f>
        <v>5.3870994577942879E-3</v>
      </c>
      <c r="E23" s="45">
        <f t="shared" si="1"/>
        <v>3.9481491058455921E-2</v>
      </c>
    </row>
    <row r="24" spans="1:5" ht="14.25" hidden="1" x14ac:dyDescent="0.2">
      <c r="A24" s="39">
        <v>32325</v>
      </c>
      <c r="B24" s="40">
        <v>15.21</v>
      </c>
      <c r="C24" s="44">
        <f t="shared" si="0"/>
        <v>-3.9370129593395316E-3</v>
      </c>
      <c r="D24" s="31">
        <f>'3month_treasury (2)'!D18</f>
        <v>5.5650861408625971E-3</v>
      </c>
      <c r="E24" s="45">
        <f t="shared" si="1"/>
        <v>-9.5020991002021278E-3</v>
      </c>
    </row>
    <row r="25" spans="1:5" ht="14.25" hidden="1" x14ac:dyDescent="0.2">
      <c r="A25" s="39">
        <v>32356</v>
      </c>
      <c r="B25" s="40">
        <v>14.7</v>
      </c>
      <c r="C25" s="44">
        <f t="shared" si="0"/>
        <v>-3.4105612486510929E-2</v>
      </c>
      <c r="D25" s="31">
        <f>'3month_treasury (2)'!D19</f>
        <v>5.8059727707765992E-3</v>
      </c>
      <c r="E25" s="45">
        <f t="shared" si="1"/>
        <v>-3.9911585257287531E-2</v>
      </c>
    </row>
    <row r="26" spans="1:5" ht="14.25" hidden="1" x14ac:dyDescent="0.2">
      <c r="A26" s="39">
        <v>32387</v>
      </c>
      <c r="B26" s="40">
        <v>15.32</v>
      </c>
      <c r="C26" s="44">
        <f t="shared" si="0"/>
        <v>4.1311670527754751E-2</v>
      </c>
      <c r="D26" s="31">
        <f>'3month_treasury (2)'!D20</f>
        <v>6.1013385276049324E-3</v>
      </c>
      <c r="E26" s="45">
        <f t="shared" si="1"/>
        <v>3.5210332000149822E-2</v>
      </c>
    </row>
    <row r="27" spans="1:5" ht="14.25" hidden="1" x14ac:dyDescent="0.2">
      <c r="A27" s="39">
        <v>32419</v>
      </c>
      <c r="B27" s="40">
        <v>15.74</v>
      </c>
      <c r="C27" s="44">
        <f t="shared" si="0"/>
        <v>2.7046078676811899E-2</v>
      </c>
      <c r="D27" s="31">
        <f>'3month_treasury (2)'!D21</f>
        <v>6.2628894667300398E-3</v>
      </c>
      <c r="E27" s="45">
        <f t="shared" si="1"/>
        <v>2.0783189210081859E-2</v>
      </c>
    </row>
    <row r="28" spans="1:5" ht="14.25" hidden="1" x14ac:dyDescent="0.2">
      <c r="A28" s="39">
        <v>32448</v>
      </c>
      <c r="B28" s="40">
        <v>15.51</v>
      </c>
      <c r="C28" s="44">
        <f t="shared" si="0"/>
        <v>-1.4720265800809715E-2</v>
      </c>
      <c r="D28" s="31">
        <f>'3month_treasury (2)'!D22</f>
        <v>6.3617694380602059E-3</v>
      </c>
      <c r="E28" s="45">
        <f t="shared" si="1"/>
        <v>-2.1082035238869923E-2</v>
      </c>
    </row>
    <row r="29" spans="1:5" ht="14.25" hidden="1" x14ac:dyDescent="0.2">
      <c r="A29" s="39">
        <v>32478</v>
      </c>
      <c r="B29" s="40">
        <v>15.78</v>
      </c>
      <c r="C29" s="44">
        <f t="shared" si="0"/>
        <v>1.7258338229280783E-2</v>
      </c>
      <c r="D29" s="31">
        <f>'3month_treasury (2)'!D23</f>
        <v>6.7313591689406602E-3</v>
      </c>
      <c r="E29" s="45">
        <f t="shared" si="1"/>
        <v>1.0526979060340124E-2</v>
      </c>
    </row>
    <row r="30" spans="1:5" ht="14.25" hidden="1" x14ac:dyDescent="0.2">
      <c r="A30" s="39">
        <v>32511</v>
      </c>
      <c r="B30" s="40">
        <v>16.940000000000001</v>
      </c>
      <c r="C30" s="44">
        <f t="shared" si="0"/>
        <v>7.0934373806180256E-2</v>
      </c>
      <c r="D30" s="31">
        <f>'3month_treasury (2)'!D24</f>
        <v>7.0118973427023279E-3</v>
      </c>
      <c r="E30" s="45">
        <f t="shared" si="1"/>
        <v>6.3922476463477929E-2</v>
      </c>
    </row>
    <row r="31" spans="1:5" ht="14.25" hidden="1" x14ac:dyDescent="0.2">
      <c r="A31" s="39">
        <v>32540</v>
      </c>
      <c r="B31" s="40">
        <v>16.52</v>
      </c>
      <c r="C31" s="44">
        <f t="shared" si="0"/>
        <v>-2.5105921131076472E-2</v>
      </c>
      <c r="D31" s="31">
        <f>'3month_treasury (2)'!D25</f>
        <v>7.1933922055439281E-3</v>
      </c>
      <c r="E31" s="45">
        <f t="shared" si="1"/>
        <v>-3.2299313336620401E-2</v>
      </c>
    </row>
    <row r="32" spans="1:5" ht="14.25" hidden="1" x14ac:dyDescent="0.2">
      <c r="A32" s="39">
        <v>32568</v>
      </c>
      <c r="B32" s="40">
        <v>16.89</v>
      </c>
      <c r="C32" s="44">
        <f t="shared" si="0"/>
        <v>2.2149962726876766E-2</v>
      </c>
      <c r="D32" s="31">
        <f>'3month_treasury (2)'!D26</f>
        <v>7.4299280266515201E-3</v>
      </c>
      <c r="E32" s="45">
        <f t="shared" si="1"/>
        <v>1.4720034700225246E-2</v>
      </c>
    </row>
    <row r="33" spans="1:5" ht="14.25" hidden="1" x14ac:dyDescent="0.2">
      <c r="A33" s="39">
        <v>32601</v>
      </c>
      <c r="B33" s="40">
        <v>17.77</v>
      </c>
      <c r="C33" s="44">
        <f t="shared" si="0"/>
        <v>5.0789911346851187E-2</v>
      </c>
      <c r="D33" s="31">
        <f>'3month_treasury (2)'!D27</f>
        <v>7.6945509335663229E-3</v>
      </c>
      <c r="E33" s="45">
        <f t="shared" si="1"/>
        <v>4.3095360413284864E-2</v>
      </c>
    </row>
    <row r="34" spans="1:5" ht="14.25" hidden="1" x14ac:dyDescent="0.2">
      <c r="A34" s="39">
        <v>32629</v>
      </c>
      <c r="B34" s="40">
        <v>18.489999999999998</v>
      </c>
      <c r="C34" s="44">
        <f t="shared" si="0"/>
        <v>3.971840323247345E-2</v>
      </c>
      <c r="D34" s="31">
        <f>'3month_treasury (2)'!D28</f>
        <v>7.5393252636729753E-3</v>
      </c>
      <c r="E34" s="45">
        <f t="shared" si="1"/>
        <v>3.2179077968800471E-2</v>
      </c>
    </row>
    <row r="35" spans="1:5" ht="14.25" hidden="1" x14ac:dyDescent="0.2">
      <c r="A35" s="39">
        <v>32660</v>
      </c>
      <c r="B35" s="40">
        <v>18.38</v>
      </c>
      <c r="C35" s="44">
        <f t="shared" si="0"/>
        <v>-5.9669284714925037E-3</v>
      </c>
      <c r="D35" s="31">
        <f>'3month_treasury (2)'!D29</f>
        <v>7.3388732390375624E-3</v>
      </c>
      <c r="E35" s="45">
        <f t="shared" si="1"/>
        <v>-1.3305801710530066E-2</v>
      </c>
    </row>
    <row r="36" spans="1:5" ht="14.25" hidden="1" x14ac:dyDescent="0.2">
      <c r="A36" s="39">
        <v>32692</v>
      </c>
      <c r="B36" s="40">
        <v>20.03</v>
      </c>
      <c r="C36" s="44">
        <f t="shared" si="0"/>
        <v>8.5968032750186024E-2</v>
      </c>
      <c r="D36" s="31">
        <f>'3month_treasury (2)'!D30</f>
        <v>7.0844478605797392E-3</v>
      </c>
      <c r="E36" s="45">
        <f t="shared" si="1"/>
        <v>7.8883584889606284E-2</v>
      </c>
    </row>
    <row r="37" spans="1:5" ht="14.25" hidden="1" x14ac:dyDescent="0.2">
      <c r="A37" s="39">
        <v>32721</v>
      </c>
      <c r="B37" s="40">
        <v>20.399999999999999</v>
      </c>
      <c r="C37" s="44">
        <f t="shared" si="0"/>
        <v>1.830375117244365E-2</v>
      </c>
      <c r="D37" s="31">
        <f>'3month_treasury (2)'!D31</f>
        <v>6.839842586300565E-3</v>
      </c>
      <c r="E37" s="45">
        <f t="shared" si="1"/>
        <v>1.1463908586143084E-2</v>
      </c>
    </row>
    <row r="38" spans="1:5" ht="14.25" hidden="1" x14ac:dyDescent="0.2">
      <c r="A38" s="39">
        <v>32752</v>
      </c>
      <c r="B38" s="40">
        <v>20.32</v>
      </c>
      <c r="C38" s="44">
        <f t="shared" si="0"/>
        <v>-3.9292781398894382E-3</v>
      </c>
      <c r="D38" s="31">
        <f>'3month_treasury (2)'!D32</f>
        <v>6.85793689390252E-3</v>
      </c>
      <c r="E38" s="45">
        <f t="shared" si="1"/>
        <v>-1.0787215033791958E-2</v>
      </c>
    </row>
    <row r="39" spans="1:5" ht="14.25" hidden="1" x14ac:dyDescent="0.2">
      <c r="A39" s="39">
        <v>32783</v>
      </c>
      <c r="B39" s="40">
        <v>19.850000000000001</v>
      </c>
      <c r="C39" s="44">
        <f t="shared" si="0"/>
        <v>-2.3401615577081682E-2</v>
      </c>
      <c r="D39" s="31">
        <f>'3month_treasury (2)'!D33</f>
        <v>6.7223252556212259E-3</v>
      </c>
      <c r="E39" s="45">
        <f t="shared" si="1"/>
        <v>-3.0123940832702908E-2</v>
      </c>
    </row>
    <row r="40" spans="1:5" ht="14.25" hidden="1" x14ac:dyDescent="0.2">
      <c r="A40" s="39">
        <v>32813</v>
      </c>
      <c r="B40" s="40">
        <v>20.25</v>
      </c>
      <c r="C40" s="44">
        <f t="shared" si="0"/>
        <v>1.9950786419348693E-2</v>
      </c>
      <c r="D40" s="31">
        <f>'3month_treasury (2)'!D34</f>
        <v>6.6230167918164039E-3</v>
      </c>
      <c r="E40" s="45">
        <f t="shared" si="1"/>
        <v>1.332776962753229E-2</v>
      </c>
    </row>
    <row r="41" spans="1:5" ht="14.25" hidden="1" x14ac:dyDescent="0.2">
      <c r="A41" s="39">
        <v>32843</v>
      </c>
      <c r="B41" s="40">
        <v>20.74</v>
      </c>
      <c r="C41" s="44">
        <f t="shared" si="0"/>
        <v>2.3909409248833106E-2</v>
      </c>
      <c r="D41" s="31">
        <f>'3month_treasury (2)'!D35</f>
        <v>6.6681423321692619E-3</v>
      </c>
      <c r="E41" s="45">
        <f t="shared" si="1"/>
        <v>1.7241266916663844E-2</v>
      </c>
    </row>
    <row r="42" spans="1:5" ht="14.25" hidden="1" x14ac:dyDescent="0.2">
      <c r="A42" s="39">
        <v>32875</v>
      </c>
      <c r="B42" s="40">
        <v>19.34</v>
      </c>
      <c r="C42" s="44">
        <f t="shared" si="0"/>
        <v>-6.9888712776232931E-2</v>
      </c>
      <c r="D42" s="31">
        <f>'3month_treasury (2)'!D36</f>
        <v>6.6139946152977214E-3</v>
      </c>
      <c r="E42" s="45">
        <f t="shared" si="1"/>
        <v>-7.6502707391530658E-2</v>
      </c>
    </row>
    <row r="43" spans="1:5" ht="14.25" hidden="1" x14ac:dyDescent="0.2">
      <c r="A43" s="39">
        <v>32905</v>
      </c>
      <c r="B43" s="40">
        <v>19.59</v>
      </c>
      <c r="C43" s="44">
        <f t="shared" si="0"/>
        <v>1.2843741931301134E-2</v>
      </c>
      <c r="D43" s="31">
        <f>'3month_treasury (2)'!D37</f>
        <v>6.6230167918164039E-3</v>
      </c>
      <c r="E43" s="45">
        <f t="shared" si="1"/>
        <v>6.2207251394847301E-3</v>
      </c>
    </row>
    <row r="44" spans="1:5" ht="14.25" hidden="1" x14ac:dyDescent="0.2">
      <c r="A44" s="39">
        <v>32933</v>
      </c>
      <c r="B44" s="40">
        <v>20.100000000000001</v>
      </c>
      <c r="C44" s="44">
        <f t="shared" si="0"/>
        <v>2.5700583108580703E-2</v>
      </c>
      <c r="D44" s="31">
        <f>'3month_treasury (2)'!D38</f>
        <v>6.713292321534732E-3</v>
      </c>
      <c r="E44" s="45">
        <f t="shared" si="1"/>
        <v>1.898729078704597E-2</v>
      </c>
    </row>
    <row r="45" spans="1:5" ht="14.25" hidden="1" x14ac:dyDescent="0.2">
      <c r="A45" s="39">
        <v>32965</v>
      </c>
      <c r="B45" s="40">
        <v>19.600000000000001</v>
      </c>
      <c r="C45" s="44">
        <f t="shared" si="0"/>
        <v>-2.5190248828558519E-2</v>
      </c>
      <c r="D45" s="31">
        <f>'3month_treasury (2)'!D39</f>
        <v>6.85793689390252E-3</v>
      </c>
      <c r="E45" s="45">
        <f t="shared" si="1"/>
        <v>-3.2048185722461042E-2</v>
      </c>
    </row>
    <row r="46" spans="1:5" ht="14.25" hidden="1" x14ac:dyDescent="0.2">
      <c r="A46" s="39">
        <v>32994</v>
      </c>
      <c r="B46" s="40">
        <v>21.5</v>
      </c>
      <c r="C46" s="44">
        <f t="shared" si="0"/>
        <v>9.2523368897145519E-2</v>
      </c>
      <c r="D46" s="31">
        <f>'3month_treasury (2)'!D40</f>
        <v>6.7403940617053225E-3</v>
      </c>
      <c r="E46" s="45">
        <f t="shared" si="1"/>
        <v>8.5782974835440201E-2</v>
      </c>
    </row>
    <row r="47" spans="1:5" ht="14.25" hidden="1" x14ac:dyDescent="0.2">
      <c r="A47" s="39">
        <v>33025</v>
      </c>
      <c r="B47" s="40">
        <v>21.36</v>
      </c>
      <c r="C47" s="44">
        <f t="shared" si="0"/>
        <v>-6.5329210416230719E-3</v>
      </c>
      <c r="D47" s="31">
        <f>'3month_treasury (2)'!D41</f>
        <v>6.713292321534732E-3</v>
      </c>
      <c r="E47" s="45">
        <f t="shared" si="1"/>
        <v>-1.3246213363157804E-2</v>
      </c>
    </row>
    <row r="48" spans="1:5" ht="14.25" hidden="1" x14ac:dyDescent="0.2">
      <c r="A48" s="39">
        <v>33056</v>
      </c>
      <c r="B48" s="40">
        <v>21.28</v>
      </c>
      <c r="C48" s="44">
        <f t="shared" si="0"/>
        <v>-3.7523496185503527E-3</v>
      </c>
      <c r="D48" s="31">
        <f>'3month_treasury (2)'!D42</f>
        <v>6.7042603664689083E-3</v>
      </c>
      <c r="E48" s="45">
        <f t="shared" si="1"/>
        <v>-1.0456609985019261E-2</v>
      </c>
    </row>
    <row r="49" spans="1:5" ht="14.25" hidden="1" x14ac:dyDescent="0.2">
      <c r="A49" s="39">
        <v>33086</v>
      </c>
      <c r="B49" s="40">
        <v>19.36</v>
      </c>
      <c r="C49" s="44">
        <f t="shared" si="0"/>
        <v>-9.4558582625012794E-2</v>
      </c>
      <c r="D49" s="31">
        <f>'3month_treasury (2)'!D43</f>
        <v>6.6049734154693387E-3</v>
      </c>
      <c r="E49" s="45">
        <f t="shared" si="1"/>
        <v>-0.10116355604048213</v>
      </c>
    </row>
    <row r="50" spans="1:5" ht="14.25" hidden="1" x14ac:dyDescent="0.2">
      <c r="A50" s="39">
        <v>33120</v>
      </c>
      <c r="B50" s="40">
        <v>18.41</v>
      </c>
      <c r="C50" s="44">
        <f t="shared" si="0"/>
        <v>-5.0315086603444428E-2</v>
      </c>
      <c r="D50" s="31">
        <f>'3month_treasury (2)'!D44</f>
        <v>6.4517622473820669E-3</v>
      </c>
      <c r="E50" s="45">
        <f t="shared" si="1"/>
        <v>-5.6766848850826494E-2</v>
      </c>
    </row>
    <row r="51" spans="1:5" ht="14.25" hidden="1" x14ac:dyDescent="0.2">
      <c r="A51" s="39">
        <v>33147</v>
      </c>
      <c r="B51" s="40">
        <v>18.34</v>
      </c>
      <c r="C51" s="44">
        <f t="shared" si="0"/>
        <v>-3.8095284166677302E-3</v>
      </c>
      <c r="D51" s="31">
        <f>'3month_treasury (2)'!D45</f>
        <v>6.3707643469505144E-3</v>
      </c>
      <c r="E51" s="45">
        <f t="shared" si="1"/>
        <v>-1.0180292763618246E-2</v>
      </c>
    </row>
    <row r="52" spans="1:5" ht="14.25" hidden="1" x14ac:dyDescent="0.2">
      <c r="A52" s="39">
        <v>33178</v>
      </c>
      <c r="B52" s="40">
        <v>19.52</v>
      </c>
      <c r="C52" s="44">
        <f t="shared" si="0"/>
        <v>6.2355114156627693E-2</v>
      </c>
      <c r="D52" s="31">
        <f>'3month_treasury (2)'!D46</f>
        <v>6.2000268813541806E-3</v>
      </c>
      <c r="E52" s="45">
        <f t="shared" si="1"/>
        <v>5.6155087275273512E-2</v>
      </c>
    </row>
    <row r="53" spans="1:5" ht="14.25" hidden="1" x14ac:dyDescent="0.2">
      <c r="A53" s="39">
        <v>33210</v>
      </c>
      <c r="B53" s="40">
        <v>20.04</v>
      </c>
      <c r="C53" s="44">
        <f t="shared" si="0"/>
        <v>2.6290695231717516E-2</v>
      </c>
      <c r="D53" s="31">
        <f>'3month_treasury (2)'!D47</f>
        <v>6.1013385276049324E-3</v>
      </c>
      <c r="E53" s="45">
        <f t="shared" si="1"/>
        <v>2.0189356704112583E-2</v>
      </c>
    </row>
    <row r="54" spans="1:5" ht="14.25" hidden="1" x14ac:dyDescent="0.2">
      <c r="A54" s="39">
        <v>33240</v>
      </c>
      <c r="B54" s="40">
        <v>20.91</v>
      </c>
      <c r="C54" s="44">
        <f t="shared" si="0"/>
        <v>4.2497237223878138E-2</v>
      </c>
      <c r="D54" s="31">
        <f>'3month_treasury (2)'!D48</f>
        <v>5.8149078839930396E-3</v>
      </c>
      <c r="E54" s="45">
        <f t="shared" si="1"/>
        <v>3.6682329339885099E-2</v>
      </c>
    </row>
    <row r="55" spans="1:5" ht="14.25" hidden="1" x14ac:dyDescent="0.2">
      <c r="A55" s="39">
        <v>33270</v>
      </c>
      <c r="B55" s="40">
        <v>22.4</v>
      </c>
      <c r="C55" s="44">
        <f t="shared" si="0"/>
        <v>6.8833445420451986E-2</v>
      </c>
      <c r="D55" s="31">
        <f>'3month_treasury (2)'!D49</f>
        <v>5.351547693887587E-3</v>
      </c>
      <c r="E55" s="45">
        <f t="shared" si="1"/>
        <v>6.3481897726564401E-2</v>
      </c>
    </row>
    <row r="56" spans="1:5" ht="14.25" hidden="1" x14ac:dyDescent="0.2">
      <c r="A56" s="39">
        <v>33298</v>
      </c>
      <c r="B56" s="40">
        <v>22.94</v>
      </c>
      <c r="C56" s="44">
        <f t="shared" si="0"/>
        <v>2.3821152840230488E-2</v>
      </c>
      <c r="D56" s="31">
        <f>'3month_treasury (2)'!D50</f>
        <v>5.1031091225991242E-3</v>
      </c>
      <c r="E56" s="45">
        <f t="shared" si="1"/>
        <v>1.8718043717631364E-2</v>
      </c>
    </row>
    <row r="57" spans="1:5" ht="14.25" hidden="1" x14ac:dyDescent="0.2">
      <c r="A57" s="39">
        <v>33329</v>
      </c>
      <c r="B57" s="40">
        <v>22.99</v>
      </c>
      <c r="C57" s="44">
        <f t="shared" si="0"/>
        <v>2.1772270738653191E-3</v>
      </c>
      <c r="D57" s="31">
        <f>'3month_treasury (2)'!D51</f>
        <v>5.0765345807847516E-3</v>
      </c>
      <c r="E57" s="45">
        <f t="shared" si="1"/>
        <v>-2.8993075069194325E-3</v>
      </c>
    </row>
    <row r="58" spans="1:5" ht="14.25" hidden="1" x14ac:dyDescent="0.2">
      <c r="A58" s="39">
        <v>33359</v>
      </c>
      <c r="B58" s="40">
        <v>23.97</v>
      </c>
      <c r="C58" s="44">
        <f t="shared" si="0"/>
        <v>4.174370967120275E-2</v>
      </c>
      <c r="D58" s="31">
        <f>'3month_treasury (2)'!D52</f>
        <v>4.8465761811276797E-3</v>
      </c>
      <c r="E58" s="45">
        <f t="shared" si="1"/>
        <v>3.6897133490075069E-2</v>
      </c>
    </row>
    <row r="59" spans="1:5" ht="14.25" hidden="1" x14ac:dyDescent="0.2">
      <c r="A59" s="39">
        <v>33392</v>
      </c>
      <c r="B59" s="40">
        <v>22.88</v>
      </c>
      <c r="C59" s="44">
        <f t="shared" si="0"/>
        <v>-4.6539881934695826E-2</v>
      </c>
      <c r="D59" s="31">
        <f>'3month_treasury (2)'!D53</f>
        <v>4.6789300519167491E-3</v>
      </c>
      <c r="E59" s="45">
        <f t="shared" si="1"/>
        <v>-5.1218811986612572E-2</v>
      </c>
    </row>
    <row r="60" spans="1:5" ht="14.25" hidden="1" x14ac:dyDescent="0.2">
      <c r="A60" s="39">
        <v>33420</v>
      </c>
      <c r="B60" s="40">
        <v>23.94</v>
      </c>
      <c r="C60" s="44">
        <f t="shared" si="0"/>
        <v>4.5287533618230069E-2</v>
      </c>
      <c r="D60" s="31">
        <f>'3month_treasury (2)'!D54</f>
        <v>4.7759472260927886E-3</v>
      </c>
      <c r="E60" s="45">
        <f t="shared" si="1"/>
        <v>4.0511586392137283E-2</v>
      </c>
    </row>
    <row r="61" spans="1:5" ht="14.25" hidden="1" x14ac:dyDescent="0.2">
      <c r="A61" s="39">
        <v>33451</v>
      </c>
      <c r="B61" s="40">
        <v>24.49</v>
      </c>
      <c r="C61" s="44">
        <f t="shared" si="0"/>
        <v>2.2714170834249144E-2</v>
      </c>
      <c r="D61" s="31">
        <f>'3month_treasury (2)'!D55</f>
        <v>4.7847725724958819E-3</v>
      </c>
      <c r="E61" s="45">
        <f t="shared" si="1"/>
        <v>1.7929398261753264E-2</v>
      </c>
    </row>
    <row r="62" spans="1:5" ht="14.25" hidden="1" x14ac:dyDescent="0.2">
      <c r="A62" s="39">
        <v>33484</v>
      </c>
      <c r="B62" s="40">
        <v>24.09</v>
      </c>
      <c r="C62" s="44">
        <f t="shared" si="0"/>
        <v>-1.6468054337296371E-2</v>
      </c>
      <c r="D62" s="31">
        <f>'3month_treasury (2)'!D56</f>
        <v>4.5644188206076242E-3</v>
      </c>
      <c r="E62" s="45">
        <f t="shared" si="1"/>
        <v>-2.1032473157903995E-2</v>
      </c>
    </row>
    <row r="63" spans="1:5" ht="14.25" hidden="1" x14ac:dyDescent="0.2">
      <c r="A63" s="39">
        <v>33512</v>
      </c>
      <c r="B63" s="40">
        <v>24.41</v>
      </c>
      <c r="C63" s="44">
        <f t="shared" si="0"/>
        <v>1.3196067778088684E-2</v>
      </c>
      <c r="D63" s="31">
        <f>'3month_treasury (2)'!D57</f>
        <v>4.4676474540540877E-3</v>
      </c>
      <c r="E63" s="45">
        <f t="shared" si="1"/>
        <v>8.7284203240345967E-3</v>
      </c>
    </row>
    <row r="64" spans="1:5" ht="14.25" hidden="1" x14ac:dyDescent="0.2">
      <c r="A64" s="39">
        <v>33543</v>
      </c>
      <c r="B64" s="40">
        <v>23.43</v>
      </c>
      <c r="C64" s="44">
        <f t="shared" si="0"/>
        <v>-4.0975631885164433E-2</v>
      </c>
      <c r="D64" s="31">
        <f>'3month_treasury (2)'!D58</f>
        <v>4.2656697307861032E-3</v>
      </c>
      <c r="E64" s="45">
        <f t="shared" si="1"/>
        <v>-4.5241301615950538E-2</v>
      </c>
    </row>
    <row r="65" spans="1:5" ht="14.25" hidden="1" x14ac:dyDescent="0.2">
      <c r="A65" s="39">
        <v>33574</v>
      </c>
      <c r="B65" s="40">
        <v>26.1</v>
      </c>
      <c r="C65" s="44">
        <f t="shared" si="0"/>
        <v>0.10791806180894342</v>
      </c>
      <c r="D65" s="31">
        <f>'3month_treasury (2)'!D59</f>
        <v>3.889367349869229E-3</v>
      </c>
      <c r="E65" s="45">
        <f t="shared" si="1"/>
        <v>0.10402869445907419</v>
      </c>
    </row>
    <row r="66" spans="1:5" ht="14.25" hidden="1" x14ac:dyDescent="0.2">
      <c r="A66" s="39">
        <v>33605</v>
      </c>
      <c r="B66" s="40">
        <v>25.61</v>
      </c>
      <c r="C66" s="44">
        <f t="shared" si="0"/>
        <v>-1.8952414117213878E-2</v>
      </c>
      <c r="D66" s="31">
        <f>'3month_treasury (2)'!D60</f>
        <v>3.4626189298529193E-3</v>
      </c>
      <c r="E66" s="45">
        <f t="shared" si="1"/>
        <v>-2.2415033047066796E-2</v>
      </c>
    </row>
    <row r="67" spans="1:5" ht="14.25" hidden="1" x14ac:dyDescent="0.2">
      <c r="A67" s="39">
        <v>33637</v>
      </c>
      <c r="B67" s="40">
        <v>25.93</v>
      </c>
      <c r="C67" s="44">
        <f t="shared" si="0"/>
        <v>1.2417699339139112E-2</v>
      </c>
      <c r="D67" s="31">
        <f>'3month_treasury (2)'!D61</f>
        <v>3.2284023597025512E-3</v>
      </c>
      <c r="E67" s="45">
        <f t="shared" si="1"/>
        <v>9.1892969794365609E-3</v>
      </c>
    </row>
    <row r="68" spans="1:5" ht="14.25" hidden="1" x14ac:dyDescent="0.2">
      <c r="A68" s="39">
        <v>33665</v>
      </c>
      <c r="B68" s="40">
        <v>25.43</v>
      </c>
      <c r="C68" s="44">
        <f t="shared" si="0"/>
        <v>-1.9471020116544752E-2</v>
      </c>
      <c r="D68" s="31">
        <f>'3month_treasury (2)'!D62</f>
        <v>3.2630596000994901E-3</v>
      </c>
      <c r="E68" s="45">
        <f t="shared" si="1"/>
        <v>-2.2734079716644241E-2</v>
      </c>
    </row>
    <row r="69" spans="1:5" ht="14.25" hidden="1" x14ac:dyDescent="0.2">
      <c r="A69" s="39">
        <v>33695</v>
      </c>
      <c r="B69" s="40">
        <v>26.17</v>
      </c>
      <c r="C69" s="44">
        <f t="shared" si="0"/>
        <v>2.8684137108026243E-2</v>
      </c>
      <c r="D69" s="31">
        <f>'3month_treasury (2)'!D63</f>
        <v>3.4365623347164687E-3</v>
      </c>
      <c r="E69" s="45">
        <f t="shared" si="1"/>
        <v>2.5247574773309772E-2</v>
      </c>
    </row>
    <row r="70" spans="1:5" ht="14.25" hidden="1" x14ac:dyDescent="0.2">
      <c r="A70" s="39">
        <v>33725</v>
      </c>
      <c r="B70" s="40">
        <v>26.3</v>
      </c>
      <c r="C70" s="44">
        <f t="shared" si="0"/>
        <v>4.955222641664433E-3</v>
      </c>
      <c r="D70" s="31">
        <f>'3month_treasury (2)'!D64</f>
        <v>3.1851010683498059E-3</v>
      </c>
      <c r="E70" s="45">
        <f t="shared" si="1"/>
        <v>1.770121573314627E-3</v>
      </c>
    </row>
    <row r="71" spans="1:5" ht="14.25" hidden="1" x14ac:dyDescent="0.2">
      <c r="A71" s="39">
        <v>33756</v>
      </c>
      <c r="B71" s="40">
        <v>25.91</v>
      </c>
      <c r="C71" s="44">
        <f t="shared" si="0"/>
        <v>-1.4939944609700313E-2</v>
      </c>
      <c r="D71" s="31">
        <f>'3month_treasury (2)'!D65</f>
        <v>3.0812696770746045E-3</v>
      </c>
      <c r="E71" s="45">
        <f t="shared" si="1"/>
        <v>-1.8021214286774917E-2</v>
      </c>
    </row>
    <row r="72" spans="1:5" ht="14.25" hidden="1" x14ac:dyDescent="0.2">
      <c r="A72" s="39">
        <v>33786</v>
      </c>
      <c r="B72" s="40">
        <v>26.95</v>
      </c>
      <c r="C72" s="44">
        <f t="shared" si="0"/>
        <v>3.9354302780987602E-2</v>
      </c>
      <c r="D72" s="31">
        <f>'3month_treasury (2)'!D66</f>
        <v>3.1072153988347135E-3</v>
      </c>
      <c r="E72" s="45">
        <f t="shared" si="1"/>
        <v>3.624708738215289E-2</v>
      </c>
    </row>
    <row r="73" spans="1:5" ht="14.25" hidden="1" x14ac:dyDescent="0.2">
      <c r="A73" s="39">
        <v>33819</v>
      </c>
      <c r="B73" s="40">
        <v>26.4</v>
      </c>
      <c r="C73" s="44">
        <f t="shared" si="0"/>
        <v>-2.0619287202735703E-2</v>
      </c>
      <c r="D73" s="31">
        <f>'3month_treasury (2)'!D67</f>
        <v>2.7188752355911758E-3</v>
      </c>
      <c r="E73" s="45">
        <f t="shared" si="1"/>
        <v>-2.3338162438326877E-2</v>
      </c>
    </row>
    <row r="74" spans="1:5" ht="14.25" hidden="1" x14ac:dyDescent="0.2">
      <c r="A74" s="39">
        <v>33848</v>
      </c>
      <c r="B74" s="40">
        <v>26.7</v>
      </c>
      <c r="C74" s="44">
        <f t="shared" ref="C74:C137" si="2">LN(B74/B73)</f>
        <v>1.1299555253933466E-2</v>
      </c>
      <c r="D74" s="31">
        <f>'3month_treasury (2)'!D68</f>
        <v>2.6500260458164758E-3</v>
      </c>
      <c r="E74" s="45">
        <f t="shared" ref="E74:E137" si="3">C74-D74</f>
        <v>8.6495292081169902E-3</v>
      </c>
    </row>
    <row r="75" spans="1:5" ht="14.25" hidden="1" x14ac:dyDescent="0.2">
      <c r="A75" s="39">
        <v>33878</v>
      </c>
      <c r="B75" s="40">
        <v>26.79</v>
      </c>
      <c r="C75" s="44">
        <f t="shared" si="2"/>
        <v>3.3651181503135548E-3</v>
      </c>
      <c r="D75" s="31">
        <f>'3month_treasury (2)'!D69</f>
        <v>2.4609835505031486E-3</v>
      </c>
      <c r="E75" s="45">
        <f t="shared" si="3"/>
        <v>9.0413459981040622E-4</v>
      </c>
    </row>
    <row r="76" spans="1:5" ht="14.25" hidden="1" x14ac:dyDescent="0.2">
      <c r="A76" s="39">
        <v>33910</v>
      </c>
      <c r="B76" s="40">
        <v>27.7</v>
      </c>
      <c r="C76" s="44">
        <f t="shared" si="2"/>
        <v>3.3403729636775396E-2</v>
      </c>
      <c r="D76" s="31">
        <f>'3month_treasury (2)'!D70</f>
        <v>2.4180790892077198E-3</v>
      </c>
      <c r="E76" s="45">
        <f t="shared" si="3"/>
        <v>3.0985650547567675E-2</v>
      </c>
    </row>
    <row r="77" spans="1:5" ht="14.25" hidden="1" x14ac:dyDescent="0.2">
      <c r="A77" s="39">
        <v>33939</v>
      </c>
      <c r="B77" s="40">
        <v>28.24</v>
      </c>
      <c r="C77" s="44">
        <f t="shared" si="2"/>
        <v>1.9306999431748566E-2</v>
      </c>
      <c r="D77" s="31">
        <f>'3month_treasury (2)'!D71</f>
        <v>2.6500260458164758E-3</v>
      </c>
      <c r="E77" s="45">
        <f t="shared" si="3"/>
        <v>1.665697338593209E-2</v>
      </c>
    </row>
    <row r="78" spans="1:5" ht="14.25" hidden="1" x14ac:dyDescent="0.2">
      <c r="A78" s="39">
        <v>33973</v>
      </c>
      <c r="B78" s="40">
        <v>28.26</v>
      </c>
      <c r="C78" s="44">
        <f t="shared" si="2"/>
        <v>7.0796463134009419E-4</v>
      </c>
      <c r="D78" s="31">
        <f>'3month_treasury (2)'!D72</f>
        <v>2.7274853852432388E-3</v>
      </c>
      <c r="E78" s="45">
        <f t="shared" si="3"/>
        <v>-2.0195207539031447E-3</v>
      </c>
    </row>
    <row r="79" spans="1:5" ht="14.25" hidden="1" x14ac:dyDescent="0.2">
      <c r="A79" s="39">
        <v>34001</v>
      </c>
      <c r="B79" s="40">
        <v>28.65</v>
      </c>
      <c r="C79" s="44">
        <f t="shared" si="2"/>
        <v>1.3706065904367076E-2</v>
      </c>
      <c r="D79" s="31">
        <f>'3month_treasury (2)'!D73</f>
        <v>2.5382672903923697E-3</v>
      </c>
      <c r="E79" s="45">
        <f t="shared" si="3"/>
        <v>1.1167798613974706E-2</v>
      </c>
    </row>
    <row r="80" spans="1:5" ht="14.25" hidden="1" x14ac:dyDescent="0.2">
      <c r="A80" s="39">
        <v>34029</v>
      </c>
      <c r="B80" s="40">
        <v>29.25</v>
      </c>
      <c r="C80" s="44">
        <f t="shared" si="2"/>
        <v>2.0726130517116952E-2</v>
      </c>
      <c r="D80" s="31">
        <f>'3month_treasury (2)'!D74</f>
        <v>2.4781515219963837E-3</v>
      </c>
      <c r="E80" s="45">
        <f t="shared" si="3"/>
        <v>1.8247978995120567E-2</v>
      </c>
    </row>
    <row r="81" spans="1:5" ht="14.25" hidden="1" x14ac:dyDescent="0.2">
      <c r="A81" s="39">
        <v>34060</v>
      </c>
      <c r="B81" s="40">
        <v>28.54</v>
      </c>
      <c r="C81" s="44">
        <f t="shared" si="2"/>
        <v>-2.4572961629175143E-2</v>
      </c>
      <c r="D81" s="31">
        <f>'3month_treasury (2)'!D75</f>
        <v>2.4953230310893527E-3</v>
      </c>
      <c r="E81" s="45">
        <f t="shared" si="3"/>
        <v>-2.7068284660264497E-2</v>
      </c>
    </row>
    <row r="82" spans="1:5" ht="14.25" hidden="1" x14ac:dyDescent="0.2">
      <c r="A82" s="39">
        <v>34092</v>
      </c>
      <c r="B82" s="40">
        <v>29.3</v>
      </c>
      <c r="C82" s="44">
        <f t="shared" si="2"/>
        <v>2.6280903974331395E-2</v>
      </c>
      <c r="D82" s="31">
        <f>'3month_treasury (2)'!D76</f>
        <v>2.4266582144876841E-3</v>
      </c>
      <c r="E82" s="45">
        <f t="shared" si="3"/>
        <v>2.3854245759843712E-2</v>
      </c>
    </row>
    <row r="83" spans="1:5" ht="14.25" hidden="1" x14ac:dyDescent="0.2">
      <c r="A83" s="39">
        <v>34121</v>
      </c>
      <c r="B83" s="40">
        <v>29.38</v>
      </c>
      <c r="C83" s="44">
        <f t="shared" si="2"/>
        <v>2.7266547227094875E-3</v>
      </c>
      <c r="D83" s="31">
        <f>'3month_treasury (2)'!D77</f>
        <v>2.5039101126913869E-3</v>
      </c>
      <c r="E83" s="45">
        <f t="shared" si="3"/>
        <v>2.2274461001810068E-4</v>
      </c>
    </row>
    <row r="84" spans="1:5" ht="14.25" hidden="1" x14ac:dyDescent="0.2">
      <c r="A84" s="39">
        <v>34151</v>
      </c>
      <c r="B84" s="40">
        <v>29.25</v>
      </c>
      <c r="C84" s="44">
        <f t="shared" si="2"/>
        <v>-4.4345970678657531E-3</v>
      </c>
      <c r="D84" s="31">
        <f>'3month_treasury (2)'!D78</f>
        <v>2.5984264569645643E-3</v>
      </c>
      <c r="E84" s="45">
        <f t="shared" si="3"/>
        <v>-7.0330235248303175E-3</v>
      </c>
    </row>
    <row r="85" spans="1:5" ht="14.25" hidden="1" x14ac:dyDescent="0.2">
      <c r="A85" s="39">
        <v>34183</v>
      </c>
      <c r="B85" s="40">
        <v>30.36</v>
      </c>
      <c r="C85" s="44">
        <f t="shared" si="2"/>
        <v>3.7246378849563631E-2</v>
      </c>
      <c r="D85" s="31">
        <f>'3month_treasury (2)'!D79</f>
        <v>2.5726386389239289E-3</v>
      </c>
      <c r="E85" s="45">
        <f t="shared" si="3"/>
        <v>3.4673740210639702E-2</v>
      </c>
    </row>
    <row r="86" spans="1:5" ht="14.25" hidden="1" x14ac:dyDescent="0.2">
      <c r="A86" s="39">
        <v>34213</v>
      </c>
      <c r="B86" s="40">
        <v>30.12</v>
      </c>
      <c r="C86" s="44">
        <f t="shared" si="2"/>
        <v>-7.9365495957363034E-3</v>
      </c>
      <c r="D86" s="31">
        <f>'3month_treasury (2)'!D80</f>
        <v>2.5554511925737627E-3</v>
      </c>
      <c r="E86" s="45">
        <f t="shared" si="3"/>
        <v>-1.0492000788310066E-2</v>
      </c>
    </row>
    <row r="87" spans="1:5" ht="14.25" hidden="1" x14ac:dyDescent="0.2">
      <c r="A87" s="39">
        <v>34243</v>
      </c>
      <c r="B87" s="40">
        <v>30.75</v>
      </c>
      <c r="C87" s="44">
        <f t="shared" si="2"/>
        <v>2.070059132083403E-2</v>
      </c>
      <c r="D87" s="31">
        <f>'3month_treasury (2)'!D81</f>
        <v>2.4953230310893527E-3</v>
      </c>
      <c r="E87" s="45">
        <f t="shared" si="3"/>
        <v>1.8205268289744676E-2</v>
      </c>
    </row>
    <row r="88" spans="1:5" ht="14.25" hidden="1" x14ac:dyDescent="0.2">
      <c r="A88" s="39">
        <v>34274</v>
      </c>
      <c r="B88" s="40">
        <v>30.44</v>
      </c>
      <c r="C88" s="44">
        <f t="shared" si="2"/>
        <v>-1.0132461259041723E-2</v>
      </c>
      <c r="D88" s="31">
        <f>'3month_treasury (2)'!D82</f>
        <v>2.5554511925737627E-3</v>
      </c>
      <c r="E88" s="45">
        <f t="shared" si="3"/>
        <v>-1.2687912451615485E-2</v>
      </c>
    </row>
    <row r="89" spans="1:5" ht="14.25" hidden="1" x14ac:dyDescent="0.2">
      <c r="A89" s="39">
        <v>34304</v>
      </c>
      <c r="B89" s="40">
        <v>30.81</v>
      </c>
      <c r="C89" s="44">
        <f t="shared" si="2"/>
        <v>1.2081779615091333E-2</v>
      </c>
      <c r="D89" s="31">
        <f>'3month_treasury (2)'!D83</f>
        <v>2.6242222576142228E-3</v>
      </c>
      <c r="E89" s="45">
        <f t="shared" si="3"/>
        <v>9.4575573574771105E-3</v>
      </c>
    </row>
    <row r="90" spans="1:5" ht="14.25" hidden="1" x14ac:dyDescent="0.2">
      <c r="A90" s="39">
        <v>34337</v>
      </c>
      <c r="B90" s="40">
        <v>31.85</v>
      </c>
      <c r="C90" s="44">
        <f t="shared" si="2"/>
        <v>3.3198069409595833E-2</v>
      </c>
      <c r="D90" s="31">
        <f>'3month_treasury (2)'!D84</f>
        <v>2.5898296309051242E-3</v>
      </c>
      <c r="E90" s="45">
        <f t="shared" si="3"/>
        <v>3.0608239778690708E-2</v>
      </c>
    </row>
    <row r="91" spans="1:5" ht="14.25" hidden="1" x14ac:dyDescent="0.2">
      <c r="A91" s="39">
        <v>34366</v>
      </c>
      <c r="B91" s="40">
        <v>30.99</v>
      </c>
      <c r="C91" s="44">
        <f t="shared" si="2"/>
        <v>-2.7372810218515595E-2</v>
      </c>
      <c r="D91" s="31">
        <f>'3month_treasury (2)'!D85</f>
        <v>2.5210869309184058E-3</v>
      </c>
      <c r="E91" s="45">
        <f t="shared" si="3"/>
        <v>-2.9893897149434003E-2</v>
      </c>
    </row>
    <row r="92" spans="1:5" ht="14.25" hidden="1" x14ac:dyDescent="0.2">
      <c r="A92" s="39">
        <v>34394</v>
      </c>
      <c r="B92" s="40">
        <v>29.63</v>
      </c>
      <c r="C92" s="44">
        <f t="shared" si="2"/>
        <v>-4.4877210214183033E-2</v>
      </c>
      <c r="D92" s="31">
        <f>'3month_treasury (2)'!D86</f>
        <v>2.7533211731833409E-3</v>
      </c>
      <c r="E92" s="45">
        <f t="shared" si="3"/>
        <v>-4.7630531387366372E-2</v>
      </c>
    </row>
    <row r="93" spans="1:5" ht="14.25" hidden="1" x14ac:dyDescent="0.2">
      <c r="A93" s="39">
        <v>34428</v>
      </c>
      <c r="B93" s="40">
        <v>30.01</v>
      </c>
      <c r="C93" s="44">
        <f t="shared" si="2"/>
        <v>1.2743297866801867E-2</v>
      </c>
      <c r="D93" s="31">
        <f>'3month_treasury (2)'!D87</f>
        <v>2.9689314702625864E-3</v>
      </c>
      <c r="E93" s="45">
        <f t="shared" si="3"/>
        <v>9.7743663965392802E-3</v>
      </c>
    </row>
    <row r="94" spans="1:5" ht="14.25" hidden="1" x14ac:dyDescent="0.2">
      <c r="A94" s="39">
        <v>34456</v>
      </c>
      <c r="B94" s="40">
        <v>30.49</v>
      </c>
      <c r="C94" s="44">
        <f t="shared" si="2"/>
        <v>1.5868101547887509E-2</v>
      </c>
      <c r="D94" s="31">
        <f>'3month_treasury (2)'!D88</f>
        <v>3.1245170356317027E-3</v>
      </c>
      <c r="E94" s="45">
        <f t="shared" si="3"/>
        <v>1.2743584512255806E-2</v>
      </c>
    </row>
    <row r="95" spans="1:5" ht="14.25" hidden="1" x14ac:dyDescent="0.2">
      <c r="A95" s="39">
        <v>34486</v>
      </c>
      <c r="B95" s="40">
        <v>29.75</v>
      </c>
      <c r="C95" s="44">
        <f t="shared" si="2"/>
        <v>-2.4569629008524572E-2</v>
      </c>
      <c r="D95" s="31">
        <f>'3month_treasury (2)'!D89</f>
        <v>3.5234493547171785E-3</v>
      </c>
      <c r="E95" s="45">
        <f t="shared" si="3"/>
        <v>-2.809307836324175E-2</v>
      </c>
    </row>
    <row r="96" spans="1:5" ht="14.25" hidden="1" x14ac:dyDescent="0.2">
      <c r="A96" s="39">
        <v>34516</v>
      </c>
      <c r="B96" s="40">
        <v>30.72</v>
      </c>
      <c r="C96" s="44">
        <f t="shared" si="2"/>
        <v>3.2084776287832628E-2</v>
      </c>
      <c r="D96" s="31">
        <f>'3month_treasury (2)'!D90</f>
        <v>3.5234493547171785E-3</v>
      </c>
      <c r="E96" s="45">
        <f t="shared" si="3"/>
        <v>2.8561326933115451E-2</v>
      </c>
    </row>
    <row r="97" spans="1:5" ht="14.25" hidden="1" x14ac:dyDescent="0.2">
      <c r="A97" s="39">
        <v>34547</v>
      </c>
      <c r="B97" s="40">
        <v>31.97</v>
      </c>
      <c r="C97" s="44">
        <f t="shared" si="2"/>
        <v>3.9884054792278731E-2</v>
      </c>
      <c r="D97" s="31">
        <f>'3month_treasury (2)'!D91</f>
        <v>3.6887846915012838E-3</v>
      </c>
      <c r="E97" s="45">
        <f t="shared" si="3"/>
        <v>3.6195270100777444E-2</v>
      </c>
    </row>
    <row r="98" spans="1:5" ht="14.25" hidden="1" x14ac:dyDescent="0.2">
      <c r="A98" s="39">
        <v>34578</v>
      </c>
      <c r="B98" s="40">
        <v>31.19</v>
      </c>
      <c r="C98" s="44">
        <f t="shared" si="2"/>
        <v>-2.4700432452038096E-2</v>
      </c>
      <c r="D98" s="31">
        <f>'3month_treasury (2)'!D92</f>
        <v>3.8195446953166279E-3</v>
      </c>
      <c r="E98" s="45">
        <f t="shared" si="3"/>
        <v>-2.8519977147354724E-2</v>
      </c>
    </row>
    <row r="99" spans="1:5" ht="14.25" hidden="1" x14ac:dyDescent="0.2">
      <c r="A99" s="39">
        <v>34610</v>
      </c>
      <c r="B99" s="40">
        <v>31.89</v>
      </c>
      <c r="C99" s="44">
        <f t="shared" si="2"/>
        <v>2.219495040225437E-2</v>
      </c>
      <c r="D99" s="31">
        <f>'3month_treasury (2)'!D93</f>
        <v>3.9417727598344233E-3</v>
      </c>
      <c r="E99" s="45">
        <f t="shared" si="3"/>
        <v>1.8253177642419946E-2</v>
      </c>
    </row>
    <row r="100" spans="1:5" ht="14.25" hidden="1" x14ac:dyDescent="0.2">
      <c r="A100" s="39">
        <v>34639</v>
      </c>
      <c r="B100" s="40">
        <v>30.73</v>
      </c>
      <c r="C100" s="44">
        <f t="shared" si="2"/>
        <v>-3.7053104879572953E-2</v>
      </c>
      <c r="D100" s="31">
        <f>'3month_treasury (2)'!D94</f>
        <v>4.2305930878044351E-3</v>
      </c>
      <c r="E100" s="45">
        <f t="shared" si="3"/>
        <v>-4.1283697967377388E-2</v>
      </c>
    </row>
    <row r="101" spans="1:5" ht="14.25" hidden="1" x14ac:dyDescent="0.2">
      <c r="A101" s="39">
        <v>34669</v>
      </c>
      <c r="B101" s="40">
        <v>31.17</v>
      </c>
      <c r="C101" s="44">
        <f t="shared" si="2"/>
        <v>1.4216717636852446E-2</v>
      </c>
      <c r="D101" s="31">
        <f>'3month_treasury (2)'!D95</f>
        <v>4.5292162291734484E-3</v>
      </c>
      <c r="E101" s="45">
        <f t="shared" si="3"/>
        <v>9.6875014076789976E-3</v>
      </c>
    </row>
    <row r="102" spans="1:5" ht="14.25" hidden="1" x14ac:dyDescent="0.2">
      <c r="A102" s="39">
        <v>34702</v>
      </c>
      <c r="B102" s="40">
        <v>31.98</v>
      </c>
      <c r="C102" s="44">
        <f t="shared" si="2"/>
        <v>2.5654613626562472E-2</v>
      </c>
      <c r="D102" s="31">
        <f>'3month_treasury (2)'!D96</f>
        <v>4.8024260697196843E-3</v>
      </c>
      <c r="E102" s="45">
        <f t="shared" si="3"/>
        <v>2.0852187556842788E-2</v>
      </c>
    </row>
    <row r="103" spans="1:5" ht="14.25" hidden="1" x14ac:dyDescent="0.2">
      <c r="A103" s="39">
        <v>34731</v>
      </c>
      <c r="B103" s="40">
        <v>33.22</v>
      </c>
      <c r="C103" s="44">
        <f t="shared" si="2"/>
        <v>3.8041396779340694E-2</v>
      </c>
      <c r="D103" s="31">
        <f>'3month_treasury (2)'!D97</f>
        <v>4.8995872092087818E-3</v>
      </c>
      <c r="E103" s="45">
        <f t="shared" si="3"/>
        <v>3.3141809570131915E-2</v>
      </c>
    </row>
    <row r="104" spans="1:5" ht="14.25" hidden="1" x14ac:dyDescent="0.2">
      <c r="A104" s="39">
        <v>34759</v>
      </c>
      <c r="B104" s="40">
        <v>34.200000000000003</v>
      </c>
      <c r="C104" s="44">
        <f t="shared" si="2"/>
        <v>2.9073539883410819E-2</v>
      </c>
      <c r="D104" s="31">
        <f>'3month_treasury (2)'!D98</f>
        <v>4.9526319807855429E-3</v>
      </c>
      <c r="E104" s="45">
        <f t="shared" si="3"/>
        <v>2.4120907902625277E-2</v>
      </c>
    </row>
    <row r="105" spans="1:5" ht="14.25" hidden="1" x14ac:dyDescent="0.2">
      <c r="A105" s="39">
        <v>34792</v>
      </c>
      <c r="B105" s="40">
        <v>35.21</v>
      </c>
      <c r="C105" s="44">
        <f t="shared" si="2"/>
        <v>2.9104489098401586E-2</v>
      </c>
      <c r="D105" s="31">
        <f>'3month_treasury (2)'!D99</f>
        <v>4.9172650483360362E-3</v>
      </c>
      <c r="E105" s="45">
        <f t="shared" si="3"/>
        <v>2.4187224050065549E-2</v>
      </c>
    </row>
    <row r="106" spans="1:5" ht="14.25" hidden="1" x14ac:dyDescent="0.2">
      <c r="A106" s="39">
        <v>34820</v>
      </c>
      <c r="B106" s="40">
        <v>36.6</v>
      </c>
      <c r="C106" s="44">
        <f t="shared" si="2"/>
        <v>3.8718107240359373E-2</v>
      </c>
      <c r="D106" s="31">
        <f>'3month_treasury (2)'!D100</f>
        <v>4.8465761811276797E-3</v>
      </c>
      <c r="E106" s="45">
        <f t="shared" si="3"/>
        <v>3.3871531059231692E-2</v>
      </c>
    </row>
    <row r="107" spans="1:5" ht="14.25" hidden="1" x14ac:dyDescent="0.2">
      <c r="A107" s="39">
        <v>34851</v>
      </c>
      <c r="B107" s="40">
        <v>37.44</v>
      </c>
      <c r="C107" s="44">
        <f t="shared" si="2"/>
        <v>2.2691411202070671E-2</v>
      </c>
      <c r="D107" s="31">
        <f>'3month_treasury (2)'!D101</f>
        <v>4.8642427771941254E-3</v>
      </c>
      <c r="E107" s="45">
        <f t="shared" si="3"/>
        <v>1.7827168424876545E-2</v>
      </c>
    </row>
    <row r="108" spans="1:5" ht="14.25" hidden="1" x14ac:dyDescent="0.2">
      <c r="A108" s="39">
        <v>34883</v>
      </c>
      <c r="B108" s="40">
        <v>38.68</v>
      </c>
      <c r="C108" s="44">
        <f t="shared" si="2"/>
        <v>3.2583018975702378E-2</v>
      </c>
      <c r="D108" s="31">
        <f>'3month_treasury (2)'!D102</f>
        <v>4.6877451292331946E-3</v>
      </c>
      <c r="E108" s="45">
        <f t="shared" si="3"/>
        <v>2.7895273846469185E-2</v>
      </c>
    </row>
    <row r="109" spans="1:5" ht="14.25" hidden="1" x14ac:dyDescent="0.2">
      <c r="A109" s="39">
        <v>34912</v>
      </c>
      <c r="B109" s="40">
        <v>38.78</v>
      </c>
      <c r="C109" s="44">
        <f t="shared" si="2"/>
        <v>2.5819792294121732E-3</v>
      </c>
      <c r="D109" s="31">
        <f>'3month_treasury (2)'!D103</f>
        <v>4.6436790643634767E-3</v>
      </c>
      <c r="E109" s="45">
        <f t="shared" si="3"/>
        <v>-2.0616998349513036E-3</v>
      </c>
    </row>
    <row r="110" spans="1:5" ht="14.25" hidden="1" x14ac:dyDescent="0.2">
      <c r="A110" s="39">
        <v>34943</v>
      </c>
      <c r="B110" s="40">
        <v>40.42</v>
      </c>
      <c r="C110" s="44">
        <f t="shared" si="2"/>
        <v>4.1420062160969294E-2</v>
      </c>
      <c r="D110" s="31">
        <f>'3month_treasury (2)'!D104</f>
        <v>4.6260591608548963E-3</v>
      </c>
      <c r="E110" s="45">
        <f t="shared" si="3"/>
        <v>3.67940030001144E-2</v>
      </c>
    </row>
    <row r="111" spans="1:5" ht="14.25" hidden="1" x14ac:dyDescent="0.2">
      <c r="A111" s="39">
        <v>34974</v>
      </c>
      <c r="B111" s="40">
        <v>40.270000000000003</v>
      </c>
      <c r="C111" s="44">
        <f t="shared" si="2"/>
        <v>-3.7179371121121314E-3</v>
      </c>
      <c r="D111" s="31">
        <f>'3month_treasury (2)'!D105</f>
        <v>4.5204179043663141E-3</v>
      </c>
      <c r="E111" s="45">
        <f t="shared" si="3"/>
        <v>-8.2383550164784464E-3</v>
      </c>
    </row>
    <row r="112" spans="1:5" ht="14.25" hidden="1" x14ac:dyDescent="0.2">
      <c r="A112" s="39">
        <v>35004</v>
      </c>
      <c r="B112" s="40">
        <v>42.03</v>
      </c>
      <c r="C112" s="44">
        <f t="shared" si="2"/>
        <v>4.2776874153662478E-2</v>
      </c>
      <c r="D112" s="31">
        <f>'3month_treasury (2)'!D106</f>
        <v>4.5204179043663141E-3</v>
      </c>
      <c r="E112" s="45">
        <f t="shared" si="3"/>
        <v>3.8256456249296161E-2</v>
      </c>
    </row>
    <row r="113" spans="1:5" ht="14.25" hidden="1" x14ac:dyDescent="0.2">
      <c r="A113" s="39">
        <v>35034</v>
      </c>
      <c r="B113" s="40">
        <v>42.85</v>
      </c>
      <c r="C113" s="44">
        <f t="shared" si="2"/>
        <v>1.9321996026763516E-2</v>
      </c>
      <c r="D113" s="31">
        <f>'3month_treasury (2)'!D107</f>
        <v>4.5908305264966698E-3</v>
      </c>
      <c r="E113" s="45">
        <f t="shared" si="3"/>
        <v>1.4731165500266846E-2</v>
      </c>
    </row>
    <row r="114" spans="1:5" ht="14.25" hidden="1" x14ac:dyDescent="0.2">
      <c r="A114" s="39">
        <v>35066</v>
      </c>
      <c r="B114" s="40">
        <v>44.3</v>
      </c>
      <c r="C114" s="44">
        <f t="shared" si="2"/>
        <v>3.3279032007300993E-2</v>
      </c>
      <c r="D114" s="31">
        <f>'3month_treasury (2)'!D108</f>
        <v>4.3973387948879833E-3</v>
      </c>
      <c r="E114" s="45">
        <f t="shared" si="3"/>
        <v>2.8881693212413011E-2</v>
      </c>
    </row>
    <row r="115" spans="1:5" ht="14.25" hidden="1" x14ac:dyDescent="0.2">
      <c r="A115" s="39">
        <v>35096</v>
      </c>
      <c r="B115" s="40">
        <v>44.71</v>
      </c>
      <c r="C115" s="44">
        <f t="shared" si="2"/>
        <v>9.2125131947993263E-3</v>
      </c>
      <c r="D115" s="31">
        <f>'3month_treasury (2)'!D109</f>
        <v>4.2744411989625404E-3</v>
      </c>
      <c r="E115" s="45">
        <f t="shared" si="3"/>
        <v>4.9380719958367859E-3</v>
      </c>
    </row>
    <row r="116" spans="1:5" ht="14.25" hidden="1" x14ac:dyDescent="0.2">
      <c r="A116" s="39">
        <v>35125</v>
      </c>
      <c r="B116" s="40">
        <v>45.14</v>
      </c>
      <c r="C116" s="44">
        <f t="shared" si="2"/>
        <v>9.5715811435002785E-3</v>
      </c>
      <c r="D116" s="31">
        <f>'3month_treasury (2)'!D110</f>
        <v>4.1254516586532826E-3</v>
      </c>
      <c r="E116" s="45">
        <f t="shared" si="3"/>
        <v>5.446129484846996E-3</v>
      </c>
    </row>
    <row r="117" spans="1:5" ht="14.25" hidden="1" x14ac:dyDescent="0.2">
      <c r="A117" s="39">
        <v>35156</v>
      </c>
      <c r="B117" s="40">
        <v>45.8</v>
      </c>
      <c r="C117" s="44">
        <f t="shared" si="2"/>
        <v>1.4515319730749597E-2</v>
      </c>
      <c r="D117" s="31">
        <f>'3month_treasury (2)'!D111</f>
        <v>4.2393608644797085E-3</v>
      </c>
      <c r="E117" s="45">
        <f t="shared" si="3"/>
        <v>1.0275958866269887E-2</v>
      </c>
    </row>
    <row r="118" spans="1:5" ht="14.25" hidden="1" x14ac:dyDescent="0.2">
      <c r="A118" s="39">
        <v>35186</v>
      </c>
      <c r="B118" s="40">
        <v>46.97</v>
      </c>
      <c r="C118" s="44">
        <f t="shared" si="2"/>
        <v>2.5225008918764575E-2</v>
      </c>
      <c r="D118" s="31">
        <f>'3month_treasury (2)'!D112</f>
        <v>4.2305930878044351E-3</v>
      </c>
      <c r="E118" s="45">
        <f t="shared" si="3"/>
        <v>2.099441583096014E-2</v>
      </c>
    </row>
    <row r="119" spans="1:5" ht="14.25" hidden="1" x14ac:dyDescent="0.2">
      <c r="A119" s="39">
        <v>35219</v>
      </c>
      <c r="B119" s="40">
        <v>47.15</v>
      </c>
      <c r="C119" s="44">
        <f t="shared" si="2"/>
        <v>3.8249090405628561E-3</v>
      </c>
      <c r="D119" s="31">
        <f>'3month_treasury (2)'!D113</f>
        <v>4.291986905592968E-3</v>
      </c>
      <c r="E119" s="45">
        <f t="shared" si="3"/>
        <v>-4.6707786503011198E-4</v>
      </c>
    </row>
    <row r="120" spans="1:5" ht="14.25" hidden="1" x14ac:dyDescent="0.2">
      <c r="A120" s="39">
        <v>35247</v>
      </c>
      <c r="B120" s="40">
        <v>45.06</v>
      </c>
      <c r="C120" s="44">
        <f t="shared" si="2"/>
        <v>-4.5339074075368004E-2</v>
      </c>
      <c r="D120" s="31">
        <f>'3month_treasury (2)'!D114</f>
        <v>4.3534259871408796E-3</v>
      </c>
      <c r="E120" s="45">
        <f t="shared" si="3"/>
        <v>-4.9692500062508881E-2</v>
      </c>
    </row>
    <row r="121" spans="1:5" ht="14.25" hidden="1" x14ac:dyDescent="0.2">
      <c r="A121" s="39">
        <v>35278</v>
      </c>
      <c r="B121" s="40">
        <v>46.01</v>
      </c>
      <c r="C121" s="44">
        <f t="shared" si="2"/>
        <v>2.0863829163278686E-2</v>
      </c>
      <c r="D121" s="31">
        <f>'3month_treasury (2)'!D115</f>
        <v>4.4061241339223489E-3</v>
      </c>
      <c r="E121" s="45">
        <f t="shared" si="3"/>
        <v>1.6457705029356336E-2</v>
      </c>
    </row>
    <row r="122" spans="1:5" ht="14.25" hidden="1" x14ac:dyDescent="0.2">
      <c r="A122" s="39">
        <v>35311</v>
      </c>
      <c r="B122" s="40">
        <v>48.59</v>
      </c>
      <c r="C122" s="44">
        <f t="shared" si="2"/>
        <v>5.4558984250434608E-2</v>
      </c>
      <c r="D122" s="31">
        <f>'3month_treasury (2)'!D116</f>
        <v>4.3183123941497028E-3</v>
      </c>
      <c r="E122" s="45">
        <f t="shared" si="3"/>
        <v>5.0240671856284905E-2</v>
      </c>
    </row>
    <row r="123" spans="1:5" ht="14.25" hidden="1" x14ac:dyDescent="0.2">
      <c r="A123" s="39">
        <v>35339</v>
      </c>
      <c r="B123" s="40">
        <v>49.93</v>
      </c>
      <c r="C123" s="44">
        <f t="shared" si="2"/>
        <v>2.7204276094706319E-2</v>
      </c>
      <c r="D123" s="31">
        <f>'3month_treasury (2)'!D117</f>
        <v>4.3534259871408796E-3</v>
      </c>
      <c r="E123" s="45">
        <f t="shared" si="3"/>
        <v>2.2850850107565438E-2</v>
      </c>
    </row>
    <row r="124" spans="1:5" ht="14.25" hidden="1" x14ac:dyDescent="0.2">
      <c r="A124" s="39">
        <v>35370</v>
      </c>
      <c r="B124" s="40">
        <v>53.7</v>
      </c>
      <c r="C124" s="44">
        <f t="shared" si="2"/>
        <v>7.2790977002301249E-2</v>
      </c>
      <c r="D124" s="31">
        <f>'3month_treasury (2)'!D118</f>
        <v>4.2656697307861032E-3</v>
      </c>
      <c r="E124" s="45">
        <f t="shared" si="3"/>
        <v>6.8525307271515151E-2</v>
      </c>
    </row>
    <row r="125" spans="1:5" ht="14.25" hidden="1" x14ac:dyDescent="0.2">
      <c r="A125" s="39">
        <v>35401</v>
      </c>
      <c r="B125" s="40">
        <v>52.65</v>
      </c>
      <c r="C125" s="44">
        <f t="shared" si="2"/>
        <v>-1.9746762934834558E-2</v>
      </c>
      <c r="D125" s="31">
        <f>'3month_treasury (2)'!D119</f>
        <v>4.3007611444358515E-3</v>
      </c>
      <c r="E125" s="45">
        <f t="shared" si="3"/>
        <v>-2.404752407927041E-2</v>
      </c>
    </row>
    <row r="126" spans="1:5" ht="14.25" hidden="1" x14ac:dyDescent="0.2">
      <c r="A126" s="39">
        <v>35432</v>
      </c>
      <c r="B126" s="40">
        <v>55.93</v>
      </c>
      <c r="C126" s="44">
        <f t="shared" si="2"/>
        <v>6.0434670253512075E-2</v>
      </c>
      <c r="D126" s="31">
        <f>'3month_treasury (2)'!D120</f>
        <v>4.1955312030615447E-3</v>
      </c>
      <c r="E126" s="45">
        <f t="shared" si="3"/>
        <v>5.6239139050450533E-2</v>
      </c>
    </row>
    <row r="127" spans="1:5" ht="14.25" hidden="1" x14ac:dyDescent="0.2">
      <c r="A127" s="39">
        <v>35464</v>
      </c>
      <c r="B127" s="40">
        <v>56.37</v>
      </c>
      <c r="C127" s="44">
        <f t="shared" si="2"/>
        <v>7.8361932599870163E-3</v>
      </c>
      <c r="D127" s="31">
        <f>'3month_treasury (2)'!D121</f>
        <v>4.3007611444358515E-3</v>
      </c>
      <c r="E127" s="45">
        <f t="shared" si="3"/>
        <v>3.5354321155511648E-3</v>
      </c>
    </row>
    <row r="128" spans="1:5" ht="14.25" hidden="1" x14ac:dyDescent="0.2">
      <c r="A128" s="39">
        <v>35492</v>
      </c>
      <c r="B128" s="40">
        <v>54.04</v>
      </c>
      <c r="C128" s="44">
        <f t="shared" si="2"/>
        <v>-4.2212589001485473E-2</v>
      </c>
      <c r="D128" s="31">
        <f>'3month_treasury (2)'!D122</f>
        <v>4.2832135905000344E-3</v>
      </c>
      <c r="E128" s="45">
        <f t="shared" si="3"/>
        <v>-4.6495802591985505E-2</v>
      </c>
    </row>
    <row r="129" spans="1:5" ht="14.25" hidden="1" x14ac:dyDescent="0.2">
      <c r="A129" s="39">
        <v>35521</v>
      </c>
      <c r="B129" s="40">
        <v>57.25</v>
      </c>
      <c r="C129" s="44">
        <f t="shared" si="2"/>
        <v>5.7703129342350973E-2</v>
      </c>
      <c r="D129" s="31">
        <f>'3month_treasury (2)'!D123</f>
        <v>4.3973387948879833E-3</v>
      </c>
      <c r="E129" s="45">
        <f t="shared" si="3"/>
        <v>5.330579054746299E-2</v>
      </c>
    </row>
    <row r="130" spans="1:5" ht="14.25" hidden="1" x14ac:dyDescent="0.2">
      <c r="A130" s="39">
        <v>35551</v>
      </c>
      <c r="B130" s="40">
        <v>60.74</v>
      </c>
      <c r="C130" s="44">
        <f t="shared" si="2"/>
        <v>5.9174817183253799E-2</v>
      </c>
      <c r="D130" s="31">
        <f>'3month_treasury (2)'!D124</f>
        <v>4.4149103992405497E-3</v>
      </c>
      <c r="E130" s="45">
        <f t="shared" si="3"/>
        <v>5.4759906784013247E-2</v>
      </c>
    </row>
    <row r="131" spans="1:5" ht="14.25" hidden="1" x14ac:dyDescent="0.2">
      <c r="A131" s="39">
        <v>35583</v>
      </c>
      <c r="B131" s="40">
        <v>63.44</v>
      </c>
      <c r="C131" s="44">
        <f t="shared" si="2"/>
        <v>4.3492117708989697E-2</v>
      </c>
      <c r="D131" s="31">
        <f>'3month_treasury (2)'!D125</f>
        <v>4.3183123941497028E-3</v>
      </c>
      <c r="E131" s="45">
        <f t="shared" si="3"/>
        <v>3.9173805314839993E-2</v>
      </c>
    </row>
    <row r="132" spans="1:5" ht="14.25" hidden="1" x14ac:dyDescent="0.2">
      <c r="A132" s="39">
        <v>35612</v>
      </c>
      <c r="B132" s="40">
        <v>68.5</v>
      </c>
      <c r="C132" s="44">
        <f t="shared" si="2"/>
        <v>7.6739167941587139E-2</v>
      </c>
      <c r="D132" s="31">
        <f>'3month_treasury (2)'!D126</f>
        <v>4.2130603014293591E-3</v>
      </c>
      <c r="E132" s="45">
        <f t="shared" si="3"/>
        <v>7.252610764015778E-2</v>
      </c>
    </row>
    <row r="133" spans="1:5" ht="14.25" hidden="1" x14ac:dyDescent="0.2">
      <c r="A133" s="39">
        <v>35643</v>
      </c>
      <c r="B133" s="40">
        <v>64.650000000000006</v>
      </c>
      <c r="C133" s="44">
        <f t="shared" si="2"/>
        <v>-5.7845640050313035E-2</v>
      </c>
      <c r="D133" s="31">
        <f>'3month_treasury (2)'!D127</f>
        <v>4.3183123941497028E-3</v>
      </c>
      <c r="E133" s="45">
        <f t="shared" si="3"/>
        <v>-6.2163952444462739E-2</v>
      </c>
    </row>
    <row r="134" spans="1:5" ht="14.25" hidden="1" x14ac:dyDescent="0.2">
      <c r="A134" s="39">
        <v>35675</v>
      </c>
      <c r="B134" s="40">
        <v>68.19</v>
      </c>
      <c r="C134" s="44">
        <f t="shared" si="2"/>
        <v>5.3309821314694951E-2</v>
      </c>
      <c r="D134" s="31">
        <f>'3month_treasury (2)'!D128</f>
        <v>4.3973387948879833E-3</v>
      </c>
      <c r="E134" s="45">
        <f t="shared" si="3"/>
        <v>4.8912482519806968E-2</v>
      </c>
    </row>
    <row r="135" spans="1:5" ht="14.25" hidden="1" x14ac:dyDescent="0.2">
      <c r="A135" s="39">
        <v>35704</v>
      </c>
      <c r="B135" s="40">
        <v>65.900000000000006</v>
      </c>
      <c r="C135" s="44">
        <f t="shared" si="2"/>
        <v>-3.4159485024099878E-2</v>
      </c>
      <c r="D135" s="31">
        <f>'3month_treasury (2)'!D129</f>
        <v>4.2305930878044351E-3</v>
      </c>
      <c r="E135" s="45">
        <f t="shared" si="3"/>
        <v>-3.8390078111904313E-2</v>
      </c>
    </row>
    <row r="136" spans="1:5" ht="14.25" hidden="1" x14ac:dyDescent="0.2">
      <c r="A136" s="39">
        <v>35737</v>
      </c>
      <c r="B136" s="40">
        <v>68.930000000000007</v>
      </c>
      <c r="C136" s="44">
        <f t="shared" si="2"/>
        <v>4.4953055389098932E-2</v>
      </c>
      <c r="D136" s="31">
        <f>'3month_treasury (2)'!D130</f>
        <v>4.248129563738965E-3</v>
      </c>
      <c r="E136" s="45">
        <f t="shared" si="3"/>
        <v>4.0704925825359964E-2</v>
      </c>
    </row>
    <row r="137" spans="1:5" ht="14.25" hidden="1" x14ac:dyDescent="0.2">
      <c r="A137" s="39">
        <v>35765</v>
      </c>
      <c r="B137" s="40">
        <v>70.11</v>
      </c>
      <c r="C137" s="44">
        <f t="shared" si="2"/>
        <v>1.6973940321315755E-2</v>
      </c>
      <c r="D137" s="31">
        <f>'3month_treasury (2)'!D131</f>
        <v>4.3973387948879833E-3</v>
      </c>
      <c r="E137" s="45">
        <f t="shared" si="3"/>
        <v>1.2576601526427773E-2</v>
      </c>
    </row>
    <row r="138" spans="1:5" ht="14.25" hidden="1" x14ac:dyDescent="0.2">
      <c r="A138" s="39">
        <v>35797</v>
      </c>
      <c r="B138" s="40">
        <v>70.89</v>
      </c>
      <c r="C138" s="44">
        <f t="shared" ref="C138:C201" si="4">LN(B138/B137)</f>
        <v>1.1063942648049885E-2</v>
      </c>
      <c r="D138" s="31">
        <f>'3month_treasury (2)'!D132</f>
        <v>4.4149103992405497E-3</v>
      </c>
      <c r="E138" s="45">
        <f t="shared" ref="E138:E201" si="5">C138-D138</f>
        <v>6.6490322488093351E-3</v>
      </c>
    </row>
    <row r="139" spans="1:5" ht="14.25" hidden="1" x14ac:dyDescent="0.2">
      <c r="A139" s="39">
        <v>35828</v>
      </c>
      <c r="B139" s="40">
        <v>75.989999999999995</v>
      </c>
      <c r="C139" s="44">
        <f t="shared" si="4"/>
        <v>6.9472372814767383E-2</v>
      </c>
      <c r="D139" s="31">
        <f>'3month_treasury (2)'!D133</f>
        <v>4.3095363072232409E-3</v>
      </c>
      <c r="E139" s="45">
        <f t="shared" si="5"/>
        <v>6.5162836507544147E-2</v>
      </c>
    </row>
    <row r="140" spans="1:5" ht="14.25" hidden="1" x14ac:dyDescent="0.2">
      <c r="A140" s="39">
        <v>35856</v>
      </c>
      <c r="B140" s="40">
        <v>79.86</v>
      </c>
      <c r="C140" s="44">
        <f t="shared" si="4"/>
        <v>4.9673348953381678E-2</v>
      </c>
      <c r="D140" s="31">
        <f>'3month_treasury (2)'!D134</f>
        <v>4.3534259871408796E-3</v>
      </c>
      <c r="E140" s="45">
        <f t="shared" si="5"/>
        <v>4.5319922966240801E-2</v>
      </c>
    </row>
    <row r="141" spans="1:5" ht="14.25" hidden="1" x14ac:dyDescent="0.2">
      <c r="A141" s="39">
        <v>35886</v>
      </c>
      <c r="B141" s="40">
        <v>80.67</v>
      </c>
      <c r="C141" s="44">
        <f t="shared" si="4"/>
        <v>1.0091657313807765E-2</v>
      </c>
      <c r="D141" s="31">
        <f>'3month_treasury (2)'!D135</f>
        <v>4.3007611444358515E-3</v>
      </c>
      <c r="E141" s="45">
        <f t="shared" si="5"/>
        <v>5.7908961693719134E-3</v>
      </c>
    </row>
    <row r="142" spans="1:5" ht="14.25" hidden="1" x14ac:dyDescent="0.2">
      <c r="A142" s="39">
        <v>35916</v>
      </c>
      <c r="B142" s="40">
        <v>79.260000000000005</v>
      </c>
      <c r="C142" s="44">
        <f t="shared" si="4"/>
        <v>-1.7633171186593955E-2</v>
      </c>
      <c r="D142" s="31">
        <f>'3month_treasury (2)'!D136</f>
        <v>4.2305930878044351E-3</v>
      </c>
      <c r="E142" s="45">
        <f t="shared" si="5"/>
        <v>-2.186376427439839E-2</v>
      </c>
    </row>
    <row r="143" spans="1:5" ht="14.25" hidden="1" x14ac:dyDescent="0.2">
      <c r="A143" s="39">
        <v>35947</v>
      </c>
      <c r="B143" s="40">
        <v>82.49</v>
      </c>
      <c r="C143" s="44">
        <f t="shared" si="4"/>
        <v>3.9943486110351256E-2</v>
      </c>
      <c r="D143" s="31">
        <f>'3month_treasury (2)'!D137</f>
        <v>4.2744411989625404E-3</v>
      </c>
      <c r="E143" s="45">
        <f t="shared" si="5"/>
        <v>3.5669044911388718E-2</v>
      </c>
    </row>
    <row r="144" spans="1:5" ht="14.25" hidden="1" x14ac:dyDescent="0.2">
      <c r="A144" s="39">
        <v>35977</v>
      </c>
      <c r="B144" s="40">
        <v>81.62</v>
      </c>
      <c r="C144" s="44">
        <f t="shared" si="4"/>
        <v>-1.0602743894980633E-2</v>
      </c>
      <c r="D144" s="31">
        <f>'3month_treasury (2)'!D138</f>
        <v>4.2568991857763533E-3</v>
      </c>
      <c r="E144" s="45">
        <f t="shared" si="5"/>
        <v>-1.4859643080756987E-2</v>
      </c>
    </row>
    <row r="145" spans="1:5" ht="14.25" hidden="1" x14ac:dyDescent="0.2">
      <c r="A145" s="39">
        <v>36010</v>
      </c>
      <c r="B145" s="40">
        <v>69.81</v>
      </c>
      <c r="C145" s="44">
        <f t="shared" si="4"/>
        <v>-0.15629706399534959</v>
      </c>
      <c r="D145" s="31">
        <f>'3month_treasury (2)'!D139</f>
        <v>4.2393608644797085E-3</v>
      </c>
      <c r="E145" s="45">
        <f t="shared" si="5"/>
        <v>-0.1605364248598293</v>
      </c>
    </row>
    <row r="146" spans="1:5" ht="14.25" hidden="1" x14ac:dyDescent="0.2">
      <c r="A146" s="39">
        <v>36039</v>
      </c>
      <c r="B146" s="40">
        <v>74.28</v>
      </c>
      <c r="C146" s="44">
        <f t="shared" si="4"/>
        <v>6.2064470502195025E-2</v>
      </c>
      <c r="D146" s="31">
        <f>'3month_treasury (2)'!D140</f>
        <v>4.1867680363955719E-3</v>
      </c>
      <c r="E146" s="45">
        <f t="shared" si="5"/>
        <v>5.7877702465799451E-2</v>
      </c>
    </row>
    <row r="147" spans="1:5" ht="14.25" hidden="1" x14ac:dyDescent="0.2">
      <c r="A147" s="39">
        <v>36069</v>
      </c>
      <c r="B147" s="40">
        <v>80.349999999999994</v>
      </c>
      <c r="C147" s="44">
        <f t="shared" si="4"/>
        <v>7.8550355699016416E-2</v>
      </c>
      <c r="D147" s="31">
        <f>'3month_treasury (2)'!D141</f>
        <v>3.9330362359145483E-3</v>
      </c>
      <c r="E147" s="45">
        <f t="shared" si="5"/>
        <v>7.4617319463101864E-2</v>
      </c>
    </row>
    <row r="148" spans="1:5" ht="14.25" hidden="1" x14ac:dyDescent="0.2">
      <c r="A148" s="39">
        <v>36101</v>
      </c>
      <c r="B148" s="40">
        <v>85.23</v>
      </c>
      <c r="C148" s="44">
        <f t="shared" si="4"/>
        <v>5.8961392350684781E-2</v>
      </c>
      <c r="D148" s="31">
        <f>'3month_treasury (2)'!D142</f>
        <v>3.3671178862532281E-3</v>
      </c>
      <c r="E148" s="45">
        <f t="shared" si="5"/>
        <v>5.5594274464431555E-2</v>
      </c>
    </row>
    <row r="149" spans="1:5" ht="14.25" hidden="1" x14ac:dyDescent="0.2">
      <c r="A149" s="39">
        <v>36130</v>
      </c>
      <c r="B149" s="40">
        <v>90.17</v>
      </c>
      <c r="C149" s="44">
        <f t="shared" si="4"/>
        <v>5.6343292977609004E-2</v>
      </c>
      <c r="D149" s="31">
        <f>'3month_treasury (2)'!D143</f>
        <v>3.7584978260350125E-3</v>
      </c>
      <c r="E149" s="45">
        <f t="shared" si="5"/>
        <v>5.2584795151573993E-2</v>
      </c>
    </row>
    <row r="150" spans="1:5" ht="14.25" hidden="1" x14ac:dyDescent="0.2">
      <c r="A150" s="39">
        <v>36164</v>
      </c>
      <c r="B150" s="40">
        <v>93.97</v>
      </c>
      <c r="C150" s="44">
        <f t="shared" si="4"/>
        <v>4.1278804883158347E-2</v>
      </c>
      <c r="D150" s="31">
        <f>'3month_treasury (2)'!D144</f>
        <v>3.7410640742280596E-3</v>
      </c>
      <c r="E150" s="45">
        <f t="shared" si="5"/>
        <v>3.7537740808930291E-2</v>
      </c>
    </row>
    <row r="151" spans="1:5" ht="14.25" hidden="1" x14ac:dyDescent="0.2">
      <c r="A151" s="39">
        <v>36192</v>
      </c>
      <c r="B151" s="40">
        <v>91.03</v>
      </c>
      <c r="C151" s="44">
        <f t="shared" si="4"/>
        <v>-3.1786459877776146E-2</v>
      </c>
      <c r="D151" s="31">
        <f>'3month_treasury (2)'!D145</f>
        <v>3.6974956446617067E-3</v>
      </c>
      <c r="E151" s="45">
        <f t="shared" si="5"/>
        <v>-3.5483955522437854E-2</v>
      </c>
    </row>
    <row r="152" spans="1:5" ht="14.25" hidden="1" x14ac:dyDescent="0.2">
      <c r="A152" s="39">
        <v>36220</v>
      </c>
      <c r="B152" s="40">
        <v>94.66</v>
      </c>
      <c r="C152" s="44">
        <f t="shared" si="4"/>
        <v>3.9102401960904434E-2</v>
      </c>
      <c r="D152" s="31">
        <f>'3month_treasury (2)'!D146</f>
        <v>3.7846552942068842E-3</v>
      </c>
      <c r="E152" s="45">
        <f t="shared" si="5"/>
        <v>3.5317746666697548E-2</v>
      </c>
    </row>
    <row r="153" spans="1:5" ht="14.25" hidden="1" x14ac:dyDescent="0.2">
      <c r="A153" s="39">
        <v>36251</v>
      </c>
      <c r="B153" s="40">
        <v>98.31</v>
      </c>
      <c r="C153" s="44">
        <f t="shared" si="4"/>
        <v>3.7834226900731009E-2</v>
      </c>
      <c r="D153" s="31">
        <f>'3month_treasury (2)'!D147</f>
        <v>3.7846552942068842E-3</v>
      </c>
      <c r="E153" s="45">
        <f t="shared" si="5"/>
        <v>3.4049571606524123E-2</v>
      </c>
    </row>
    <row r="154" spans="1:5" ht="14.25" hidden="1" x14ac:dyDescent="0.2">
      <c r="A154" s="39">
        <v>36283</v>
      </c>
      <c r="B154" s="40">
        <v>95.96</v>
      </c>
      <c r="C154" s="44">
        <f t="shared" si="4"/>
        <v>-2.4194313407339164E-2</v>
      </c>
      <c r="D154" s="31">
        <f>'3month_treasury (2)'!D148</f>
        <v>3.6539499816897014E-3</v>
      </c>
      <c r="E154" s="45">
        <f t="shared" si="5"/>
        <v>-2.7848263389028866E-2</v>
      </c>
    </row>
    <row r="155" spans="1:5" ht="14.25" hidden="1" x14ac:dyDescent="0.2">
      <c r="A155" s="39">
        <v>36312</v>
      </c>
      <c r="B155" s="40">
        <v>101.29</v>
      </c>
      <c r="C155" s="44">
        <f t="shared" si="4"/>
        <v>5.4056251727212123E-2</v>
      </c>
      <c r="D155" s="31">
        <f>'3month_treasury (2)'!D149</f>
        <v>3.8369948751172333E-3</v>
      </c>
      <c r="E155" s="45">
        <f t="shared" si="5"/>
        <v>5.0219256852094891E-2</v>
      </c>
    </row>
    <row r="156" spans="1:5" ht="14.25" hidden="1" x14ac:dyDescent="0.2">
      <c r="A156" s="39">
        <v>36342</v>
      </c>
      <c r="B156" s="40">
        <v>98.12</v>
      </c>
      <c r="C156" s="44">
        <f t="shared" si="4"/>
        <v>-3.1796470308417223E-2</v>
      </c>
      <c r="D156" s="31">
        <f>'3month_treasury (2)'!D150</f>
        <v>3.8980992965773984E-3</v>
      </c>
      <c r="E156" s="45">
        <f t="shared" si="5"/>
        <v>-3.5694569604994619E-2</v>
      </c>
    </row>
    <row r="157" spans="1:5" ht="14.25" hidden="1" x14ac:dyDescent="0.2">
      <c r="A157" s="39">
        <v>36374</v>
      </c>
      <c r="B157" s="40">
        <v>97.64</v>
      </c>
      <c r="C157" s="44">
        <f t="shared" si="4"/>
        <v>-4.9039738655293191E-3</v>
      </c>
      <c r="D157" s="31">
        <f>'3month_treasury (2)'!D151</f>
        <v>3.8806363180278868E-3</v>
      </c>
      <c r="E157" s="45">
        <f t="shared" si="5"/>
        <v>-8.7846101835572059E-3</v>
      </c>
    </row>
    <row r="158" spans="1:5" ht="14.25" hidden="1" x14ac:dyDescent="0.2">
      <c r="A158" s="39">
        <v>36404</v>
      </c>
      <c r="B158" s="40">
        <v>94.96</v>
      </c>
      <c r="C158" s="44">
        <f t="shared" si="4"/>
        <v>-2.783149522334679E-2</v>
      </c>
      <c r="D158" s="31">
        <f>'3month_treasury (2)'!D152</f>
        <v>4.029188411753897E-3</v>
      </c>
      <c r="E158" s="45">
        <f t="shared" si="5"/>
        <v>-3.1860683635100688E-2</v>
      </c>
    </row>
    <row r="159" spans="1:5" ht="14.25" hidden="1" x14ac:dyDescent="0.2">
      <c r="A159" s="39">
        <v>36434</v>
      </c>
      <c r="B159" s="40">
        <v>100.97</v>
      </c>
      <c r="C159" s="44">
        <f t="shared" si="4"/>
        <v>6.1367692714817186E-2</v>
      </c>
      <c r="D159" s="31">
        <f>'3month_treasury (2)'!D153</f>
        <v>3.9942111464625054E-3</v>
      </c>
      <c r="E159" s="45">
        <f t="shared" si="5"/>
        <v>5.737348156835468E-2</v>
      </c>
    </row>
    <row r="160" spans="1:5" ht="14.25" hidden="1" x14ac:dyDescent="0.2">
      <c r="A160" s="39">
        <v>36465</v>
      </c>
      <c r="B160" s="40">
        <v>103.01</v>
      </c>
      <c r="C160" s="44">
        <f t="shared" si="4"/>
        <v>2.0002627879372476E-2</v>
      </c>
      <c r="D160" s="31">
        <f>'3month_treasury (2)'!D154</f>
        <v>4.1517245819963321E-3</v>
      </c>
      <c r="E160" s="45">
        <f t="shared" si="5"/>
        <v>1.5850903297376144E-2</v>
      </c>
    </row>
    <row r="161" spans="1:5" ht="14.25" hidden="1" x14ac:dyDescent="0.2">
      <c r="A161" s="39">
        <v>36495</v>
      </c>
      <c r="B161" s="40">
        <v>109.18</v>
      </c>
      <c r="C161" s="44">
        <f t="shared" si="4"/>
        <v>5.817182545800953E-2</v>
      </c>
      <c r="D161" s="31">
        <f>'3month_treasury (2)'!D155</f>
        <v>4.3358673411986902E-3</v>
      </c>
      <c r="E161" s="45">
        <f t="shared" si="5"/>
        <v>5.3835958116810842E-2</v>
      </c>
    </row>
    <row r="162" spans="1:5" ht="14.25" hidden="1" x14ac:dyDescent="0.2">
      <c r="A162" s="39">
        <v>36528</v>
      </c>
      <c r="B162" s="40">
        <v>103.69</v>
      </c>
      <c r="C162" s="44">
        <f t="shared" si="4"/>
        <v>-5.15922177834248E-2</v>
      </c>
      <c r="D162" s="31">
        <f>'3month_treasury (2)'!D156</f>
        <v>4.4500647272596042E-3</v>
      </c>
      <c r="E162" s="45">
        <f t="shared" si="5"/>
        <v>-5.6042282510684403E-2</v>
      </c>
    </row>
    <row r="163" spans="1:5" ht="14.25" hidden="1" x14ac:dyDescent="0.2">
      <c r="A163" s="39">
        <v>36557</v>
      </c>
      <c r="B163" s="40">
        <v>101.71</v>
      </c>
      <c r="C163" s="44">
        <f t="shared" si="4"/>
        <v>-1.9280051932682039E-2</v>
      </c>
      <c r="D163" s="31">
        <f>'3month_treasury (2)'!D157</f>
        <v>4.5556167785256686E-3</v>
      </c>
      <c r="E163" s="45">
        <f t="shared" si="5"/>
        <v>-2.3835668711207708E-2</v>
      </c>
    </row>
    <row r="164" spans="1:5" ht="14.25" hidden="1" x14ac:dyDescent="0.2">
      <c r="A164" s="39">
        <v>36586</v>
      </c>
      <c r="B164" s="40">
        <v>111.64</v>
      </c>
      <c r="C164" s="44">
        <f t="shared" si="4"/>
        <v>9.3153782030616694E-2</v>
      </c>
      <c r="D164" s="31">
        <f>'3month_treasury (2)'!D158</f>
        <v>4.7582993367143904E-3</v>
      </c>
      <c r="E164" s="45">
        <f t="shared" si="5"/>
        <v>8.8395482693902308E-2</v>
      </c>
    </row>
    <row r="165" spans="1:5" ht="14.25" hidden="1" x14ac:dyDescent="0.2">
      <c r="A165" s="39">
        <v>36619</v>
      </c>
      <c r="B165" s="40">
        <v>108.28</v>
      </c>
      <c r="C165" s="44">
        <f t="shared" si="4"/>
        <v>-3.0558943922020982E-2</v>
      </c>
      <c r="D165" s="31">
        <f>'3month_treasury (2)'!D159</f>
        <v>4.881913119358163E-3</v>
      </c>
      <c r="E165" s="45">
        <f t="shared" si="5"/>
        <v>-3.5440857041379142E-2</v>
      </c>
    </row>
    <row r="166" spans="1:5" ht="14.25" hidden="1" x14ac:dyDescent="0.2">
      <c r="A166" s="39">
        <v>36647</v>
      </c>
      <c r="B166" s="40">
        <v>106.07</v>
      </c>
      <c r="C166" s="44">
        <f t="shared" si="4"/>
        <v>-2.0621211228721605E-2</v>
      </c>
      <c r="D166" s="31">
        <f>'3month_treasury (2)'!D160</f>
        <v>4.8554090109979714E-3</v>
      </c>
      <c r="E166" s="45">
        <f t="shared" si="5"/>
        <v>-2.5476620239719576E-2</v>
      </c>
    </row>
    <row r="167" spans="1:5" ht="14.25" hidden="1" x14ac:dyDescent="0.2">
      <c r="A167" s="39">
        <v>36678</v>
      </c>
      <c r="B167" s="40">
        <v>108.71</v>
      </c>
      <c r="C167" s="44">
        <f t="shared" si="4"/>
        <v>2.4584532698530125E-2</v>
      </c>
      <c r="D167" s="31">
        <f>'3month_treasury (2)'!D161</f>
        <v>4.9703210772929149E-3</v>
      </c>
      <c r="E167" s="45">
        <f t="shared" si="5"/>
        <v>1.961421162123721E-2</v>
      </c>
    </row>
    <row r="168" spans="1:5" ht="14.25" hidden="1" x14ac:dyDescent="0.2">
      <c r="A168" s="39">
        <v>36710</v>
      </c>
      <c r="B168" s="40">
        <v>107.09</v>
      </c>
      <c r="C168" s="44">
        <f t="shared" si="4"/>
        <v>-1.5014183803125254E-2</v>
      </c>
      <c r="D168" s="31">
        <f>'3month_treasury (2)'!D162</f>
        <v>4.881913119358163E-3</v>
      </c>
      <c r="E168" s="45">
        <f t="shared" si="5"/>
        <v>-1.9896096922483418E-2</v>
      </c>
    </row>
    <row r="169" spans="1:5" ht="14.25" hidden="1" x14ac:dyDescent="0.2">
      <c r="A169" s="39">
        <v>36739</v>
      </c>
      <c r="B169" s="40">
        <v>113.72</v>
      </c>
      <c r="C169" s="44">
        <f t="shared" si="4"/>
        <v>6.0069684370015378E-2</v>
      </c>
      <c r="D169" s="31">
        <f>'3month_treasury (2)'!D163</f>
        <v>5.1208301930185498E-3</v>
      </c>
      <c r="E169" s="45">
        <f t="shared" si="5"/>
        <v>5.4948854176996825E-2</v>
      </c>
    </row>
    <row r="170" spans="1:5" ht="14.25" hidden="1" x14ac:dyDescent="0.2">
      <c r="A170" s="39">
        <v>36770</v>
      </c>
      <c r="B170" s="40">
        <v>107.7</v>
      </c>
      <c r="C170" s="44">
        <f t="shared" si="4"/>
        <v>-5.438970262045615E-2</v>
      </c>
      <c r="D170" s="31">
        <f>'3month_treasury (2)'!D164</f>
        <v>5.2361090976307577E-3</v>
      </c>
      <c r="E170" s="45">
        <f t="shared" si="5"/>
        <v>-5.962581171808691E-2</v>
      </c>
    </row>
    <row r="171" spans="1:5" ht="14.25" hidden="1" x14ac:dyDescent="0.2">
      <c r="A171" s="39">
        <v>36801</v>
      </c>
      <c r="B171" s="40">
        <v>107.24</v>
      </c>
      <c r="C171" s="44">
        <f t="shared" si="4"/>
        <v>-4.2802707945844409E-3</v>
      </c>
      <c r="D171" s="31">
        <f>'3month_treasury (2)'!D165</f>
        <v>5.1562836431739544E-3</v>
      </c>
      <c r="E171" s="45">
        <f t="shared" si="5"/>
        <v>-9.4365544377583953E-3</v>
      </c>
    </row>
    <row r="172" spans="1:5" ht="14.25" hidden="1" x14ac:dyDescent="0.2">
      <c r="A172" s="39">
        <v>36831</v>
      </c>
      <c r="B172" s="40">
        <v>98.79</v>
      </c>
      <c r="C172" s="44">
        <f t="shared" si="4"/>
        <v>-8.2072928311375859E-2</v>
      </c>
      <c r="D172" s="31">
        <f>'3month_treasury (2)'!D166</f>
        <v>5.2538584764696035E-3</v>
      </c>
      <c r="E172" s="45">
        <f t="shared" si="5"/>
        <v>-8.7326786787845459E-2</v>
      </c>
    </row>
    <row r="173" spans="1:5" ht="14.25" hidden="1" x14ac:dyDescent="0.2">
      <c r="A173" s="39">
        <v>36861</v>
      </c>
      <c r="B173" s="40">
        <v>99.3</v>
      </c>
      <c r="C173" s="44">
        <f t="shared" si="4"/>
        <v>5.1491859947441054E-3</v>
      </c>
      <c r="D173" s="31">
        <f>'3month_treasury (2)'!D167</f>
        <v>5.3071293071777518E-3</v>
      </c>
      <c r="E173" s="45">
        <f t="shared" si="5"/>
        <v>-1.5794331243364646E-4</v>
      </c>
    </row>
    <row r="174" spans="1:5" ht="14.25" hidden="1" x14ac:dyDescent="0.2">
      <c r="A174" s="39">
        <v>36893</v>
      </c>
      <c r="B174" s="40">
        <v>102.82</v>
      </c>
      <c r="C174" s="44">
        <f t="shared" si="4"/>
        <v>3.4834315576231678E-2</v>
      </c>
      <c r="D174" s="31">
        <f>'3month_treasury (2)'!D168</f>
        <v>4.9526319807855429E-3</v>
      </c>
      <c r="E174" s="45">
        <f t="shared" si="5"/>
        <v>2.9881683595446136E-2</v>
      </c>
    </row>
    <row r="175" spans="1:5" ht="14.25" hidden="1" x14ac:dyDescent="0.2">
      <c r="A175" s="39">
        <v>36923</v>
      </c>
      <c r="B175" s="40">
        <v>93.42</v>
      </c>
      <c r="C175" s="44">
        <f t="shared" si="4"/>
        <v>-9.5874431553396491E-2</v>
      </c>
      <c r="D175" s="31">
        <f>'3month_treasury (2)'!D169</f>
        <v>4.4061241339223489E-3</v>
      </c>
      <c r="E175" s="45">
        <f t="shared" si="5"/>
        <v>-0.10028055568731883</v>
      </c>
    </row>
    <row r="176" spans="1:5" ht="14.25" hidden="1" x14ac:dyDescent="0.2">
      <c r="A176" s="39">
        <v>36951</v>
      </c>
      <c r="B176" s="40">
        <v>87.48</v>
      </c>
      <c r="C176" s="44">
        <f t="shared" si="4"/>
        <v>-6.5695259265394892E-2</v>
      </c>
      <c r="D176" s="31">
        <f>'3month_treasury (2)'!D170</f>
        <v>4.169244467130415E-3</v>
      </c>
      <c r="E176" s="45">
        <f t="shared" si="5"/>
        <v>-6.9864503732525313E-2</v>
      </c>
    </row>
    <row r="177" spans="1:5" ht="14.25" hidden="1" x14ac:dyDescent="0.2">
      <c r="A177" s="39">
        <v>36983</v>
      </c>
      <c r="B177" s="40">
        <v>94.28</v>
      </c>
      <c r="C177" s="44">
        <f t="shared" si="4"/>
        <v>7.4858882259363338E-2</v>
      </c>
      <c r="D177" s="31">
        <f>'3month_treasury (2)'!D171</f>
        <v>3.7672160698399315E-3</v>
      </c>
      <c r="E177" s="45">
        <f t="shared" si="5"/>
        <v>7.1091666189523409E-2</v>
      </c>
    </row>
    <row r="178" spans="1:5" ht="14.25" hidden="1" x14ac:dyDescent="0.2">
      <c r="A178" s="39">
        <v>37012</v>
      </c>
      <c r="B178" s="40">
        <v>94.89</v>
      </c>
      <c r="C178" s="44">
        <f t="shared" si="4"/>
        <v>6.4492479177366835E-3</v>
      </c>
      <c r="D178" s="31">
        <f>'3month_treasury (2)'!D172</f>
        <v>3.2890619925305437E-3</v>
      </c>
      <c r="E178" s="45">
        <f t="shared" si="5"/>
        <v>3.1601859252061398E-3</v>
      </c>
    </row>
    <row r="179" spans="1:5" ht="14.25" hidden="1" x14ac:dyDescent="0.2">
      <c r="A179" s="39">
        <v>37043</v>
      </c>
      <c r="B179" s="40">
        <v>92.57</v>
      </c>
      <c r="C179" s="44">
        <f t="shared" si="4"/>
        <v>-2.475321090654738E-2</v>
      </c>
      <c r="D179" s="31">
        <f>'3month_treasury (2)'!D173</f>
        <v>3.0726228979920654E-3</v>
      </c>
      <c r="E179" s="45">
        <f t="shared" si="5"/>
        <v>-2.7825833804539447E-2</v>
      </c>
    </row>
    <row r="180" spans="1:5" ht="14.25" hidden="1" x14ac:dyDescent="0.2">
      <c r="A180" s="39">
        <v>37074</v>
      </c>
      <c r="B180" s="40">
        <v>91.64</v>
      </c>
      <c r="C180" s="44">
        <f t="shared" si="4"/>
        <v>-1.0097257493825002E-2</v>
      </c>
      <c r="D180" s="31">
        <f>'3month_treasury (2)'!D174</f>
        <v>2.9602963390872126E-3</v>
      </c>
      <c r="E180" s="45">
        <f t="shared" si="5"/>
        <v>-1.3057553832912214E-2</v>
      </c>
    </row>
    <row r="181" spans="1:5" ht="14.25" hidden="1" x14ac:dyDescent="0.2">
      <c r="A181" s="39">
        <v>37104</v>
      </c>
      <c r="B181" s="40">
        <v>85.89</v>
      </c>
      <c r="C181" s="44">
        <f t="shared" si="4"/>
        <v>-6.4800449807161431E-2</v>
      </c>
      <c r="D181" s="31">
        <f>'3month_treasury (2)'!D175</f>
        <v>2.9775674963165738E-3</v>
      </c>
      <c r="E181" s="45">
        <f t="shared" si="5"/>
        <v>-6.7778017303478003E-2</v>
      </c>
    </row>
    <row r="182" spans="1:5" ht="14.25" hidden="1" x14ac:dyDescent="0.2">
      <c r="A182" s="39">
        <v>37138</v>
      </c>
      <c r="B182" s="40">
        <v>78.94</v>
      </c>
      <c r="C182" s="44">
        <f t="shared" si="4"/>
        <v>-8.4379337543432298E-2</v>
      </c>
      <c r="D182" s="31">
        <f>'3month_treasury (2)'!D176</f>
        <v>2.8481209834655377E-3</v>
      </c>
      <c r="E182" s="45">
        <f t="shared" si="5"/>
        <v>-8.7227458526897839E-2</v>
      </c>
    </row>
    <row r="183" spans="1:5" ht="14.25" hidden="1" x14ac:dyDescent="0.2">
      <c r="A183" s="39">
        <v>37165</v>
      </c>
      <c r="B183" s="40">
        <v>80.430000000000007</v>
      </c>
      <c r="C183" s="44">
        <f t="shared" si="4"/>
        <v>1.8699170681276706E-2</v>
      </c>
      <c r="D183" s="31">
        <f>'3month_treasury (2)'!D177</f>
        <v>2.229561442401632E-3</v>
      </c>
      <c r="E183" s="45">
        <f t="shared" si="5"/>
        <v>1.6469609238875076E-2</v>
      </c>
    </row>
    <row r="184" spans="1:5" ht="14.25" hidden="1" x14ac:dyDescent="0.2">
      <c r="A184" s="39">
        <v>37196</v>
      </c>
      <c r="B184" s="40">
        <v>86.59</v>
      </c>
      <c r="C184" s="44">
        <f t="shared" si="4"/>
        <v>7.3797094543732233E-2</v>
      </c>
      <c r="D184" s="31">
        <f>'3month_treasury (2)'!D178</f>
        <v>1.8197245507645375E-3</v>
      </c>
      <c r="E184" s="45">
        <f t="shared" si="5"/>
        <v>7.1977369992967694E-2</v>
      </c>
    </row>
    <row r="185" spans="1:5" ht="14.25" hidden="1" x14ac:dyDescent="0.2">
      <c r="A185" s="39">
        <v>37228</v>
      </c>
      <c r="B185" s="40">
        <v>87.35</v>
      </c>
      <c r="C185" s="44">
        <f t="shared" si="4"/>
        <v>8.7387011203557269E-3</v>
      </c>
      <c r="D185" s="31">
        <f>'3month_treasury (2)'!D179</f>
        <v>1.5730879808074378E-3</v>
      </c>
      <c r="E185" s="45">
        <f t="shared" si="5"/>
        <v>7.1656131395482891E-3</v>
      </c>
    </row>
    <row r="186" spans="1:5" ht="14.25" hidden="1" x14ac:dyDescent="0.2">
      <c r="A186" s="39">
        <v>37258</v>
      </c>
      <c r="B186" s="40">
        <v>86.06</v>
      </c>
      <c r="C186" s="44">
        <f t="shared" si="4"/>
        <v>-1.4878309169611869E-2</v>
      </c>
      <c r="D186" s="31">
        <f>'3month_treasury (2)'!D180</f>
        <v>1.4203695507715363E-3</v>
      </c>
      <c r="E186" s="45">
        <f t="shared" si="5"/>
        <v>-1.6298678720383406E-2</v>
      </c>
    </row>
    <row r="187" spans="1:5" ht="14.25" hidden="1" x14ac:dyDescent="0.2">
      <c r="A187" s="39">
        <v>37288</v>
      </c>
      <c r="B187" s="40">
        <v>84.4</v>
      </c>
      <c r="C187" s="44">
        <f t="shared" si="4"/>
        <v>-1.9477325808542088E-2</v>
      </c>
      <c r="D187" s="31">
        <f>'3month_treasury (2)'!D181</f>
        <v>1.3864700960852865E-3</v>
      </c>
      <c r="E187" s="45">
        <f t="shared" si="5"/>
        <v>-2.0863795904627374E-2</v>
      </c>
    </row>
    <row r="188" spans="1:5" ht="14.25" hidden="1" x14ac:dyDescent="0.2">
      <c r="A188" s="39">
        <v>37316</v>
      </c>
      <c r="B188" s="40">
        <v>87.55</v>
      </c>
      <c r="C188" s="44">
        <f t="shared" si="4"/>
        <v>3.6642657129949359E-2</v>
      </c>
      <c r="D188" s="31">
        <f>'3month_treasury (2)'!D182</f>
        <v>1.4542828011463217E-3</v>
      </c>
      <c r="E188" s="45">
        <f t="shared" si="5"/>
        <v>3.5188374328803035E-2</v>
      </c>
    </row>
    <row r="189" spans="1:5" ht="14.25" hidden="1" x14ac:dyDescent="0.2">
      <c r="A189" s="39">
        <v>37347</v>
      </c>
      <c r="B189" s="40">
        <v>82.23</v>
      </c>
      <c r="C189" s="44">
        <f t="shared" si="4"/>
        <v>-6.2689859749056609E-2</v>
      </c>
      <c r="D189" s="31">
        <f>'3month_treasury (2)'!D183</f>
        <v>1.5051785682007061E-3</v>
      </c>
      <c r="E189" s="45">
        <f t="shared" si="5"/>
        <v>-6.4195038317257314E-2</v>
      </c>
    </row>
    <row r="190" spans="1:5" ht="14.25" hidden="1" x14ac:dyDescent="0.2">
      <c r="A190" s="39">
        <v>37377</v>
      </c>
      <c r="B190" s="40">
        <v>81.61</v>
      </c>
      <c r="C190" s="44">
        <f t="shared" si="4"/>
        <v>-7.568395501652685E-3</v>
      </c>
      <c r="D190" s="31">
        <f>'3month_treasury (2)'!D184</f>
        <v>1.4458031945927513E-3</v>
      </c>
      <c r="E190" s="45">
        <f t="shared" si="5"/>
        <v>-9.0141986962454356E-3</v>
      </c>
    </row>
    <row r="191" spans="1:5" ht="14.25" hidden="1" x14ac:dyDescent="0.2">
      <c r="A191" s="39">
        <v>37410</v>
      </c>
      <c r="B191" s="40">
        <v>75.790000000000006</v>
      </c>
      <c r="C191" s="44">
        <f t="shared" si="4"/>
        <v>-7.3985445657213711E-2</v>
      </c>
      <c r="D191" s="31">
        <f>'3month_treasury (2)'!D185</f>
        <v>1.4542828011463217E-3</v>
      </c>
      <c r="E191" s="45">
        <f t="shared" si="5"/>
        <v>-7.5439728458360028E-2</v>
      </c>
    </row>
    <row r="192" spans="1:5" ht="14.25" hidden="1" x14ac:dyDescent="0.2">
      <c r="A192" s="39">
        <v>37438</v>
      </c>
      <c r="B192" s="40">
        <v>69.94</v>
      </c>
      <c r="C192" s="44">
        <f t="shared" si="4"/>
        <v>-8.0328626188708091E-2</v>
      </c>
      <c r="D192" s="31">
        <f>'3month_treasury (2)'!D186</f>
        <v>1.4288465695808819E-3</v>
      </c>
      <c r="E192" s="45">
        <f t="shared" si="5"/>
        <v>-8.1757472758288971E-2</v>
      </c>
    </row>
    <row r="193" spans="1:5" ht="14.25" hidden="1" x14ac:dyDescent="0.2">
      <c r="A193" s="39">
        <v>37469</v>
      </c>
      <c r="B193" s="40">
        <v>70.39</v>
      </c>
      <c r="C193" s="44">
        <f t="shared" si="4"/>
        <v>6.4134759848105023E-3</v>
      </c>
      <c r="D193" s="31">
        <f>'3month_treasury (2)'!D187</f>
        <v>1.4118933941926779E-3</v>
      </c>
      <c r="E193" s="45">
        <f t="shared" si="5"/>
        <v>5.0015825906178247E-3</v>
      </c>
    </row>
    <row r="194" spans="1:5" ht="14.25" hidden="1" x14ac:dyDescent="0.2">
      <c r="A194" s="39">
        <v>37502</v>
      </c>
      <c r="B194" s="40">
        <v>62.73</v>
      </c>
      <c r="C194" s="44">
        <f t="shared" si="4"/>
        <v>-0.11521140551138835</v>
      </c>
      <c r="D194" s="31">
        <f>'3month_treasury (2)'!D188</f>
        <v>1.3610545517414774E-3</v>
      </c>
      <c r="E194" s="45">
        <f t="shared" si="5"/>
        <v>-0.11657246006312982</v>
      </c>
    </row>
    <row r="195" spans="1:5" ht="14.25" hidden="1" x14ac:dyDescent="0.2">
      <c r="A195" s="39">
        <v>37530</v>
      </c>
      <c r="B195" s="40">
        <v>68.239999999999995</v>
      </c>
      <c r="C195" s="44">
        <f t="shared" si="4"/>
        <v>8.4191101074771763E-2</v>
      </c>
      <c r="D195" s="31">
        <f>'3month_treasury (2)'!D189</f>
        <v>1.3695255386187346E-3</v>
      </c>
      <c r="E195" s="45">
        <f t="shared" si="5"/>
        <v>8.2821575536153033E-2</v>
      </c>
    </row>
    <row r="196" spans="1:5" ht="14.25" hidden="1" x14ac:dyDescent="0.2">
      <c r="A196" s="39">
        <v>37561</v>
      </c>
      <c r="B196" s="40">
        <v>72.44</v>
      </c>
      <c r="C196" s="44">
        <f t="shared" si="4"/>
        <v>5.9727729831788944E-2</v>
      </c>
      <c r="D196" s="31">
        <f>'3month_treasury (2)'!D190</f>
        <v>1.3271792125215997E-3</v>
      </c>
      <c r="E196" s="45">
        <f t="shared" si="5"/>
        <v>5.8400550619267341E-2</v>
      </c>
    </row>
    <row r="197" spans="1:5" ht="14.25" hidden="1" x14ac:dyDescent="0.2">
      <c r="A197" s="39">
        <v>37592</v>
      </c>
      <c r="B197" s="40">
        <v>67.98</v>
      </c>
      <c r="C197" s="44">
        <f t="shared" si="4"/>
        <v>-6.3545088747242573E-2</v>
      </c>
      <c r="D197" s="31">
        <f>'3month_treasury (2)'!D191</f>
        <v>1.0313559223379478E-3</v>
      </c>
      <c r="E197" s="45">
        <f t="shared" si="5"/>
        <v>-6.4576444669580527E-2</v>
      </c>
    </row>
    <row r="198" spans="1:5" ht="14.25" hidden="1" x14ac:dyDescent="0.2">
      <c r="A198" s="39">
        <v>37623</v>
      </c>
      <c r="B198" s="40">
        <v>66.2</v>
      </c>
      <c r="C198" s="44">
        <f t="shared" si="4"/>
        <v>-2.6533081325007445E-2</v>
      </c>
      <c r="D198" s="31">
        <f>'3month_treasury (2)'!D192</f>
        <v>9.97614315101665E-4</v>
      </c>
      <c r="E198" s="45">
        <f t="shared" si="5"/>
        <v>-2.7530695640109109E-2</v>
      </c>
    </row>
    <row r="199" spans="1:5" ht="14.25" hidden="1" x14ac:dyDescent="0.2">
      <c r="A199" s="39">
        <v>37655</v>
      </c>
      <c r="B199" s="40">
        <v>65.2</v>
      </c>
      <c r="C199" s="44">
        <f t="shared" si="4"/>
        <v>-1.5220994010355243E-2</v>
      </c>
      <c r="D199" s="31">
        <f>'3month_treasury (2)'!D193</f>
        <v>9.8074863333323702E-4</v>
      </c>
      <c r="E199" s="45">
        <f t="shared" si="5"/>
        <v>-1.6201742643688479E-2</v>
      </c>
    </row>
    <row r="200" spans="1:5" ht="14.25" hidden="1" x14ac:dyDescent="0.2">
      <c r="A200" s="39">
        <v>37683</v>
      </c>
      <c r="B200" s="40">
        <v>65.819999999999993</v>
      </c>
      <c r="C200" s="44">
        <f t="shared" si="4"/>
        <v>9.464274582586446E-3</v>
      </c>
      <c r="D200" s="31">
        <f>'3month_treasury (2)'!D194</f>
        <v>9.8074863333323702E-4</v>
      </c>
      <c r="E200" s="45">
        <f t="shared" si="5"/>
        <v>8.4835259492532095E-3</v>
      </c>
    </row>
    <row r="201" spans="1:5" ht="14.25" hidden="1" x14ac:dyDescent="0.2">
      <c r="A201" s="39">
        <v>37712</v>
      </c>
      <c r="B201" s="40">
        <v>71.25</v>
      </c>
      <c r="C201" s="44">
        <f t="shared" si="4"/>
        <v>7.9271075633566043E-2</v>
      </c>
      <c r="D201" s="31">
        <f>'3month_treasury (2)'!D195</f>
        <v>9.4702750658748217E-4</v>
      </c>
      <c r="E201" s="45">
        <f t="shared" si="5"/>
        <v>7.832404812697856E-2</v>
      </c>
    </row>
    <row r="202" spans="1:5" ht="14.25" hidden="1" x14ac:dyDescent="0.2">
      <c r="A202" s="39">
        <v>37742</v>
      </c>
      <c r="B202" s="40">
        <v>75</v>
      </c>
      <c r="C202" s="44">
        <f t="shared" ref="C202:C241" si="6">LN(B202/B201)</f>
        <v>5.1293294387550481E-2</v>
      </c>
      <c r="D202" s="31">
        <f>'3month_treasury (2)'!D196</f>
        <v>9.4702750658748217E-4</v>
      </c>
      <c r="E202" s="45">
        <f t="shared" ref="E202:E241" si="7">C202-D202</f>
        <v>5.0346266880962998E-2</v>
      </c>
    </row>
    <row r="203" spans="1:5" ht="14.25" hidden="1" x14ac:dyDescent="0.2">
      <c r="A203" s="39">
        <v>37774</v>
      </c>
      <c r="B203" s="40">
        <v>75.95</v>
      </c>
      <c r="C203" s="44">
        <f t="shared" si="6"/>
        <v>1.258711550547136E-2</v>
      </c>
      <c r="D203" s="31">
        <f>'3month_treasury (2)'!D197</f>
        <v>8.9647138774667258E-4</v>
      </c>
      <c r="E203" s="45">
        <f t="shared" si="7"/>
        <v>1.1690644117724688E-2</v>
      </c>
    </row>
    <row r="204" spans="1:5" ht="14.25" hidden="1" x14ac:dyDescent="0.2">
      <c r="A204" s="39">
        <v>37803</v>
      </c>
      <c r="B204" s="40">
        <v>77.27</v>
      </c>
      <c r="C204" s="44">
        <f t="shared" si="6"/>
        <v>1.7230552903710488E-2</v>
      </c>
      <c r="D204" s="31">
        <f>'3month_treasury (2)'!D198</f>
        <v>7.7021511391105418E-4</v>
      </c>
      <c r="E204" s="45">
        <f t="shared" si="7"/>
        <v>1.6460337789799433E-2</v>
      </c>
    </row>
    <row r="205" spans="1:5" ht="14.25" hidden="1" x14ac:dyDescent="0.2">
      <c r="A205" s="39">
        <v>37834</v>
      </c>
      <c r="B205" s="40">
        <v>78.760000000000005</v>
      </c>
      <c r="C205" s="44">
        <f t="shared" si="6"/>
        <v>1.9099471825432299E-2</v>
      </c>
      <c r="D205" s="31">
        <f>'3month_treasury (2)'!D199</f>
        <v>7.5339538767908536E-4</v>
      </c>
      <c r="E205" s="45">
        <f t="shared" si="7"/>
        <v>1.8346076437753215E-2</v>
      </c>
    </row>
    <row r="206" spans="1:5" ht="14.25" hidden="1" x14ac:dyDescent="0.2">
      <c r="A206" s="39">
        <v>37866</v>
      </c>
      <c r="B206" s="40">
        <v>77.92</v>
      </c>
      <c r="C206" s="44">
        <f t="shared" si="6"/>
        <v>-1.0722594436645227E-2</v>
      </c>
      <c r="D206" s="31">
        <f>'3month_treasury (2)'!D200</f>
        <v>7.9545107029428382E-4</v>
      </c>
      <c r="E206" s="45">
        <f t="shared" si="7"/>
        <v>-1.1518045506939511E-2</v>
      </c>
    </row>
    <row r="207" spans="1:5" ht="14.25" hidden="1" x14ac:dyDescent="0.2">
      <c r="A207" s="39">
        <v>37895</v>
      </c>
      <c r="B207" s="40">
        <v>82.31</v>
      </c>
      <c r="C207" s="44">
        <f t="shared" si="6"/>
        <v>5.4809947650273021E-2</v>
      </c>
      <c r="D207" s="31">
        <f>'3month_treasury (2)'!D201</f>
        <v>7.8703823566665047E-4</v>
      </c>
      <c r="E207" s="45">
        <f t="shared" si="7"/>
        <v>5.4022909414606371E-2</v>
      </c>
    </row>
    <row r="208" spans="1:5" ht="14.25" hidden="1" x14ac:dyDescent="0.2">
      <c r="A208" s="39">
        <v>37928</v>
      </c>
      <c r="B208" s="40">
        <v>83.02</v>
      </c>
      <c r="C208" s="44">
        <f t="shared" si="6"/>
        <v>8.5889356403399623E-3</v>
      </c>
      <c r="D208" s="31">
        <f>'3month_treasury (2)'!D202</f>
        <v>7.7021511391105418E-4</v>
      </c>
      <c r="E208" s="45">
        <f t="shared" si="7"/>
        <v>7.8187205264289086E-3</v>
      </c>
    </row>
    <row r="209" spans="1:5" ht="14.25" hidden="1" x14ac:dyDescent="0.2">
      <c r="A209" s="39">
        <v>37956</v>
      </c>
      <c r="B209" s="40">
        <v>87.36</v>
      </c>
      <c r="C209" s="44">
        <f t="shared" si="6"/>
        <v>5.0955969371702187E-2</v>
      </c>
      <c r="D209" s="31">
        <f>'3month_treasury (2)'!D203</f>
        <v>7.7862625026272182E-4</v>
      </c>
      <c r="E209" s="45">
        <f t="shared" si="7"/>
        <v>5.0177343121439462E-2</v>
      </c>
    </row>
    <row r="210" spans="1:5" ht="14.25" hidden="1" x14ac:dyDescent="0.2">
      <c r="A210" s="39">
        <v>37988</v>
      </c>
      <c r="B210" s="40">
        <v>88.95</v>
      </c>
      <c r="C210" s="44">
        <f t="shared" si="6"/>
        <v>1.8036902115249283E-2</v>
      </c>
      <c r="D210" s="31">
        <f>'3month_treasury (2)'!D204</f>
        <v>7.5339538767908536E-4</v>
      </c>
      <c r="E210" s="45">
        <f t="shared" si="7"/>
        <v>1.7283506727570199E-2</v>
      </c>
    </row>
    <row r="211" spans="1:5" ht="14.25" hidden="1" x14ac:dyDescent="0.2">
      <c r="A211" s="39">
        <v>38019</v>
      </c>
      <c r="B211" s="40">
        <v>90.18</v>
      </c>
      <c r="C211" s="44">
        <f t="shared" si="6"/>
        <v>1.3733258881093996E-2</v>
      </c>
      <c r="D211" s="31">
        <f>'3month_treasury (2)'!D205</f>
        <v>7.3657905560035267E-4</v>
      </c>
      <c r="E211" s="45">
        <f t="shared" si="7"/>
        <v>1.2996679825493643E-2</v>
      </c>
    </row>
    <row r="212" spans="1:5" ht="14.25" hidden="1" x14ac:dyDescent="0.2">
      <c r="A212" s="39">
        <v>38047</v>
      </c>
      <c r="B212" s="40">
        <v>88.81</v>
      </c>
      <c r="C212" s="44">
        <f t="shared" si="6"/>
        <v>-1.5308416722525389E-2</v>
      </c>
      <c r="D212" s="31">
        <f>'3month_treasury (2)'!D206</f>
        <v>7.7862625026272182E-4</v>
      </c>
      <c r="E212" s="45">
        <f t="shared" si="7"/>
        <v>-1.608704297278811E-2</v>
      </c>
    </row>
    <row r="213" spans="1:5" ht="14.25" hidden="1" x14ac:dyDescent="0.2">
      <c r="A213" s="39">
        <v>38078</v>
      </c>
      <c r="B213" s="40">
        <v>87.41</v>
      </c>
      <c r="C213" s="44">
        <f t="shared" si="6"/>
        <v>-1.5889563678016198E-2</v>
      </c>
      <c r="D213" s="31">
        <f>'3month_treasury (2)'!D207</f>
        <v>7.8703823566665047E-4</v>
      </c>
      <c r="E213" s="45">
        <f t="shared" si="7"/>
        <v>-1.6676601913682847E-2</v>
      </c>
    </row>
    <row r="214" spans="1:5" ht="14.25" hidden="1" x14ac:dyDescent="0.2">
      <c r="A214" s="39">
        <v>38110</v>
      </c>
      <c r="B214" s="40">
        <v>88.6</v>
      </c>
      <c r="C214" s="44">
        <f t="shared" si="6"/>
        <v>1.3522165018638658E-2</v>
      </c>
      <c r="D214" s="31">
        <f>'3month_treasury (2)'!D208</f>
        <v>7.8703823566665047E-4</v>
      </c>
      <c r="E214" s="45">
        <f t="shared" si="7"/>
        <v>1.2735126782972008E-2</v>
      </c>
    </row>
    <row r="215" spans="1:5" ht="14.25" hidden="1" x14ac:dyDescent="0.2">
      <c r="A215" s="39">
        <v>38139</v>
      </c>
      <c r="B215" s="40">
        <v>90.3</v>
      </c>
      <c r="C215" s="44">
        <f t="shared" si="6"/>
        <v>1.9005602811904519E-2</v>
      </c>
      <c r="D215" s="31">
        <f>'3month_treasury (2)'!D209</f>
        <v>8.5436470536260267E-4</v>
      </c>
      <c r="E215" s="45">
        <f t="shared" si="7"/>
        <v>1.8151238106541918E-2</v>
      </c>
    </row>
    <row r="216" spans="1:5" ht="14.25" hidden="1" x14ac:dyDescent="0.2">
      <c r="A216" s="39">
        <v>38169</v>
      </c>
      <c r="B216" s="40">
        <v>87.31</v>
      </c>
      <c r="C216" s="44">
        <f t="shared" si="6"/>
        <v>-3.3672456600223451E-2</v>
      </c>
      <c r="D216" s="31">
        <f>'3month_treasury (2)'!D210</f>
        <v>1.0651111970610976E-3</v>
      </c>
      <c r="E216" s="45">
        <f t="shared" si="7"/>
        <v>-3.4737567797284548E-2</v>
      </c>
    </row>
    <row r="217" spans="1:5" ht="14.25" hidden="1" x14ac:dyDescent="0.2">
      <c r="A217" s="39">
        <v>38201</v>
      </c>
      <c r="B217" s="40">
        <v>87.65</v>
      </c>
      <c r="C217" s="44">
        <f t="shared" si="6"/>
        <v>3.8866075445272105E-3</v>
      </c>
      <c r="D217" s="31">
        <f>'3month_treasury (2)'!D211</f>
        <v>1.1157697599179959E-3</v>
      </c>
      <c r="E217" s="45">
        <f t="shared" si="7"/>
        <v>2.7708377846092144E-3</v>
      </c>
    </row>
    <row r="218" spans="1:5" ht="14.25" hidden="1" x14ac:dyDescent="0.2">
      <c r="A218" s="39">
        <v>38231</v>
      </c>
      <c r="B218" s="40">
        <v>88.58</v>
      </c>
      <c r="C218" s="44">
        <f t="shared" si="6"/>
        <v>1.0554487127808538E-2</v>
      </c>
      <c r="D218" s="31">
        <f>'3month_treasury (2)'!D212</f>
        <v>1.2425510613128566E-3</v>
      </c>
      <c r="E218" s="45">
        <f t="shared" si="7"/>
        <v>9.3119360664956803E-3</v>
      </c>
    </row>
    <row r="219" spans="1:5" ht="14.25" hidden="1" x14ac:dyDescent="0.2">
      <c r="A219" s="39">
        <v>38261</v>
      </c>
      <c r="B219" s="40">
        <v>89.93</v>
      </c>
      <c r="C219" s="44">
        <f t="shared" si="6"/>
        <v>1.5125491431372063E-2</v>
      </c>
      <c r="D219" s="31">
        <f>'3month_treasury (2)'!D213</f>
        <v>1.3864700960852865E-3</v>
      </c>
      <c r="E219" s="45">
        <f t="shared" si="7"/>
        <v>1.3739021335286776E-2</v>
      </c>
    </row>
    <row r="220" spans="1:5" ht="14.25" hidden="1" x14ac:dyDescent="0.2">
      <c r="A220" s="39">
        <v>38292</v>
      </c>
      <c r="B220" s="40">
        <v>93.56</v>
      </c>
      <c r="C220" s="44">
        <f t="shared" si="6"/>
        <v>3.9571351789554038E-2</v>
      </c>
      <c r="D220" s="31">
        <f>'3month_treasury (2)'!D214</f>
        <v>1.4797267991049203E-3</v>
      </c>
      <c r="E220" s="45">
        <f t="shared" si="7"/>
        <v>3.8091624990449116E-2</v>
      </c>
    </row>
    <row r="221" spans="1:5" ht="14.25" hidden="1" x14ac:dyDescent="0.2">
      <c r="A221" s="39">
        <v>38322</v>
      </c>
      <c r="B221" s="40">
        <v>96.74</v>
      </c>
      <c r="C221" s="44">
        <f t="shared" si="6"/>
        <v>3.3424025678858875E-2</v>
      </c>
      <c r="D221" s="31">
        <f>'3month_treasury (2)'!D215</f>
        <v>1.7431040212823425E-3</v>
      </c>
      <c r="E221" s="45">
        <f t="shared" si="7"/>
        <v>3.1680921657576536E-2</v>
      </c>
    </row>
    <row r="222" spans="1:5" ht="14.25" hidden="1" x14ac:dyDescent="0.2">
      <c r="A222" s="39">
        <v>38355</v>
      </c>
      <c r="B222" s="40">
        <v>94.37</v>
      </c>
      <c r="C222" s="44">
        <f t="shared" si="6"/>
        <v>-2.4803741361595348E-2</v>
      </c>
      <c r="D222" s="31">
        <f>'3month_treasury (2)'!D216</f>
        <v>1.8452803904741545E-3</v>
      </c>
      <c r="E222" s="45">
        <f t="shared" si="7"/>
        <v>-2.6649021752069502E-2</v>
      </c>
    </row>
    <row r="223" spans="1:5" ht="14.25" hidden="1" x14ac:dyDescent="0.2">
      <c r="A223" s="39">
        <v>38384</v>
      </c>
      <c r="B223" s="40">
        <v>96.34</v>
      </c>
      <c r="C223" s="44">
        <f t="shared" si="6"/>
        <v>2.066037516883296E-2</v>
      </c>
      <c r="D223" s="31">
        <f>'3month_treasury (2)'!D217</f>
        <v>1.9646447107254826E-3</v>
      </c>
      <c r="E223" s="45">
        <f t="shared" si="7"/>
        <v>1.8695730458107476E-2</v>
      </c>
    </row>
    <row r="224" spans="1:5" ht="14.25" hidden="1" x14ac:dyDescent="0.2">
      <c r="A224" s="39">
        <v>38412</v>
      </c>
      <c r="B224" s="40">
        <v>94.65</v>
      </c>
      <c r="C224" s="44">
        <f t="shared" si="6"/>
        <v>-1.7697723546742889E-2</v>
      </c>
      <c r="D224" s="31">
        <f>'3month_treasury (2)'!D218</f>
        <v>2.1440123810609495E-3</v>
      </c>
      <c r="E224" s="45">
        <f t="shared" si="7"/>
        <v>-1.984173592780384E-2</v>
      </c>
    </row>
    <row r="225" spans="1:5" ht="14.25" hidden="1" x14ac:dyDescent="0.2">
      <c r="A225" s="39">
        <v>38443</v>
      </c>
      <c r="B225" s="40">
        <v>92.84</v>
      </c>
      <c r="C225" s="44">
        <f t="shared" si="6"/>
        <v>-1.930829624909557E-2</v>
      </c>
      <c r="D225" s="31">
        <f>'3month_treasury (2)'!D219</f>
        <v>2.3151984177042905E-3</v>
      </c>
      <c r="E225" s="45">
        <f t="shared" si="7"/>
        <v>-2.1623494666799858E-2</v>
      </c>
    </row>
    <row r="226" spans="1:5" ht="14.25" hidden="1" x14ac:dyDescent="0.2">
      <c r="A226" s="39">
        <v>38474</v>
      </c>
      <c r="B226" s="40">
        <v>95.78</v>
      </c>
      <c r="C226" s="44">
        <f t="shared" si="6"/>
        <v>3.1176313508226937E-2</v>
      </c>
      <c r="D226" s="31">
        <f>'3month_treasury (2)'!D220</f>
        <v>2.349477864231828E-3</v>
      </c>
      <c r="E226" s="45">
        <f t="shared" si="7"/>
        <v>2.8826835643995109E-2</v>
      </c>
    </row>
    <row r="227" spans="1:5" ht="14.25" hidden="1" x14ac:dyDescent="0.2">
      <c r="A227" s="39">
        <v>38504</v>
      </c>
      <c r="B227" s="40">
        <v>95.9</v>
      </c>
      <c r="C227" s="44">
        <f t="shared" si="6"/>
        <v>1.2520869749293156E-3</v>
      </c>
      <c r="D227" s="31">
        <f>'3month_treasury (2)'!D221</f>
        <v>2.4009234878433045E-3</v>
      </c>
      <c r="E227" s="45">
        <f t="shared" si="7"/>
        <v>-1.1488365129139889E-3</v>
      </c>
    </row>
    <row r="228" spans="1:5" ht="14.25" hidden="1" x14ac:dyDescent="0.2">
      <c r="A228" s="39">
        <v>38534</v>
      </c>
      <c r="B228" s="40">
        <v>99.45</v>
      </c>
      <c r="C228" s="44">
        <f t="shared" si="6"/>
        <v>3.6349023410588571E-2</v>
      </c>
      <c r="D228" s="31">
        <f>'3month_treasury (2)'!D222</f>
        <v>2.5124980792402764E-3</v>
      </c>
      <c r="E228" s="45">
        <f t="shared" si="7"/>
        <v>3.3836525331348295E-2</v>
      </c>
    </row>
    <row r="229" spans="1:5" ht="14.25" hidden="1" x14ac:dyDescent="0.2">
      <c r="A229" s="39">
        <v>38565</v>
      </c>
      <c r="B229" s="40">
        <v>98.54</v>
      </c>
      <c r="C229" s="44">
        <f t="shared" si="6"/>
        <v>-9.1924481841641481E-3</v>
      </c>
      <c r="D229" s="31">
        <f>'3month_treasury (2)'!D223</f>
        <v>2.7274853852432388E-3</v>
      </c>
      <c r="E229" s="45">
        <f t="shared" si="7"/>
        <v>-1.1919933569407386E-2</v>
      </c>
    </row>
    <row r="230" spans="1:5" ht="14.25" hidden="1" x14ac:dyDescent="0.2">
      <c r="A230" s="39">
        <v>38596</v>
      </c>
      <c r="B230" s="40">
        <v>99.32</v>
      </c>
      <c r="C230" s="44">
        <f t="shared" si="6"/>
        <v>7.884403524148615E-3</v>
      </c>
      <c r="D230" s="31">
        <f>'3month_treasury (2)'!D224</f>
        <v>2.9171340999012761E-3</v>
      </c>
      <c r="E230" s="45">
        <f t="shared" si="7"/>
        <v>4.9672694242473385E-3</v>
      </c>
    </row>
    <row r="231" spans="1:5" ht="14.25" hidden="1" x14ac:dyDescent="0.2">
      <c r="A231" s="39">
        <v>38628</v>
      </c>
      <c r="B231" s="40">
        <v>97.66</v>
      </c>
      <c r="C231" s="44">
        <f t="shared" si="6"/>
        <v>-1.6854902006451629E-2</v>
      </c>
      <c r="D231" s="31">
        <f>'3month_treasury (2)'!D225</f>
        <v>2.8998754618912957E-3</v>
      </c>
      <c r="E231" s="45">
        <f t="shared" si="7"/>
        <v>-1.9754777468342925E-2</v>
      </c>
    </row>
    <row r="232" spans="1:5" ht="14.25" hidden="1" x14ac:dyDescent="0.2">
      <c r="A232" s="39">
        <v>38657</v>
      </c>
      <c r="B232" s="40">
        <v>101.33</v>
      </c>
      <c r="C232" s="44">
        <f t="shared" si="6"/>
        <v>3.689045882671195E-2</v>
      </c>
      <c r="D232" s="31">
        <f>'3month_treasury (2)'!D226</f>
        <v>3.1504762279915555E-3</v>
      </c>
      <c r="E232" s="45">
        <f t="shared" si="7"/>
        <v>3.3739982598720394E-2</v>
      </c>
    </row>
    <row r="233" spans="1:5" ht="14.25" hidden="1" x14ac:dyDescent="0.2">
      <c r="A233" s="39">
        <v>38687</v>
      </c>
      <c r="B233" s="40">
        <v>101.36</v>
      </c>
      <c r="C233" s="44">
        <f t="shared" si="6"/>
        <v>2.9601855265735759E-4</v>
      </c>
      <c r="D233" s="31">
        <f>'3month_treasury (2)'!D227</f>
        <v>3.2977312599852689E-3</v>
      </c>
      <c r="E233" s="45">
        <f t="shared" si="7"/>
        <v>-3.0017127073279112E-3</v>
      </c>
    </row>
    <row r="234" spans="1:5" ht="14.25" hidden="1" x14ac:dyDescent="0.2">
      <c r="A234" s="39">
        <v>38720</v>
      </c>
      <c r="B234" s="40">
        <v>104.04</v>
      </c>
      <c r="C234" s="44">
        <f t="shared" si="6"/>
        <v>2.6096904567567341E-2</v>
      </c>
      <c r="D234" s="31">
        <f>'3month_treasury (2)'!D228</f>
        <v>3.3064014294081905E-3</v>
      </c>
      <c r="E234" s="45">
        <f t="shared" si="7"/>
        <v>2.2790503138159151E-2</v>
      </c>
    </row>
    <row r="235" spans="1:5" ht="14.25" hidden="1" x14ac:dyDescent="0.2">
      <c r="A235" s="39">
        <v>38749</v>
      </c>
      <c r="B235" s="40">
        <v>104.3</v>
      </c>
      <c r="C235" s="44">
        <f t="shared" si="6"/>
        <v>2.4959214262759198E-3</v>
      </c>
      <c r="D235" s="31">
        <f>'3month_treasury (2)'!D229</f>
        <v>3.6104270615311424E-3</v>
      </c>
      <c r="E235" s="45">
        <f t="shared" si="7"/>
        <v>-1.1145056352552226E-3</v>
      </c>
    </row>
    <row r="236" spans="1:5" ht="14.25" hidden="1" x14ac:dyDescent="0.2">
      <c r="A236" s="39">
        <v>38777</v>
      </c>
      <c r="B236" s="40">
        <v>105.6</v>
      </c>
      <c r="C236" s="44">
        <f t="shared" si="6"/>
        <v>1.2387009265434302E-2</v>
      </c>
      <c r="D236" s="31">
        <f>'3month_treasury (2)'!D230</f>
        <v>3.7759352258336007E-3</v>
      </c>
      <c r="E236" s="45">
        <f t="shared" si="7"/>
        <v>8.611074039600701E-3</v>
      </c>
    </row>
    <row r="237" spans="1:5" ht="14.25" hidden="1" x14ac:dyDescent="0.2">
      <c r="A237" s="39">
        <v>38810</v>
      </c>
      <c r="B237" s="40">
        <v>107</v>
      </c>
      <c r="C237" s="44">
        <f t="shared" si="6"/>
        <v>1.3170463189745227E-2</v>
      </c>
      <c r="D237" s="31">
        <f>'3month_treasury (2)'!D231</f>
        <v>3.8457213354983477E-3</v>
      </c>
      <c r="E237" s="45">
        <f t="shared" si="7"/>
        <v>9.3247418542468791E-3</v>
      </c>
    </row>
    <row r="238" spans="1:5" ht="14.25" hidden="1" x14ac:dyDescent="0.2">
      <c r="A238" s="39">
        <v>38838</v>
      </c>
      <c r="B238" s="40">
        <v>103.9</v>
      </c>
      <c r="C238" s="44">
        <f t="shared" si="6"/>
        <v>-2.9399936356724363E-2</v>
      </c>
      <c r="D238" s="31">
        <f>'3month_treasury (2)'!D232</f>
        <v>3.9243006278208642E-3</v>
      </c>
      <c r="E238" s="45">
        <f t="shared" si="7"/>
        <v>-3.332423698454523E-2</v>
      </c>
    </row>
    <row r="239" spans="1:5" ht="14.25" hidden="1" x14ac:dyDescent="0.2">
      <c r="A239" s="39">
        <v>38869</v>
      </c>
      <c r="B239" s="40">
        <v>104.04</v>
      </c>
      <c r="C239" s="44">
        <f t="shared" si="6"/>
        <v>1.346542475269147E-3</v>
      </c>
      <c r="D239" s="31">
        <f>'3month_treasury (2)'!D233</f>
        <v>4.029188411753897E-3</v>
      </c>
      <c r="E239" s="45">
        <f t="shared" si="7"/>
        <v>-2.68264593648475E-3</v>
      </c>
    </row>
    <row r="240" spans="1:5" ht="14.25" hidden="1" x14ac:dyDescent="0.2">
      <c r="A240" s="39">
        <v>38901</v>
      </c>
      <c r="B240" s="40">
        <v>104.67</v>
      </c>
      <c r="C240" s="44">
        <f t="shared" si="6"/>
        <v>6.0371032863415722E-3</v>
      </c>
      <c r="D240" s="31">
        <f>'3month_treasury (2)'!D234</f>
        <v>4.0904339742076114E-3</v>
      </c>
      <c r="E240" s="45">
        <f t="shared" si="7"/>
        <v>1.9466693121339609E-3</v>
      </c>
    </row>
    <row r="241" spans="1:5" ht="14.25" hidden="1" x14ac:dyDescent="0.2">
      <c r="A241" s="39">
        <v>38930</v>
      </c>
      <c r="B241" s="40">
        <v>107.14</v>
      </c>
      <c r="C241" s="44">
        <f t="shared" si="6"/>
        <v>2.3323846586021924E-2</v>
      </c>
      <c r="D241" s="31">
        <f>'3month_treasury (2)'!D235</f>
        <v>4.2305930878044351E-3</v>
      </c>
      <c r="E241" s="45">
        <f t="shared" si="7"/>
        <v>1.9093253498217489E-2</v>
      </c>
    </row>
    <row r="242" spans="1:5" ht="14.25" hidden="1" x14ac:dyDescent="0.2">
      <c r="A242" s="39">
        <v>38961</v>
      </c>
      <c r="B242" s="40">
        <v>109.89</v>
      </c>
      <c r="C242" s="44">
        <f t="shared" ref="C242:C305" si="8">LN(B242/B241)</f>
        <v>2.5343475006018436E-2</v>
      </c>
      <c r="D242" s="31">
        <f>'3month_treasury (2)'!D236</f>
        <v>4.2393608644797085E-3</v>
      </c>
      <c r="E242" s="45">
        <f t="shared" ref="E242:E305" si="9">C242-D242</f>
        <v>2.1104114141538729E-2</v>
      </c>
    </row>
    <row r="243" spans="1:5" ht="14.25" hidden="1" x14ac:dyDescent="0.2">
      <c r="A243" s="39">
        <v>38992</v>
      </c>
      <c r="B243" s="40">
        <v>113.46</v>
      </c>
      <c r="C243" s="44">
        <f t="shared" si="8"/>
        <v>3.1970486439588282E-2</v>
      </c>
      <c r="D243" s="31">
        <f>'3month_treasury (2)'!D237</f>
        <v>4.1079409770731282E-3</v>
      </c>
      <c r="E243" s="45">
        <f t="shared" si="9"/>
        <v>2.7862545462515154E-2</v>
      </c>
    </row>
    <row r="244" spans="1:5" ht="14.25" hidden="1" x14ac:dyDescent="0.2">
      <c r="A244" s="39">
        <v>39022</v>
      </c>
      <c r="B244" s="40">
        <v>115.59</v>
      </c>
      <c r="C244" s="44">
        <f t="shared" si="8"/>
        <v>1.8599095407754871E-2</v>
      </c>
      <c r="D244" s="31">
        <f>'3month_treasury (2)'!D238</f>
        <v>4.2042952913415163E-3</v>
      </c>
      <c r="E244" s="45">
        <f t="shared" si="9"/>
        <v>1.4394800116413354E-2</v>
      </c>
    </row>
    <row r="245" spans="1:5" ht="14.25" hidden="1" x14ac:dyDescent="0.2">
      <c r="A245" s="39">
        <v>39052</v>
      </c>
      <c r="B245" s="40">
        <v>117.21</v>
      </c>
      <c r="C245" s="44">
        <f t="shared" si="8"/>
        <v>1.3917750428912927E-2</v>
      </c>
      <c r="D245" s="31">
        <f>'3month_treasury (2)'!D239</f>
        <v>4.2218262335190051E-3</v>
      </c>
      <c r="E245" s="45">
        <f t="shared" si="9"/>
        <v>9.6959241953939214E-3</v>
      </c>
    </row>
    <row r="246" spans="1:5" ht="14.25" hidden="1" x14ac:dyDescent="0.2">
      <c r="A246" s="39">
        <v>39085</v>
      </c>
      <c r="B246" s="40">
        <v>118.96</v>
      </c>
      <c r="C246" s="44">
        <f t="shared" si="8"/>
        <v>1.4820104416810661E-2</v>
      </c>
      <c r="D246" s="31">
        <f>'3month_treasury (2)'!D240</f>
        <v>4.1429660204943949E-3</v>
      </c>
      <c r="E246" s="45">
        <f t="shared" si="9"/>
        <v>1.0677138396316267E-2</v>
      </c>
    </row>
    <row r="247" spans="1:5" ht="14.25" hidden="1" x14ac:dyDescent="0.2">
      <c r="A247" s="39">
        <v>39114</v>
      </c>
      <c r="B247" s="40">
        <v>116.62</v>
      </c>
      <c r="C247" s="44">
        <f t="shared" si="8"/>
        <v>-1.9866516357889656E-2</v>
      </c>
      <c r="D247" s="31">
        <f>'3month_treasury (2)'!D241</f>
        <v>4.2568991857763533E-3</v>
      </c>
      <c r="E247" s="45">
        <f t="shared" si="9"/>
        <v>-2.412341554366601E-2</v>
      </c>
    </row>
    <row r="248" spans="1:5" ht="14.25" hidden="1" x14ac:dyDescent="0.2">
      <c r="A248" s="39">
        <v>39142</v>
      </c>
      <c r="B248" s="40">
        <v>117.92</v>
      </c>
      <c r="C248" s="44">
        <f t="shared" si="8"/>
        <v>1.1085642647016444E-2</v>
      </c>
      <c r="D248" s="31">
        <f>'3month_treasury (2)'!D242</f>
        <v>4.3007611444358515E-3</v>
      </c>
      <c r="E248" s="45">
        <f t="shared" si="9"/>
        <v>6.7848815025805921E-3</v>
      </c>
    </row>
    <row r="249" spans="1:5" ht="14.25" hidden="1" x14ac:dyDescent="0.2">
      <c r="A249" s="39">
        <v>39174</v>
      </c>
      <c r="B249" s="40">
        <v>123.13</v>
      </c>
      <c r="C249" s="44">
        <f t="shared" si="8"/>
        <v>4.3234279363753556E-2</v>
      </c>
      <c r="D249" s="31">
        <f>'3month_treasury (2)'!D243</f>
        <v>4.2218262335190051E-3</v>
      </c>
      <c r="E249" s="45">
        <f t="shared" si="9"/>
        <v>3.9012453130234548E-2</v>
      </c>
    </row>
    <row r="250" spans="1:5" ht="14.25" hidden="1" x14ac:dyDescent="0.2">
      <c r="A250" s="39">
        <v>39203</v>
      </c>
      <c r="B250" s="40">
        <v>127.41</v>
      </c>
      <c r="C250" s="44">
        <f t="shared" si="8"/>
        <v>3.4169525188509436E-2</v>
      </c>
      <c r="D250" s="31">
        <f>'3month_treasury (2)'!D244</f>
        <v>4.1604840641438203E-3</v>
      </c>
      <c r="E250" s="45">
        <f t="shared" si="9"/>
        <v>3.0009041124365615E-2</v>
      </c>
    </row>
    <row r="251" spans="1:5" ht="14.25" hidden="1" x14ac:dyDescent="0.2">
      <c r="A251" s="39">
        <v>39234</v>
      </c>
      <c r="B251" s="40">
        <v>125.27</v>
      </c>
      <c r="C251" s="44">
        <f t="shared" si="8"/>
        <v>-1.693882513718889E-2</v>
      </c>
      <c r="D251" s="31">
        <f>'3month_treasury (2)'!D245</f>
        <v>4.0379350224502781E-3</v>
      </c>
      <c r="E251" s="45">
        <f t="shared" si="9"/>
        <v>-2.0976760159639167E-2</v>
      </c>
    </row>
    <row r="252" spans="1:5" ht="14.25" hidden="1" x14ac:dyDescent="0.2">
      <c r="A252" s="39">
        <v>39265</v>
      </c>
      <c r="B252" s="40">
        <v>121.4</v>
      </c>
      <c r="C252" s="44">
        <f t="shared" si="8"/>
        <v>-3.13805292307026E-2</v>
      </c>
      <c r="D252" s="31">
        <f>'3month_treasury (2)'!D246</f>
        <v>3.9330362359145483E-3</v>
      </c>
      <c r="E252" s="45">
        <f t="shared" si="9"/>
        <v>-3.5313565466617146E-2</v>
      </c>
    </row>
    <row r="253" spans="1:5" ht="14.25" hidden="1" x14ac:dyDescent="0.2">
      <c r="A253" s="39">
        <v>39295</v>
      </c>
      <c r="B253" s="40">
        <v>123.22</v>
      </c>
      <c r="C253" s="44">
        <f t="shared" si="8"/>
        <v>1.4880496961026786E-2</v>
      </c>
      <c r="D253" s="31">
        <f>'3month_treasury (2)'!D247</f>
        <v>4.1166958579272423E-3</v>
      </c>
      <c r="E253" s="45">
        <f t="shared" si="9"/>
        <v>1.0763801103099543E-2</v>
      </c>
    </row>
    <row r="254" spans="1:5" ht="14.25" hidden="1" x14ac:dyDescent="0.2">
      <c r="A254" s="39">
        <v>39329</v>
      </c>
      <c r="B254" s="40">
        <v>127.81</v>
      </c>
      <c r="C254" s="44">
        <f t="shared" si="8"/>
        <v>3.6573410557198316E-2</v>
      </c>
      <c r="D254" s="31">
        <f>'3month_treasury (2)'!D248</f>
        <v>3.5756250842730497E-3</v>
      </c>
      <c r="E254" s="45">
        <f t="shared" si="9"/>
        <v>3.2997785472925263E-2</v>
      </c>
    </row>
    <row r="255" spans="1:5" ht="14.25" hidden="1" x14ac:dyDescent="0.2">
      <c r="A255" s="39">
        <v>39356</v>
      </c>
      <c r="B255" s="40">
        <v>129.83000000000001</v>
      </c>
      <c r="C255" s="44">
        <f t="shared" si="8"/>
        <v>1.5681116228539221E-2</v>
      </c>
      <c r="D255" s="31">
        <f>'3month_treasury (2)'!D249</f>
        <v>3.3064014294081905E-3</v>
      </c>
      <c r="E255" s="45">
        <f t="shared" si="9"/>
        <v>1.2374714799131031E-2</v>
      </c>
    </row>
    <row r="256" spans="1:5" ht="14.25" hidden="1" x14ac:dyDescent="0.2">
      <c r="A256" s="39">
        <v>39387</v>
      </c>
      <c r="B256" s="40">
        <v>124.39</v>
      </c>
      <c r="C256" s="44">
        <f t="shared" si="8"/>
        <v>-4.280411115028885E-2</v>
      </c>
      <c r="D256" s="31">
        <f>'3month_treasury (2)'!D250</f>
        <v>3.3150725009870557E-3</v>
      </c>
      <c r="E256" s="45">
        <f t="shared" si="9"/>
        <v>-4.6119183651275902E-2</v>
      </c>
    </row>
    <row r="257" spans="1:5" ht="14.25" hidden="1" x14ac:dyDescent="0.2">
      <c r="A257" s="39">
        <v>39419</v>
      </c>
      <c r="B257" s="40">
        <v>123.53</v>
      </c>
      <c r="C257" s="44">
        <f t="shared" si="8"/>
        <v>-6.9377496731508927E-3</v>
      </c>
      <c r="D257" s="31">
        <f>'3month_treasury (2)'!D251</f>
        <v>2.7705494828029714E-3</v>
      </c>
      <c r="E257" s="45">
        <f t="shared" si="9"/>
        <v>-9.7082991559538645E-3</v>
      </c>
    </row>
    <row r="258" spans="1:5" ht="14.25" hidden="1" x14ac:dyDescent="0.2">
      <c r="A258" s="39">
        <v>39449</v>
      </c>
      <c r="B258" s="40">
        <v>116.1</v>
      </c>
      <c r="C258" s="44">
        <f t="shared" si="8"/>
        <v>-6.2032152844876599E-2</v>
      </c>
      <c r="D258" s="31">
        <f>'3month_treasury (2)'!D252</f>
        <v>2.5382672903923697E-3</v>
      </c>
      <c r="E258" s="45">
        <f t="shared" si="9"/>
        <v>-6.4570420135268966E-2</v>
      </c>
    </row>
    <row r="259" spans="1:5" ht="14.25" hidden="1" x14ac:dyDescent="0.2">
      <c r="A259" s="39">
        <v>39479</v>
      </c>
      <c r="B259" s="40">
        <v>112.33</v>
      </c>
      <c r="C259" s="44">
        <f t="shared" si="8"/>
        <v>-3.3010921050367854E-2</v>
      </c>
      <c r="D259" s="31">
        <f>'3month_treasury (2)'!D253</f>
        <v>2.3237669574613035E-3</v>
      </c>
      <c r="E259" s="45">
        <f t="shared" si="9"/>
        <v>-3.5334688007829157E-2</v>
      </c>
    </row>
    <row r="260" spans="1:5" ht="14.25" hidden="1" x14ac:dyDescent="0.2">
      <c r="A260" s="39">
        <v>39510</v>
      </c>
      <c r="B260" s="40">
        <v>111.83</v>
      </c>
      <c r="C260" s="44">
        <f t="shared" si="8"/>
        <v>-4.4611066133809305E-3</v>
      </c>
      <c r="D260" s="31">
        <f>'3month_treasury (2)'!D254</f>
        <v>1.7856622844683737E-3</v>
      </c>
      <c r="E260" s="45">
        <f t="shared" si="9"/>
        <v>-6.2467688978493042E-3</v>
      </c>
    </row>
    <row r="261" spans="1:5" ht="14.25" hidden="1" x14ac:dyDescent="0.2">
      <c r="A261" s="39">
        <v>39539</v>
      </c>
      <c r="B261" s="40">
        <v>117.26</v>
      </c>
      <c r="C261" s="44">
        <f t="shared" si="8"/>
        <v>4.7413830495972045E-2</v>
      </c>
      <c r="D261" s="31">
        <f>'3month_treasury (2)'!D255</f>
        <v>1.0566710964478858E-3</v>
      </c>
      <c r="E261" s="45">
        <f t="shared" si="9"/>
        <v>4.6357159399524159E-2</v>
      </c>
    </row>
    <row r="262" spans="1:5" ht="14.25" hidden="1" x14ac:dyDescent="0.2">
      <c r="A262" s="39">
        <v>39569</v>
      </c>
      <c r="B262" s="40">
        <v>118.77</v>
      </c>
      <c r="C262" s="44">
        <f t="shared" si="8"/>
        <v>1.2795158250079786E-2</v>
      </c>
      <c r="D262" s="31">
        <f>'3month_treasury (2)'!D256</f>
        <v>1.0819939631912443E-3</v>
      </c>
      <c r="E262" s="45">
        <f t="shared" si="9"/>
        <v>1.1713164286888542E-2</v>
      </c>
    </row>
    <row r="263" spans="1:5" ht="14.25" hidden="1" x14ac:dyDescent="0.2">
      <c r="A263" s="39">
        <v>39601</v>
      </c>
      <c r="B263" s="40">
        <v>108.73</v>
      </c>
      <c r="C263" s="44">
        <f t="shared" si="8"/>
        <v>-8.8321104776490772E-2</v>
      </c>
      <c r="D263" s="31">
        <f>'3month_treasury (2)'!D257</f>
        <v>1.4542828011463217E-3</v>
      </c>
      <c r="E263" s="45">
        <f t="shared" si="9"/>
        <v>-8.9775387577637089E-2</v>
      </c>
    </row>
    <row r="264" spans="1:5" ht="14.25" hidden="1" x14ac:dyDescent="0.2">
      <c r="A264" s="39">
        <v>39630</v>
      </c>
      <c r="B264" s="40">
        <v>107.83</v>
      </c>
      <c r="C264" s="44">
        <f t="shared" si="8"/>
        <v>-8.3118321156771899E-3</v>
      </c>
      <c r="D264" s="31">
        <f>'3month_treasury (2)'!D258</f>
        <v>1.5645962771944988E-3</v>
      </c>
      <c r="E264" s="45">
        <f t="shared" si="9"/>
        <v>-9.8764283928716896E-3</v>
      </c>
    </row>
    <row r="265" spans="1:5" ht="14.25" hidden="1" x14ac:dyDescent="0.2">
      <c r="A265" s="39">
        <v>39661</v>
      </c>
      <c r="B265" s="40">
        <v>109.39</v>
      </c>
      <c r="C265" s="44">
        <f t="shared" si="8"/>
        <v>1.4363565237718402E-2</v>
      </c>
      <c r="D265" s="31">
        <f>'3month_treasury (2)'!D259</f>
        <v>1.3695255386187346E-3</v>
      </c>
      <c r="E265" s="45">
        <f t="shared" si="9"/>
        <v>1.2994039699099668E-2</v>
      </c>
    </row>
    <row r="266" spans="1:5" ht="14.25" hidden="1" x14ac:dyDescent="0.2">
      <c r="A266" s="39">
        <v>39693</v>
      </c>
      <c r="B266" s="40">
        <v>99.66</v>
      </c>
      <c r="C266" s="44">
        <f t="shared" si="8"/>
        <v>-9.3155085278441019E-2</v>
      </c>
      <c r="D266" s="31">
        <f>'3month_treasury (2)'!D260</f>
        <v>1.4458031945927513E-3</v>
      </c>
      <c r="E266" s="45">
        <f t="shared" si="9"/>
        <v>-9.4600888473033773E-2</v>
      </c>
    </row>
    <row r="267" spans="1:5" ht="14.25" hidden="1" x14ac:dyDescent="0.2">
      <c r="A267" s="39">
        <v>39722</v>
      </c>
      <c r="B267" s="40">
        <v>82.92</v>
      </c>
      <c r="C267" s="44">
        <f t="shared" si="8"/>
        <v>-0.18388810528567956</v>
      </c>
      <c r="D267" s="31">
        <f>'3month_treasury (2)'!D261</f>
        <v>9.4702750658748217E-4</v>
      </c>
      <c r="E267" s="45">
        <f t="shared" si="9"/>
        <v>-0.18483513279226704</v>
      </c>
    </row>
    <row r="268" spans="1:5" ht="14.25" hidden="1" x14ac:dyDescent="0.2">
      <c r="A268" s="39">
        <v>39755</v>
      </c>
      <c r="B268" s="40">
        <v>76.97</v>
      </c>
      <c r="C268" s="44">
        <f t="shared" si="8"/>
        <v>-7.4460552021352808E-2</v>
      </c>
      <c r="D268" s="31">
        <f>'3month_treasury (2)'!D262</f>
        <v>5.6021214673556102E-4</v>
      </c>
      <c r="E268" s="45">
        <f t="shared" si="9"/>
        <v>-7.5020764168088366E-2</v>
      </c>
    </row>
    <row r="269" spans="1:5" ht="14.25" hidden="1" x14ac:dyDescent="0.2">
      <c r="A269" s="39">
        <v>39783</v>
      </c>
      <c r="B269" s="40">
        <v>77.8</v>
      </c>
      <c r="C269" s="44">
        <f t="shared" si="8"/>
        <v>1.0725695638119875E-2</v>
      </c>
      <c r="D269" s="31">
        <f>'3month_treasury (2)'!D263</f>
        <v>1.5848394079969908E-4</v>
      </c>
      <c r="E269" s="45">
        <f t="shared" si="9"/>
        <v>1.0567211697320176E-2</v>
      </c>
    </row>
    <row r="270" spans="1:5" ht="14.25" hidden="1" x14ac:dyDescent="0.2">
      <c r="A270" s="39">
        <v>39815</v>
      </c>
      <c r="B270" s="40">
        <v>71.25</v>
      </c>
      <c r="C270" s="44">
        <f t="shared" si="8"/>
        <v>-8.7946612035585986E-2</v>
      </c>
      <c r="D270" s="31">
        <f>'3month_treasury (2)'!D264</f>
        <v>2.5003750750163386E-5</v>
      </c>
      <c r="E270" s="45">
        <f t="shared" si="9"/>
        <v>-8.7971615786336152E-2</v>
      </c>
    </row>
    <row r="271" spans="1:5" ht="14.25" hidden="1" x14ac:dyDescent="0.2">
      <c r="A271" s="39">
        <v>39846</v>
      </c>
      <c r="B271" s="40">
        <v>63.66</v>
      </c>
      <c r="C271" s="44">
        <f t="shared" si="8"/>
        <v>-0.11263839729481315</v>
      </c>
      <c r="D271" s="31">
        <f>'3month_treasury (2)'!D265</f>
        <v>1.0840381108734631E-4</v>
      </c>
      <c r="E271" s="45">
        <f t="shared" si="9"/>
        <v>-0.11274680110590049</v>
      </c>
    </row>
    <row r="272" spans="1:5" ht="14.25" hidden="1" x14ac:dyDescent="0.2">
      <c r="A272" s="39">
        <v>39874</v>
      </c>
      <c r="B272" s="40">
        <v>69.25</v>
      </c>
      <c r="C272" s="44">
        <f t="shared" si="8"/>
        <v>8.4166723213501091E-2</v>
      </c>
      <c r="D272" s="31">
        <f>'3month_treasury (2)'!D266</f>
        <v>2.5037575169156018E-4</v>
      </c>
      <c r="E272" s="45">
        <f t="shared" si="9"/>
        <v>8.3916347461809537E-2</v>
      </c>
    </row>
    <row r="273" spans="1:5" ht="14.25" hidden="1" x14ac:dyDescent="0.2">
      <c r="A273" s="39">
        <v>39904</v>
      </c>
      <c r="B273" s="40">
        <v>75.87</v>
      </c>
      <c r="C273" s="44">
        <f t="shared" si="8"/>
        <v>9.1298204282535739E-2</v>
      </c>
      <c r="D273" s="31">
        <f>'3month_treasury (2)'!D267</f>
        <v>1.7518400765583828E-4</v>
      </c>
      <c r="E273" s="45">
        <f t="shared" si="9"/>
        <v>9.1123020274879896E-2</v>
      </c>
    </row>
    <row r="274" spans="1:5" ht="14.25" hidden="1" x14ac:dyDescent="0.2">
      <c r="A274" s="39">
        <v>39934</v>
      </c>
      <c r="B274" s="40">
        <v>80.13</v>
      </c>
      <c r="C274" s="44">
        <f t="shared" si="8"/>
        <v>5.4628966439995687E-2</v>
      </c>
      <c r="D274" s="31">
        <f>'3month_treasury (2)'!D268</f>
        <v>1.3344011391448564E-4</v>
      </c>
      <c r="E274" s="45">
        <f t="shared" si="9"/>
        <v>5.4495526326081199E-2</v>
      </c>
    </row>
    <row r="275" spans="1:5" ht="14.25" hidden="1" x14ac:dyDescent="0.2">
      <c r="A275" s="39">
        <v>39965</v>
      </c>
      <c r="B275" s="40">
        <v>80.31</v>
      </c>
      <c r="C275" s="44">
        <f t="shared" si="8"/>
        <v>2.2438304103918009E-3</v>
      </c>
      <c r="D275" s="31">
        <f>'3month_treasury (2)'!D269</f>
        <v>1.5013516221901838E-4</v>
      </c>
      <c r="E275" s="45">
        <f t="shared" si="9"/>
        <v>2.0936952481727827E-3</v>
      </c>
    </row>
    <row r="276" spans="1:5" ht="14.25" hidden="1" x14ac:dyDescent="0.2">
      <c r="A276" s="39">
        <v>39995</v>
      </c>
      <c r="B276" s="40">
        <v>86.39</v>
      </c>
      <c r="C276" s="44">
        <f t="shared" si="8"/>
        <v>7.2977782170421945E-2</v>
      </c>
      <c r="D276" s="31">
        <f>'3month_treasury (2)'!D270</f>
        <v>1.5013516221901838E-4</v>
      </c>
      <c r="E276" s="45">
        <f t="shared" si="9"/>
        <v>7.2827647008202934E-2</v>
      </c>
    </row>
    <row r="277" spans="1:5" ht="14.25" hidden="1" x14ac:dyDescent="0.2">
      <c r="A277" s="39">
        <v>40028</v>
      </c>
      <c r="B277" s="40">
        <v>89.5</v>
      </c>
      <c r="C277" s="44">
        <f t="shared" si="8"/>
        <v>3.5366696910016884E-2</v>
      </c>
      <c r="D277" s="31">
        <f>'3month_treasury (2)'!D271</f>
        <v>1.5013516221901838E-4</v>
      </c>
      <c r="E277" s="45">
        <f t="shared" si="9"/>
        <v>3.5216561747797866E-2</v>
      </c>
    </row>
    <row r="278" spans="1:5" ht="14.25" hidden="1" x14ac:dyDescent="0.2">
      <c r="A278" s="39">
        <v>40057</v>
      </c>
      <c r="B278" s="40">
        <v>92.84</v>
      </c>
      <c r="C278" s="44">
        <f t="shared" si="8"/>
        <v>3.6638956125426683E-2</v>
      </c>
      <c r="D278" s="31">
        <f>'3month_treasury (2)'!D272</f>
        <v>1.4178721997980419E-4</v>
      </c>
      <c r="E278" s="45">
        <f t="shared" si="9"/>
        <v>3.6497168905446881E-2</v>
      </c>
    </row>
    <row r="279" spans="1:5" ht="14.25" hidden="1" x14ac:dyDescent="0.2">
      <c r="A279" s="39">
        <v>40087</v>
      </c>
      <c r="B279" s="40">
        <v>91.1</v>
      </c>
      <c r="C279" s="44">
        <f t="shared" si="8"/>
        <v>-1.8919777140323744E-2</v>
      </c>
      <c r="D279" s="31">
        <f>'3month_treasury (2)'!D273</f>
        <v>1.0006004804324061E-4</v>
      </c>
      <c r="E279" s="45">
        <f t="shared" si="9"/>
        <v>-1.9019837188366986E-2</v>
      </c>
    </row>
    <row r="280" spans="1:5" ht="14.25" hidden="1" x14ac:dyDescent="0.2">
      <c r="A280" s="39">
        <v>40119</v>
      </c>
      <c r="B280" s="40">
        <v>96.55</v>
      </c>
      <c r="C280" s="44">
        <f t="shared" si="8"/>
        <v>5.8103204608610785E-2</v>
      </c>
      <c r="D280" s="31">
        <f>'3month_treasury (2)'!D274</f>
        <v>5.8353759532773368E-5</v>
      </c>
      <c r="E280" s="45">
        <f t="shared" si="9"/>
        <v>5.8044850849078011E-2</v>
      </c>
    </row>
    <row r="281" spans="1:5" ht="14.25" hidden="1" x14ac:dyDescent="0.2">
      <c r="A281" s="39">
        <v>40148</v>
      </c>
      <c r="B281" s="40">
        <v>98.43</v>
      </c>
      <c r="C281" s="44">
        <f t="shared" si="8"/>
        <v>1.9284626766596556E-2</v>
      </c>
      <c r="D281" s="31">
        <f>'3month_treasury (2)'!D275</f>
        <v>4.1677086806864452E-5</v>
      </c>
      <c r="E281" s="45">
        <f t="shared" si="9"/>
        <v>1.9242949679789692E-2</v>
      </c>
    </row>
    <row r="282" spans="1:5" ht="14.25" hidden="1" x14ac:dyDescent="0.2">
      <c r="A282" s="39">
        <v>40182</v>
      </c>
      <c r="B282" s="40">
        <v>94.88</v>
      </c>
      <c r="C282" s="44">
        <f t="shared" si="8"/>
        <v>-3.6732700391704752E-2</v>
      </c>
      <c r="D282" s="31">
        <f>'3month_treasury (2)'!D276</f>
        <v>4.1677086806864452E-5</v>
      </c>
      <c r="E282" s="45">
        <f t="shared" si="9"/>
        <v>-3.6774377478511616E-2</v>
      </c>
    </row>
    <row r="283" spans="1:5" ht="14.25" hidden="1" x14ac:dyDescent="0.2">
      <c r="A283" s="39">
        <v>40210</v>
      </c>
      <c r="B283" s="40">
        <v>97.82</v>
      </c>
      <c r="C283" s="44">
        <f t="shared" si="8"/>
        <v>3.0516119861795848E-2</v>
      </c>
      <c r="D283" s="31">
        <f>'3month_treasury (2)'!D277</f>
        <v>5.0015006002707081E-5</v>
      </c>
      <c r="E283" s="45">
        <f t="shared" si="9"/>
        <v>3.0466104855793142E-2</v>
      </c>
    </row>
    <row r="284" spans="1:5" ht="14.25" hidden="1" x14ac:dyDescent="0.2">
      <c r="A284" s="39">
        <v>40238</v>
      </c>
      <c r="B284" s="40">
        <v>103.7</v>
      </c>
      <c r="C284" s="44">
        <f t="shared" si="8"/>
        <v>5.8373060124270605E-2</v>
      </c>
      <c r="D284" s="31">
        <f>'3month_treasury (2)'!D278</f>
        <v>9.1717120336089132E-5</v>
      </c>
      <c r="E284" s="45">
        <f t="shared" si="9"/>
        <v>5.8281343003934519E-2</v>
      </c>
    </row>
    <row r="285" spans="1:5" ht="14.25" hidden="1" x14ac:dyDescent="0.2">
      <c r="A285" s="39">
        <v>40269</v>
      </c>
      <c r="B285" s="40">
        <v>105.34</v>
      </c>
      <c r="C285" s="44">
        <f t="shared" si="8"/>
        <v>1.5691098819761672E-2</v>
      </c>
      <c r="D285" s="31">
        <f>'3month_treasury (2)'!D279</f>
        <v>1.2509384385559928E-4</v>
      </c>
      <c r="E285" s="45">
        <f t="shared" si="9"/>
        <v>1.5566004975906073E-2</v>
      </c>
    </row>
    <row r="286" spans="1:5" ht="14.25" hidden="1" x14ac:dyDescent="0.2">
      <c r="A286" s="39">
        <v>40301</v>
      </c>
      <c r="B286" s="40">
        <v>96.91</v>
      </c>
      <c r="C286" s="44">
        <f t="shared" si="8"/>
        <v>-8.3410501308784649E-2</v>
      </c>
      <c r="D286" s="31">
        <f>'3month_treasury (2)'!D280</f>
        <v>1.3344011391448564E-4</v>
      </c>
      <c r="E286" s="45">
        <f t="shared" si="9"/>
        <v>-8.3543941422699136E-2</v>
      </c>
    </row>
    <row r="287" spans="1:5" ht="14.25" hidden="1" x14ac:dyDescent="0.2">
      <c r="A287" s="39">
        <v>40330</v>
      </c>
      <c r="B287" s="40">
        <v>91.83</v>
      </c>
      <c r="C287" s="44">
        <f t="shared" si="8"/>
        <v>-5.3843671121027864E-2</v>
      </c>
      <c r="D287" s="31">
        <f>'3month_treasury (2)'!D281</f>
        <v>1.3344011391448564E-4</v>
      </c>
      <c r="E287" s="45">
        <f t="shared" si="9"/>
        <v>-5.3977111234942352E-2</v>
      </c>
    </row>
    <row r="288" spans="1:5" ht="14.25" hidden="1" x14ac:dyDescent="0.2">
      <c r="A288" s="39">
        <v>40360</v>
      </c>
      <c r="B288" s="40">
        <v>98.25</v>
      </c>
      <c r="C288" s="44">
        <f t="shared" si="8"/>
        <v>6.7576209123939801E-2</v>
      </c>
      <c r="D288" s="31">
        <f>'3month_treasury (2)'!D282</f>
        <v>1.0006004804324061E-4</v>
      </c>
      <c r="E288" s="45">
        <f t="shared" si="9"/>
        <v>6.7476149075896566E-2</v>
      </c>
    </row>
    <row r="289" spans="1:5" ht="14.25" hidden="1" x14ac:dyDescent="0.2">
      <c r="A289" s="39">
        <v>40392</v>
      </c>
      <c r="B289" s="40">
        <v>93.8</v>
      </c>
      <c r="C289" s="44">
        <f t="shared" si="8"/>
        <v>-4.6350394737191644E-2</v>
      </c>
      <c r="D289" s="31">
        <f>'3month_treasury (2)'!D283</f>
        <v>1.3344011391448564E-4</v>
      </c>
      <c r="E289" s="45">
        <f t="shared" si="9"/>
        <v>-4.6483834851106132E-2</v>
      </c>
    </row>
    <row r="290" spans="1:5" ht="14.25" hidden="1" x14ac:dyDescent="0.2">
      <c r="A290" s="39">
        <v>40422</v>
      </c>
      <c r="B290" s="40">
        <v>102.16</v>
      </c>
      <c r="C290" s="44">
        <f t="shared" si="8"/>
        <v>8.5375355712104903E-2</v>
      </c>
      <c r="D290" s="31">
        <f>'3month_treasury (2)'!D284</f>
        <v>1.3344011391448564E-4</v>
      </c>
      <c r="E290" s="45">
        <f t="shared" si="9"/>
        <v>8.5241915598190415E-2</v>
      </c>
    </row>
    <row r="291" spans="1:5" ht="14.25" hidden="1" x14ac:dyDescent="0.2">
      <c r="A291" s="39">
        <v>40452</v>
      </c>
      <c r="B291" s="40">
        <v>106.03</v>
      </c>
      <c r="C291" s="44">
        <f t="shared" si="8"/>
        <v>3.7181861213423074E-2</v>
      </c>
      <c r="D291" s="31">
        <f>'3month_treasury (2)'!D285</f>
        <v>1.2509384385559928E-4</v>
      </c>
      <c r="E291" s="45">
        <f t="shared" si="9"/>
        <v>3.7056767369567478E-2</v>
      </c>
    </row>
    <row r="292" spans="1:5" ht="14.25" hidden="1" x14ac:dyDescent="0.2">
      <c r="A292" s="39">
        <v>40483</v>
      </c>
      <c r="B292" s="40">
        <v>106.03</v>
      </c>
      <c r="C292" s="44">
        <f t="shared" si="8"/>
        <v>0</v>
      </c>
      <c r="D292" s="31">
        <f>'3month_treasury (2)'!D286</f>
        <v>1.0840381108734631E-4</v>
      </c>
      <c r="E292" s="45">
        <f t="shared" si="9"/>
        <v>-1.0840381108734631E-4</v>
      </c>
    </row>
    <row r="293" spans="1:5" ht="14.25" hidden="1" x14ac:dyDescent="0.2">
      <c r="A293" s="39">
        <v>40513</v>
      </c>
      <c r="B293" s="40">
        <v>113.11</v>
      </c>
      <c r="C293" s="44">
        <f t="shared" si="8"/>
        <v>6.4638723605582843E-2</v>
      </c>
      <c r="D293" s="31">
        <f>'3month_treasury (2)'!D287</f>
        <v>1.167484096356786E-4</v>
      </c>
      <c r="E293" s="45">
        <f t="shared" si="9"/>
        <v>6.452197519594717E-2</v>
      </c>
    </row>
    <row r="294" spans="1:5" ht="14.25" hidden="1" x14ac:dyDescent="0.2">
      <c r="A294" s="39">
        <v>40546</v>
      </c>
      <c r="B294" s="40">
        <v>115.77</v>
      </c>
      <c r="C294" s="44">
        <f t="shared" si="8"/>
        <v>2.3244667674347332E-2</v>
      </c>
      <c r="D294" s="31">
        <f>'3month_treasury (2)'!D288</f>
        <v>1.167484096356786E-4</v>
      </c>
      <c r="E294" s="45">
        <f t="shared" si="9"/>
        <v>2.3127919264711652E-2</v>
      </c>
    </row>
    <row r="295" spans="1:5" ht="14.25" x14ac:dyDescent="0.2">
      <c r="A295" s="39">
        <v>40575</v>
      </c>
      <c r="B295" s="40">
        <v>119.73</v>
      </c>
      <c r="C295" s="44">
        <f t="shared" si="8"/>
        <v>3.3633743511115179E-2</v>
      </c>
      <c r="D295" s="31">
        <f>'3month_treasury (2)'!D289</f>
        <v>1.2509384385559928E-4</v>
      </c>
      <c r="E295" s="45">
        <f t="shared" si="9"/>
        <v>3.3508649667259582E-2</v>
      </c>
    </row>
    <row r="296" spans="1:5" ht="14.25" x14ac:dyDescent="0.2">
      <c r="A296" s="39">
        <v>40603</v>
      </c>
      <c r="B296" s="40">
        <v>119.76</v>
      </c>
      <c r="C296" s="44">
        <f t="shared" si="8"/>
        <v>2.5053238262072106E-4</v>
      </c>
      <c r="D296" s="31">
        <f>'3month_treasury (2)'!D290</f>
        <v>1.0840381108734631E-4</v>
      </c>
      <c r="E296" s="45">
        <f t="shared" si="9"/>
        <v>1.4212857153337476E-4</v>
      </c>
    </row>
    <row r="297" spans="1:5" ht="14.25" x14ac:dyDescent="0.2">
      <c r="A297" s="39">
        <v>40634</v>
      </c>
      <c r="B297" s="40">
        <v>123.29</v>
      </c>
      <c r="C297" s="44">
        <f t="shared" si="8"/>
        <v>2.9049563769088405E-2</v>
      </c>
      <c r="D297" s="31">
        <f>'3month_treasury (2)'!D291</f>
        <v>8.3375027798616674E-5</v>
      </c>
      <c r="E297" s="45">
        <f t="shared" si="9"/>
        <v>2.8966188741289787E-2</v>
      </c>
    </row>
    <row r="298" spans="1:5" ht="14.25" x14ac:dyDescent="0.2">
      <c r="A298" s="39">
        <v>40665</v>
      </c>
      <c r="B298" s="40">
        <v>121.88</v>
      </c>
      <c r="C298" s="44">
        <f t="shared" si="8"/>
        <v>-1.1502349762953171E-2</v>
      </c>
      <c r="D298" s="31">
        <f>'3month_treasury (2)'!D292</f>
        <v>5.0015006002707081E-5</v>
      </c>
      <c r="E298" s="45">
        <f t="shared" si="9"/>
        <v>-1.1552364768955879E-2</v>
      </c>
    </row>
    <row r="299" spans="1:5" ht="14.25" x14ac:dyDescent="0.2">
      <c r="A299" s="39">
        <v>40695</v>
      </c>
      <c r="B299" s="40">
        <v>119.84</v>
      </c>
      <c r="C299" s="44">
        <f t="shared" si="8"/>
        <v>-1.6879434348598933E-2</v>
      </c>
      <c r="D299" s="31">
        <f>'3month_treasury (2)'!D293</f>
        <v>3.3340001778324378E-5</v>
      </c>
      <c r="E299" s="45">
        <f t="shared" si="9"/>
        <v>-1.6912774350377257E-2</v>
      </c>
    </row>
    <row r="300" spans="1:5" ht="14.25" x14ac:dyDescent="0.2">
      <c r="A300" s="39">
        <v>40725</v>
      </c>
      <c r="B300" s="40">
        <v>117.39</v>
      </c>
      <c r="C300" s="44">
        <f t="shared" si="8"/>
        <v>-2.0655794878478611E-2</v>
      </c>
      <c r="D300" s="31">
        <f>'3month_treasury (2)'!D294</f>
        <v>3.3340001778324378E-5</v>
      </c>
      <c r="E300" s="45">
        <f t="shared" si="9"/>
        <v>-2.0689134880256935E-2</v>
      </c>
    </row>
    <row r="301" spans="1:5" ht="14.25" x14ac:dyDescent="0.2">
      <c r="A301" s="39">
        <v>40756</v>
      </c>
      <c r="B301" s="40">
        <v>110.99</v>
      </c>
      <c r="C301" s="44">
        <f t="shared" si="8"/>
        <v>-5.6061617726542758E-2</v>
      </c>
      <c r="D301" s="31">
        <f>'3month_treasury (2)'!D295</f>
        <v>3.3340001778324378E-5</v>
      </c>
      <c r="E301" s="45">
        <f t="shared" si="9"/>
        <v>-5.6094957728321085E-2</v>
      </c>
    </row>
    <row r="302" spans="1:5" ht="14.25" x14ac:dyDescent="0.2">
      <c r="A302" s="39">
        <v>40787</v>
      </c>
      <c r="B302" s="40">
        <v>103.16</v>
      </c>
      <c r="C302" s="44">
        <f t="shared" si="8"/>
        <v>-7.3158926150744055E-2</v>
      </c>
      <c r="D302" s="31">
        <f>'3month_treasury (2)'!D296</f>
        <v>1.6668333555585225E-5</v>
      </c>
      <c r="E302" s="45">
        <f t="shared" si="9"/>
        <v>-7.3175594484299639E-2</v>
      </c>
    </row>
    <row r="303" spans="1:5" ht="14.25" x14ac:dyDescent="0.2">
      <c r="A303" s="39">
        <v>40819</v>
      </c>
      <c r="B303" s="40">
        <v>114.42</v>
      </c>
      <c r="C303" s="44">
        <f t="shared" si="8"/>
        <v>0.10359470782723863</v>
      </c>
      <c r="D303" s="31">
        <f>'3month_treasury (2)'!D297</f>
        <v>8.3337500277914556E-6</v>
      </c>
      <c r="E303" s="45">
        <f t="shared" si="9"/>
        <v>0.10358637407721084</v>
      </c>
    </row>
    <row r="304" spans="1:5" ht="14.25" x14ac:dyDescent="0.2">
      <c r="A304" s="39">
        <v>40848</v>
      </c>
      <c r="B304" s="40">
        <v>114.15</v>
      </c>
      <c r="C304" s="44">
        <f t="shared" si="8"/>
        <v>-2.3625158645780965E-3</v>
      </c>
      <c r="D304" s="31">
        <f>'3month_treasury (2)'!D298</f>
        <v>1.6668333555585225E-5</v>
      </c>
      <c r="E304" s="45">
        <f t="shared" si="9"/>
        <v>-2.3791841981336817E-3</v>
      </c>
    </row>
    <row r="305" spans="1:5" ht="14.25" x14ac:dyDescent="0.2">
      <c r="A305" s="39">
        <v>40878</v>
      </c>
      <c r="B305" s="40">
        <v>115.32</v>
      </c>
      <c r="C305" s="44">
        <f t="shared" si="8"/>
        <v>1.0197499794396686E-2</v>
      </c>
      <c r="D305" s="31">
        <f>'3month_treasury (2)'!D299</f>
        <v>8.3337500277914556E-6</v>
      </c>
      <c r="E305" s="45">
        <f t="shared" si="9"/>
        <v>1.0189166044368895E-2</v>
      </c>
    </row>
    <row r="306" spans="1:5" ht="14.25" x14ac:dyDescent="0.2">
      <c r="A306" s="39">
        <v>40911</v>
      </c>
      <c r="B306" s="40">
        <v>120.47</v>
      </c>
      <c r="C306" s="44">
        <f t="shared" ref="C306:C311" si="10">LN(B306/B305)</f>
        <v>4.3689886508559948E-2</v>
      </c>
      <c r="D306" s="31">
        <f>'3month_treasury (2)'!D300</f>
        <v>8.3337500277914556E-6</v>
      </c>
      <c r="E306" s="45">
        <f t="shared" ref="E306:E311" si="11">C306-D306</f>
        <v>4.3681552758532159E-2</v>
      </c>
    </row>
    <row r="307" spans="1:5" ht="14.25" x14ac:dyDescent="0.2">
      <c r="A307" s="39">
        <v>40940</v>
      </c>
      <c r="B307" s="40">
        <v>125.66</v>
      </c>
      <c r="C307" s="44">
        <f t="shared" si="10"/>
        <v>4.2179087696039584E-2</v>
      </c>
      <c r="D307" s="31">
        <f>'3month_treasury (2)'!D301</f>
        <v>2.5003750750163386E-5</v>
      </c>
      <c r="E307" s="45">
        <f t="shared" si="11"/>
        <v>4.2154083945289418E-2</v>
      </c>
    </row>
    <row r="308" spans="1:5" ht="14.25" x14ac:dyDescent="0.2">
      <c r="A308" s="39">
        <v>40969</v>
      </c>
      <c r="B308" s="40">
        <v>129.78</v>
      </c>
      <c r="C308" s="44">
        <f t="shared" si="10"/>
        <v>3.2260862218221477E-2</v>
      </c>
      <c r="D308" s="31">
        <f>'3month_treasury (2)'!D302</f>
        <v>7.5033770263674564E-5</v>
      </c>
      <c r="E308" s="45">
        <f t="shared" si="11"/>
        <v>3.2185828447957802E-2</v>
      </c>
    </row>
    <row r="309" spans="1:5" ht="14.25" x14ac:dyDescent="0.2">
      <c r="A309" s="39">
        <v>41001</v>
      </c>
      <c r="B309" s="40">
        <v>128.94999999999999</v>
      </c>
      <c r="C309" s="44">
        <f t="shared" si="10"/>
        <v>-6.4159768656687124E-3</v>
      </c>
      <c r="D309" s="31">
        <f>'3month_treasury (2)'!D303</f>
        <v>6.6693347564092978E-5</v>
      </c>
      <c r="E309" s="45">
        <f t="shared" si="11"/>
        <v>-6.4826702132328049E-3</v>
      </c>
    </row>
    <row r="310" spans="1:5" ht="14.25" x14ac:dyDescent="0.2">
      <c r="A310" s="39">
        <v>41030</v>
      </c>
      <c r="B310" s="40">
        <v>121.19</v>
      </c>
      <c r="C310" s="44">
        <f t="shared" si="10"/>
        <v>-6.2065170346957653E-2</v>
      </c>
      <c r="D310" s="31">
        <f>'3month_treasury (2)'!D304</f>
        <v>6.6693347564092978E-5</v>
      </c>
      <c r="E310" s="45">
        <f t="shared" si="11"/>
        <v>-6.2131863694521748E-2</v>
      </c>
    </row>
    <row r="311" spans="1:5" ht="14.25" x14ac:dyDescent="0.2">
      <c r="A311" s="39">
        <v>41061</v>
      </c>
      <c r="B311" s="40">
        <v>125.55</v>
      </c>
      <c r="C311" s="44">
        <f t="shared" si="10"/>
        <v>3.5344523623197982E-2</v>
      </c>
      <c r="D311" s="31">
        <f>'3month_treasury (2)'!D305</f>
        <v>7.5033770263674564E-5</v>
      </c>
      <c r="E311" s="45">
        <f t="shared" si="11"/>
        <v>3.5269489852934308E-2</v>
      </c>
    </row>
  </sheetData>
  <mergeCells count="1">
    <mergeCell ref="A1:F1"/>
  </mergeCells>
  <printOptions headings="1" gridLines="1"/>
  <pageMargins left="0.75" right="0.75" top="1" bottom="1" header="0.5" footer="0.5"/>
  <pageSetup orientation="portrait"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AH70"/>
  <sheetViews>
    <sheetView zoomScale="90" zoomScaleNormal="90" workbookViewId="0">
      <selection activeCell="L21" sqref="L21"/>
    </sheetView>
  </sheetViews>
  <sheetFormatPr defaultRowHeight="12.75" x14ac:dyDescent="0.2"/>
  <cols>
    <col min="1" max="1" width="16.75" style="25" customWidth="1"/>
    <col min="2" max="6" width="8.75" style="25"/>
    <col min="7" max="7" width="14.875" style="25" bestFit="1" customWidth="1"/>
    <col min="8" max="8" width="8.75" style="25"/>
    <col min="9" max="9" width="18.25" style="100" bestFit="1" customWidth="1"/>
    <col min="10" max="10" width="11.875" style="100" bestFit="1" customWidth="1"/>
    <col min="11" max="11" width="13.375" style="100" bestFit="1" customWidth="1"/>
    <col min="12" max="13" width="11.875" style="100" bestFit="1" customWidth="1"/>
    <col min="14" max="14" width="13.125" style="100" bestFit="1" customWidth="1"/>
    <col min="15" max="15" width="11.875" style="100" bestFit="1" customWidth="1"/>
    <col min="16" max="16" width="12.5" style="100" bestFit="1" customWidth="1"/>
    <col min="17" max="17" width="12" style="100" bestFit="1" customWidth="1"/>
    <col min="18" max="34" width="8.75" style="100"/>
    <col min="35" max="251" width="8.75" style="25"/>
    <col min="252" max="252" width="16.75" style="25" customWidth="1"/>
    <col min="253" max="257" width="8.75" style="25"/>
    <col min="258" max="258" width="14.125" style="25" bestFit="1" customWidth="1"/>
    <col min="259" max="259" width="3.625" style="25" customWidth="1"/>
    <col min="260" max="260" width="24" style="25" customWidth="1"/>
    <col min="261" max="261" width="11.625" style="25" customWidth="1"/>
    <col min="262" max="262" width="13" style="25" customWidth="1"/>
    <col min="263" max="263" width="28" style="25" bestFit="1" customWidth="1"/>
    <col min="264" max="507" width="8.75" style="25"/>
    <col min="508" max="508" width="16.75" style="25" customWidth="1"/>
    <col min="509" max="513" width="8.75" style="25"/>
    <col min="514" max="514" width="14.125" style="25" bestFit="1" customWidth="1"/>
    <col min="515" max="515" width="3.625" style="25" customWidth="1"/>
    <col min="516" max="516" width="24" style="25" customWidth="1"/>
    <col min="517" max="517" width="11.625" style="25" customWidth="1"/>
    <col min="518" max="518" width="13" style="25" customWidth="1"/>
    <col min="519" max="519" width="28" style="25" bestFit="1" customWidth="1"/>
    <col min="520" max="763" width="8.75" style="25"/>
    <col min="764" max="764" width="16.75" style="25" customWidth="1"/>
    <col min="765" max="769" width="8.75" style="25"/>
    <col min="770" max="770" width="14.125" style="25" bestFit="1" customWidth="1"/>
    <col min="771" max="771" width="3.625" style="25" customWidth="1"/>
    <col min="772" max="772" width="24" style="25" customWidth="1"/>
    <col min="773" max="773" width="11.625" style="25" customWidth="1"/>
    <col min="774" max="774" width="13" style="25" customWidth="1"/>
    <col min="775" max="775" width="28" style="25" bestFit="1" customWidth="1"/>
    <col min="776" max="1019" width="8.75" style="25"/>
    <col min="1020" max="1020" width="16.75" style="25" customWidth="1"/>
    <col min="1021" max="1025" width="8.75" style="25"/>
    <col min="1026" max="1026" width="14.125" style="25" bestFit="1" customWidth="1"/>
    <col min="1027" max="1027" width="3.625" style="25" customWidth="1"/>
    <col min="1028" max="1028" width="24" style="25" customWidth="1"/>
    <col min="1029" max="1029" width="11.625" style="25" customWidth="1"/>
    <col min="1030" max="1030" width="13" style="25" customWidth="1"/>
    <col min="1031" max="1031" width="28" style="25" bestFit="1" customWidth="1"/>
    <col min="1032" max="1275" width="8.75" style="25"/>
    <col min="1276" max="1276" width="16.75" style="25" customWidth="1"/>
    <col min="1277" max="1281" width="8.75" style="25"/>
    <col min="1282" max="1282" width="14.125" style="25" bestFit="1" customWidth="1"/>
    <col min="1283" max="1283" width="3.625" style="25" customWidth="1"/>
    <col min="1284" max="1284" width="24" style="25" customWidth="1"/>
    <col min="1285" max="1285" width="11.625" style="25" customWidth="1"/>
    <col min="1286" max="1286" width="13" style="25" customWidth="1"/>
    <col min="1287" max="1287" width="28" style="25" bestFit="1" customWidth="1"/>
    <col min="1288" max="1531" width="8.75" style="25"/>
    <col min="1532" max="1532" width="16.75" style="25" customWidth="1"/>
    <col min="1533" max="1537" width="8.75" style="25"/>
    <col min="1538" max="1538" width="14.125" style="25" bestFit="1" customWidth="1"/>
    <col min="1539" max="1539" width="3.625" style="25" customWidth="1"/>
    <col min="1540" max="1540" width="24" style="25" customWidth="1"/>
    <col min="1541" max="1541" width="11.625" style="25" customWidth="1"/>
    <col min="1542" max="1542" width="13" style="25" customWidth="1"/>
    <col min="1543" max="1543" width="28" style="25" bestFit="1" customWidth="1"/>
    <col min="1544" max="1787" width="8.75" style="25"/>
    <col min="1788" max="1788" width="16.75" style="25" customWidth="1"/>
    <col min="1789" max="1793" width="8.75" style="25"/>
    <col min="1794" max="1794" width="14.125" style="25" bestFit="1" customWidth="1"/>
    <col min="1795" max="1795" width="3.625" style="25" customWidth="1"/>
    <col min="1796" max="1796" width="24" style="25" customWidth="1"/>
    <col min="1797" max="1797" width="11.625" style="25" customWidth="1"/>
    <col min="1798" max="1798" width="13" style="25" customWidth="1"/>
    <col min="1799" max="1799" width="28" style="25" bestFit="1" customWidth="1"/>
    <col min="1800" max="2043" width="8.75" style="25"/>
    <col min="2044" max="2044" width="16.75" style="25" customWidth="1"/>
    <col min="2045" max="2049" width="8.75" style="25"/>
    <col min="2050" max="2050" width="14.125" style="25" bestFit="1" customWidth="1"/>
    <col min="2051" max="2051" width="3.625" style="25" customWidth="1"/>
    <col min="2052" max="2052" width="24" style="25" customWidth="1"/>
    <col min="2053" max="2053" width="11.625" style="25" customWidth="1"/>
    <col min="2054" max="2054" width="13" style="25" customWidth="1"/>
    <col min="2055" max="2055" width="28" style="25" bestFit="1" customWidth="1"/>
    <col min="2056" max="2299" width="8.75" style="25"/>
    <col min="2300" max="2300" width="16.75" style="25" customWidth="1"/>
    <col min="2301" max="2305" width="8.75" style="25"/>
    <col min="2306" max="2306" width="14.125" style="25" bestFit="1" customWidth="1"/>
    <col min="2307" max="2307" width="3.625" style="25" customWidth="1"/>
    <col min="2308" max="2308" width="24" style="25" customWidth="1"/>
    <col min="2309" max="2309" width="11.625" style="25" customWidth="1"/>
    <col min="2310" max="2310" width="13" style="25" customWidth="1"/>
    <col min="2311" max="2311" width="28" style="25" bestFit="1" customWidth="1"/>
    <col min="2312" max="2555" width="8.75" style="25"/>
    <col min="2556" max="2556" width="16.75" style="25" customWidth="1"/>
    <col min="2557" max="2561" width="8.75" style="25"/>
    <col min="2562" max="2562" width="14.125" style="25" bestFit="1" customWidth="1"/>
    <col min="2563" max="2563" width="3.625" style="25" customWidth="1"/>
    <col min="2564" max="2564" width="24" style="25" customWidth="1"/>
    <col min="2565" max="2565" width="11.625" style="25" customWidth="1"/>
    <col min="2566" max="2566" width="13" style="25" customWidth="1"/>
    <col min="2567" max="2567" width="28" style="25" bestFit="1" customWidth="1"/>
    <col min="2568" max="2811" width="8.75" style="25"/>
    <col min="2812" max="2812" width="16.75" style="25" customWidth="1"/>
    <col min="2813" max="2817" width="8.75" style="25"/>
    <col min="2818" max="2818" width="14.125" style="25" bestFit="1" customWidth="1"/>
    <col min="2819" max="2819" width="3.625" style="25" customWidth="1"/>
    <col min="2820" max="2820" width="24" style="25" customWidth="1"/>
    <col min="2821" max="2821" width="11.625" style="25" customWidth="1"/>
    <col min="2822" max="2822" width="13" style="25" customWidth="1"/>
    <col min="2823" max="2823" width="28" style="25" bestFit="1" customWidth="1"/>
    <col min="2824" max="3067" width="8.75" style="25"/>
    <col min="3068" max="3068" width="16.75" style="25" customWidth="1"/>
    <col min="3069" max="3073" width="8.75" style="25"/>
    <col min="3074" max="3074" width="14.125" style="25" bestFit="1" customWidth="1"/>
    <col min="3075" max="3075" width="3.625" style="25" customWidth="1"/>
    <col min="3076" max="3076" width="24" style="25" customWidth="1"/>
    <col min="3077" max="3077" width="11.625" style="25" customWidth="1"/>
    <col min="3078" max="3078" width="13" style="25" customWidth="1"/>
    <col min="3079" max="3079" width="28" style="25" bestFit="1" customWidth="1"/>
    <col min="3080" max="3323" width="8.75" style="25"/>
    <col min="3324" max="3324" width="16.75" style="25" customWidth="1"/>
    <col min="3325" max="3329" width="8.75" style="25"/>
    <col min="3330" max="3330" width="14.125" style="25" bestFit="1" customWidth="1"/>
    <col min="3331" max="3331" width="3.625" style="25" customWidth="1"/>
    <col min="3332" max="3332" width="24" style="25" customWidth="1"/>
    <col min="3333" max="3333" width="11.625" style="25" customWidth="1"/>
    <col min="3334" max="3334" width="13" style="25" customWidth="1"/>
    <col min="3335" max="3335" width="28" style="25" bestFit="1" customWidth="1"/>
    <col min="3336" max="3579" width="8.75" style="25"/>
    <col min="3580" max="3580" width="16.75" style="25" customWidth="1"/>
    <col min="3581" max="3585" width="8.75" style="25"/>
    <col min="3586" max="3586" width="14.125" style="25" bestFit="1" customWidth="1"/>
    <col min="3587" max="3587" width="3.625" style="25" customWidth="1"/>
    <col min="3588" max="3588" width="24" style="25" customWidth="1"/>
    <col min="3589" max="3589" width="11.625" style="25" customWidth="1"/>
    <col min="3590" max="3590" width="13" style="25" customWidth="1"/>
    <col min="3591" max="3591" width="28" style="25" bestFit="1" customWidth="1"/>
    <col min="3592" max="3835" width="8.75" style="25"/>
    <col min="3836" max="3836" width="16.75" style="25" customWidth="1"/>
    <col min="3837" max="3841" width="8.75" style="25"/>
    <col min="3842" max="3842" width="14.125" style="25" bestFit="1" customWidth="1"/>
    <col min="3843" max="3843" width="3.625" style="25" customWidth="1"/>
    <col min="3844" max="3844" width="24" style="25" customWidth="1"/>
    <col min="3845" max="3845" width="11.625" style="25" customWidth="1"/>
    <col min="3846" max="3846" width="13" style="25" customWidth="1"/>
    <col min="3847" max="3847" width="28" style="25" bestFit="1" customWidth="1"/>
    <col min="3848" max="4091" width="8.75" style="25"/>
    <col min="4092" max="4092" width="16.75" style="25" customWidth="1"/>
    <col min="4093" max="4097" width="8.75" style="25"/>
    <col min="4098" max="4098" width="14.125" style="25" bestFit="1" customWidth="1"/>
    <col min="4099" max="4099" width="3.625" style="25" customWidth="1"/>
    <col min="4100" max="4100" width="24" style="25" customWidth="1"/>
    <col min="4101" max="4101" width="11.625" style="25" customWidth="1"/>
    <col min="4102" max="4102" width="13" style="25" customWidth="1"/>
    <col min="4103" max="4103" width="28" style="25" bestFit="1" customWidth="1"/>
    <col min="4104" max="4347" width="8.75" style="25"/>
    <col min="4348" max="4348" width="16.75" style="25" customWidth="1"/>
    <col min="4349" max="4353" width="8.75" style="25"/>
    <col min="4354" max="4354" width="14.125" style="25" bestFit="1" customWidth="1"/>
    <col min="4355" max="4355" width="3.625" style="25" customWidth="1"/>
    <col min="4356" max="4356" width="24" style="25" customWidth="1"/>
    <col min="4357" max="4357" width="11.625" style="25" customWidth="1"/>
    <col min="4358" max="4358" width="13" style="25" customWidth="1"/>
    <col min="4359" max="4359" width="28" style="25" bestFit="1" customWidth="1"/>
    <col min="4360" max="4603" width="8.75" style="25"/>
    <col min="4604" max="4604" width="16.75" style="25" customWidth="1"/>
    <col min="4605" max="4609" width="8.75" style="25"/>
    <col min="4610" max="4610" width="14.125" style="25" bestFit="1" customWidth="1"/>
    <col min="4611" max="4611" width="3.625" style="25" customWidth="1"/>
    <col min="4612" max="4612" width="24" style="25" customWidth="1"/>
    <col min="4613" max="4613" width="11.625" style="25" customWidth="1"/>
    <col min="4614" max="4614" width="13" style="25" customWidth="1"/>
    <col min="4615" max="4615" width="28" style="25" bestFit="1" customWidth="1"/>
    <col min="4616" max="4859" width="8.75" style="25"/>
    <col min="4860" max="4860" width="16.75" style="25" customWidth="1"/>
    <col min="4861" max="4865" width="8.75" style="25"/>
    <col min="4866" max="4866" width="14.125" style="25" bestFit="1" customWidth="1"/>
    <col min="4867" max="4867" width="3.625" style="25" customWidth="1"/>
    <col min="4868" max="4868" width="24" style="25" customWidth="1"/>
    <col min="4869" max="4869" width="11.625" style="25" customWidth="1"/>
    <col min="4870" max="4870" width="13" style="25" customWidth="1"/>
    <col min="4871" max="4871" width="28" style="25" bestFit="1" customWidth="1"/>
    <col min="4872" max="5115" width="8.75" style="25"/>
    <col min="5116" max="5116" width="16.75" style="25" customWidth="1"/>
    <col min="5117" max="5121" width="8.75" style="25"/>
    <col min="5122" max="5122" width="14.125" style="25" bestFit="1" customWidth="1"/>
    <col min="5123" max="5123" width="3.625" style="25" customWidth="1"/>
    <col min="5124" max="5124" width="24" style="25" customWidth="1"/>
    <col min="5125" max="5125" width="11.625" style="25" customWidth="1"/>
    <col min="5126" max="5126" width="13" style="25" customWidth="1"/>
    <col min="5127" max="5127" width="28" style="25" bestFit="1" customWidth="1"/>
    <col min="5128" max="5371" width="8.75" style="25"/>
    <col min="5372" max="5372" width="16.75" style="25" customWidth="1"/>
    <col min="5373" max="5377" width="8.75" style="25"/>
    <col min="5378" max="5378" width="14.125" style="25" bestFit="1" customWidth="1"/>
    <col min="5379" max="5379" width="3.625" style="25" customWidth="1"/>
    <col min="5380" max="5380" width="24" style="25" customWidth="1"/>
    <col min="5381" max="5381" width="11.625" style="25" customWidth="1"/>
    <col min="5382" max="5382" width="13" style="25" customWidth="1"/>
    <col min="5383" max="5383" width="28" style="25" bestFit="1" customWidth="1"/>
    <col min="5384" max="5627" width="8.75" style="25"/>
    <col min="5628" max="5628" width="16.75" style="25" customWidth="1"/>
    <col min="5629" max="5633" width="8.75" style="25"/>
    <col min="5634" max="5634" width="14.125" style="25" bestFit="1" customWidth="1"/>
    <col min="5635" max="5635" width="3.625" style="25" customWidth="1"/>
    <col min="5636" max="5636" width="24" style="25" customWidth="1"/>
    <col min="5637" max="5637" width="11.625" style="25" customWidth="1"/>
    <col min="5638" max="5638" width="13" style="25" customWidth="1"/>
    <col min="5639" max="5639" width="28" style="25" bestFit="1" customWidth="1"/>
    <col min="5640" max="5883" width="8.75" style="25"/>
    <col min="5884" max="5884" width="16.75" style="25" customWidth="1"/>
    <col min="5885" max="5889" width="8.75" style="25"/>
    <col min="5890" max="5890" width="14.125" style="25" bestFit="1" customWidth="1"/>
    <col min="5891" max="5891" width="3.625" style="25" customWidth="1"/>
    <col min="5892" max="5892" width="24" style="25" customWidth="1"/>
    <col min="5893" max="5893" width="11.625" style="25" customWidth="1"/>
    <col min="5894" max="5894" width="13" style="25" customWidth="1"/>
    <col min="5895" max="5895" width="28" style="25" bestFit="1" customWidth="1"/>
    <col min="5896" max="6139" width="8.75" style="25"/>
    <col min="6140" max="6140" width="16.75" style="25" customWidth="1"/>
    <col min="6141" max="6145" width="8.75" style="25"/>
    <col min="6146" max="6146" width="14.125" style="25" bestFit="1" customWidth="1"/>
    <col min="6147" max="6147" width="3.625" style="25" customWidth="1"/>
    <col min="6148" max="6148" width="24" style="25" customWidth="1"/>
    <col min="6149" max="6149" width="11.625" style="25" customWidth="1"/>
    <col min="6150" max="6150" width="13" style="25" customWidth="1"/>
    <col min="6151" max="6151" width="28" style="25" bestFit="1" customWidth="1"/>
    <col min="6152" max="6395" width="8.75" style="25"/>
    <col min="6396" max="6396" width="16.75" style="25" customWidth="1"/>
    <col min="6397" max="6401" width="8.75" style="25"/>
    <col min="6402" max="6402" width="14.125" style="25" bestFit="1" customWidth="1"/>
    <col min="6403" max="6403" width="3.625" style="25" customWidth="1"/>
    <col min="6404" max="6404" width="24" style="25" customWidth="1"/>
    <col min="6405" max="6405" width="11.625" style="25" customWidth="1"/>
    <col min="6406" max="6406" width="13" style="25" customWidth="1"/>
    <col min="6407" max="6407" width="28" style="25" bestFit="1" customWidth="1"/>
    <col min="6408" max="6651" width="8.75" style="25"/>
    <col min="6652" max="6652" width="16.75" style="25" customWidth="1"/>
    <col min="6653" max="6657" width="8.75" style="25"/>
    <col min="6658" max="6658" width="14.125" style="25" bestFit="1" customWidth="1"/>
    <col min="6659" max="6659" width="3.625" style="25" customWidth="1"/>
    <col min="6660" max="6660" width="24" style="25" customWidth="1"/>
    <col min="6661" max="6661" width="11.625" style="25" customWidth="1"/>
    <col min="6662" max="6662" width="13" style="25" customWidth="1"/>
    <col min="6663" max="6663" width="28" style="25" bestFit="1" customWidth="1"/>
    <col min="6664" max="6907" width="8.75" style="25"/>
    <col min="6908" max="6908" width="16.75" style="25" customWidth="1"/>
    <col min="6909" max="6913" width="8.75" style="25"/>
    <col min="6914" max="6914" width="14.125" style="25" bestFit="1" customWidth="1"/>
    <col min="6915" max="6915" width="3.625" style="25" customWidth="1"/>
    <col min="6916" max="6916" width="24" style="25" customWidth="1"/>
    <col min="6917" max="6917" width="11.625" style="25" customWidth="1"/>
    <col min="6918" max="6918" width="13" style="25" customWidth="1"/>
    <col min="6919" max="6919" width="28" style="25" bestFit="1" customWidth="1"/>
    <col min="6920" max="7163" width="8.75" style="25"/>
    <col min="7164" max="7164" width="16.75" style="25" customWidth="1"/>
    <col min="7165" max="7169" width="8.75" style="25"/>
    <col min="7170" max="7170" width="14.125" style="25" bestFit="1" customWidth="1"/>
    <col min="7171" max="7171" width="3.625" style="25" customWidth="1"/>
    <col min="7172" max="7172" width="24" style="25" customWidth="1"/>
    <col min="7173" max="7173" width="11.625" style="25" customWidth="1"/>
    <col min="7174" max="7174" width="13" style="25" customWidth="1"/>
    <col min="7175" max="7175" width="28" style="25" bestFit="1" customWidth="1"/>
    <col min="7176" max="7419" width="8.75" style="25"/>
    <col min="7420" max="7420" width="16.75" style="25" customWidth="1"/>
    <col min="7421" max="7425" width="8.75" style="25"/>
    <col min="7426" max="7426" width="14.125" style="25" bestFit="1" customWidth="1"/>
    <col min="7427" max="7427" width="3.625" style="25" customWidth="1"/>
    <col min="7428" max="7428" width="24" style="25" customWidth="1"/>
    <col min="7429" max="7429" width="11.625" style="25" customWidth="1"/>
    <col min="7430" max="7430" width="13" style="25" customWidth="1"/>
    <col min="7431" max="7431" width="28" style="25" bestFit="1" customWidth="1"/>
    <col min="7432" max="7675" width="8.75" style="25"/>
    <col min="7676" max="7676" width="16.75" style="25" customWidth="1"/>
    <col min="7677" max="7681" width="8.75" style="25"/>
    <col min="7682" max="7682" width="14.125" style="25" bestFit="1" customWidth="1"/>
    <col min="7683" max="7683" width="3.625" style="25" customWidth="1"/>
    <col min="7684" max="7684" width="24" style="25" customWidth="1"/>
    <col min="7685" max="7685" width="11.625" style="25" customWidth="1"/>
    <col min="7686" max="7686" width="13" style="25" customWidth="1"/>
    <col min="7687" max="7687" width="28" style="25" bestFit="1" customWidth="1"/>
    <col min="7688" max="7931" width="8.75" style="25"/>
    <col min="7932" max="7932" width="16.75" style="25" customWidth="1"/>
    <col min="7933" max="7937" width="8.75" style="25"/>
    <col min="7938" max="7938" width="14.125" style="25" bestFit="1" customWidth="1"/>
    <col min="7939" max="7939" width="3.625" style="25" customWidth="1"/>
    <col min="7940" max="7940" width="24" style="25" customWidth="1"/>
    <col min="7941" max="7941" width="11.625" style="25" customWidth="1"/>
    <col min="7942" max="7942" width="13" style="25" customWidth="1"/>
    <col min="7943" max="7943" width="28" style="25" bestFit="1" customWidth="1"/>
    <col min="7944" max="8187" width="8.75" style="25"/>
    <col min="8188" max="8188" width="16.75" style="25" customWidth="1"/>
    <col min="8189" max="8193" width="8.75" style="25"/>
    <col min="8194" max="8194" width="14.125" style="25" bestFit="1" customWidth="1"/>
    <col min="8195" max="8195" width="3.625" style="25" customWidth="1"/>
    <col min="8196" max="8196" width="24" style="25" customWidth="1"/>
    <col min="8197" max="8197" width="11.625" style="25" customWidth="1"/>
    <col min="8198" max="8198" width="13" style="25" customWidth="1"/>
    <col min="8199" max="8199" width="28" style="25" bestFit="1" customWidth="1"/>
    <col min="8200" max="8443" width="8.75" style="25"/>
    <col min="8444" max="8444" width="16.75" style="25" customWidth="1"/>
    <col min="8445" max="8449" width="8.75" style="25"/>
    <col min="8450" max="8450" width="14.125" style="25" bestFit="1" customWidth="1"/>
    <col min="8451" max="8451" width="3.625" style="25" customWidth="1"/>
    <col min="8452" max="8452" width="24" style="25" customWidth="1"/>
    <col min="8453" max="8453" width="11.625" style="25" customWidth="1"/>
    <col min="8454" max="8454" width="13" style="25" customWidth="1"/>
    <col min="8455" max="8455" width="28" style="25" bestFit="1" customWidth="1"/>
    <col min="8456" max="8699" width="8.75" style="25"/>
    <col min="8700" max="8700" width="16.75" style="25" customWidth="1"/>
    <col min="8701" max="8705" width="8.75" style="25"/>
    <col min="8706" max="8706" width="14.125" style="25" bestFit="1" customWidth="1"/>
    <col min="8707" max="8707" width="3.625" style="25" customWidth="1"/>
    <col min="8708" max="8708" width="24" style="25" customWidth="1"/>
    <col min="8709" max="8709" width="11.625" style="25" customWidth="1"/>
    <col min="8710" max="8710" width="13" style="25" customWidth="1"/>
    <col min="8711" max="8711" width="28" style="25" bestFit="1" customWidth="1"/>
    <col min="8712" max="8955" width="8.75" style="25"/>
    <col min="8956" max="8956" width="16.75" style="25" customWidth="1"/>
    <col min="8957" max="8961" width="8.75" style="25"/>
    <col min="8962" max="8962" width="14.125" style="25" bestFit="1" customWidth="1"/>
    <col min="8963" max="8963" width="3.625" style="25" customWidth="1"/>
    <col min="8964" max="8964" width="24" style="25" customWidth="1"/>
    <col min="8965" max="8965" width="11.625" style="25" customWidth="1"/>
    <col min="8966" max="8966" width="13" style="25" customWidth="1"/>
    <col min="8967" max="8967" width="28" style="25" bestFit="1" customWidth="1"/>
    <col min="8968" max="9211" width="8.75" style="25"/>
    <col min="9212" max="9212" width="16.75" style="25" customWidth="1"/>
    <col min="9213" max="9217" width="8.75" style="25"/>
    <col min="9218" max="9218" width="14.125" style="25" bestFit="1" customWidth="1"/>
    <col min="9219" max="9219" width="3.625" style="25" customWidth="1"/>
    <col min="9220" max="9220" width="24" style="25" customWidth="1"/>
    <col min="9221" max="9221" width="11.625" style="25" customWidth="1"/>
    <col min="9222" max="9222" width="13" style="25" customWidth="1"/>
    <col min="9223" max="9223" width="28" style="25" bestFit="1" customWidth="1"/>
    <col min="9224" max="9467" width="8.75" style="25"/>
    <col min="9468" max="9468" width="16.75" style="25" customWidth="1"/>
    <col min="9469" max="9473" width="8.75" style="25"/>
    <col min="9474" max="9474" width="14.125" style="25" bestFit="1" customWidth="1"/>
    <col min="9475" max="9475" width="3.625" style="25" customWidth="1"/>
    <col min="9476" max="9476" width="24" style="25" customWidth="1"/>
    <col min="9477" max="9477" width="11.625" style="25" customWidth="1"/>
    <col min="9478" max="9478" width="13" style="25" customWidth="1"/>
    <col min="9479" max="9479" width="28" style="25" bestFit="1" customWidth="1"/>
    <col min="9480" max="9723" width="8.75" style="25"/>
    <col min="9724" max="9724" width="16.75" style="25" customWidth="1"/>
    <col min="9725" max="9729" width="8.75" style="25"/>
    <col min="9730" max="9730" width="14.125" style="25" bestFit="1" customWidth="1"/>
    <col min="9731" max="9731" width="3.625" style="25" customWidth="1"/>
    <col min="9732" max="9732" width="24" style="25" customWidth="1"/>
    <col min="9733" max="9733" width="11.625" style="25" customWidth="1"/>
    <col min="9734" max="9734" width="13" style="25" customWidth="1"/>
    <col min="9735" max="9735" width="28" style="25" bestFit="1" customWidth="1"/>
    <col min="9736" max="9979" width="8.75" style="25"/>
    <col min="9980" max="9980" width="16.75" style="25" customWidth="1"/>
    <col min="9981" max="9985" width="8.75" style="25"/>
    <col min="9986" max="9986" width="14.125" style="25" bestFit="1" customWidth="1"/>
    <col min="9987" max="9987" width="3.625" style="25" customWidth="1"/>
    <col min="9988" max="9988" width="24" style="25" customWidth="1"/>
    <col min="9989" max="9989" width="11.625" style="25" customWidth="1"/>
    <col min="9990" max="9990" width="13" style="25" customWidth="1"/>
    <col min="9991" max="9991" width="28" style="25" bestFit="1" customWidth="1"/>
    <col min="9992" max="10235" width="8.75" style="25"/>
    <col min="10236" max="10236" width="16.75" style="25" customWidth="1"/>
    <col min="10237" max="10241" width="8.75" style="25"/>
    <col min="10242" max="10242" width="14.125" style="25" bestFit="1" customWidth="1"/>
    <col min="10243" max="10243" width="3.625" style="25" customWidth="1"/>
    <col min="10244" max="10244" width="24" style="25" customWidth="1"/>
    <col min="10245" max="10245" width="11.625" style="25" customWidth="1"/>
    <col min="10246" max="10246" width="13" style="25" customWidth="1"/>
    <col min="10247" max="10247" width="28" style="25" bestFit="1" customWidth="1"/>
    <col min="10248" max="10491" width="8.75" style="25"/>
    <col min="10492" max="10492" width="16.75" style="25" customWidth="1"/>
    <col min="10493" max="10497" width="8.75" style="25"/>
    <col min="10498" max="10498" width="14.125" style="25" bestFit="1" customWidth="1"/>
    <col min="10499" max="10499" width="3.625" style="25" customWidth="1"/>
    <col min="10500" max="10500" width="24" style="25" customWidth="1"/>
    <col min="10501" max="10501" width="11.625" style="25" customWidth="1"/>
    <col min="10502" max="10502" width="13" style="25" customWidth="1"/>
    <col min="10503" max="10503" width="28" style="25" bestFit="1" customWidth="1"/>
    <col min="10504" max="10747" width="8.75" style="25"/>
    <col min="10748" max="10748" width="16.75" style="25" customWidth="1"/>
    <col min="10749" max="10753" width="8.75" style="25"/>
    <col min="10754" max="10754" width="14.125" style="25" bestFit="1" customWidth="1"/>
    <col min="10755" max="10755" width="3.625" style="25" customWidth="1"/>
    <col min="10756" max="10756" width="24" style="25" customWidth="1"/>
    <col min="10757" max="10757" width="11.625" style="25" customWidth="1"/>
    <col min="10758" max="10758" width="13" style="25" customWidth="1"/>
    <col min="10759" max="10759" width="28" style="25" bestFit="1" customWidth="1"/>
    <col min="10760" max="11003" width="8.75" style="25"/>
    <col min="11004" max="11004" width="16.75" style="25" customWidth="1"/>
    <col min="11005" max="11009" width="8.75" style="25"/>
    <col min="11010" max="11010" width="14.125" style="25" bestFit="1" customWidth="1"/>
    <col min="11011" max="11011" width="3.625" style="25" customWidth="1"/>
    <col min="11012" max="11012" width="24" style="25" customWidth="1"/>
    <col min="11013" max="11013" width="11.625" style="25" customWidth="1"/>
    <col min="11014" max="11014" width="13" style="25" customWidth="1"/>
    <col min="11015" max="11015" width="28" style="25" bestFit="1" customWidth="1"/>
    <col min="11016" max="11259" width="8.75" style="25"/>
    <col min="11260" max="11260" width="16.75" style="25" customWidth="1"/>
    <col min="11261" max="11265" width="8.75" style="25"/>
    <col min="11266" max="11266" width="14.125" style="25" bestFit="1" customWidth="1"/>
    <col min="11267" max="11267" width="3.625" style="25" customWidth="1"/>
    <col min="11268" max="11268" width="24" style="25" customWidth="1"/>
    <col min="11269" max="11269" width="11.625" style="25" customWidth="1"/>
    <col min="11270" max="11270" width="13" style="25" customWidth="1"/>
    <col min="11271" max="11271" width="28" style="25" bestFit="1" customWidth="1"/>
    <col min="11272" max="11515" width="8.75" style="25"/>
    <col min="11516" max="11516" width="16.75" style="25" customWidth="1"/>
    <col min="11517" max="11521" width="8.75" style="25"/>
    <col min="11522" max="11522" width="14.125" style="25" bestFit="1" customWidth="1"/>
    <col min="11523" max="11523" width="3.625" style="25" customWidth="1"/>
    <col min="11524" max="11524" width="24" style="25" customWidth="1"/>
    <col min="11525" max="11525" width="11.625" style="25" customWidth="1"/>
    <col min="11526" max="11526" width="13" style="25" customWidth="1"/>
    <col min="11527" max="11527" width="28" style="25" bestFit="1" customWidth="1"/>
    <col min="11528" max="11771" width="8.75" style="25"/>
    <col min="11772" max="11772" width="16.75" style="25" customWidth="1"/>
    <col min="11773" max="11777" width="8.75" style="25"/>
    <col min="11778" max="11778" width="14.125" style="25" bestFit="1" customWidth="1"/>
    <col min="11779" max="11779" width="3.625" style="25" customWidth="1"/>
    <col min="11780" max="11780" width="24" style="25" customWidth="1"/>
    <col min="11781" max="11781" width="11.625" style="25" customWidth="1"/>
    <col min="11782" max="11782" width="13" style="25" customWidth="1"/>
    <col min="11783" max="11783" width="28" style="25" bestFit="1" customWidth="1"/>
    <col min="11784" max="12027" width="8.75" style="25"/>
    <col min="12028" max="12028" width="16.75" style="25" customWidth="1"/>
    <col min="12029" max="12033" width="8.75" style="25"/>
    <col min="12034" max="12034" width="14.125" style="25" bestFit="1" customWidth="1"/>
    <col min="12035" max="12035" width="3.625" style="25" customWidth="1"/>
    <col min="12036" max="12036" width="24" style="25" customWidth="1"/>
    <col min="12037" max="12037" width="11.625" style="25" customWidth="1"/>
    <col min="12038" max="12038" width="13" style="25" customWidth="1"/>
    <col min="12039" max="12039" width="28" style="25" bestFit="1" customWidth="1"/>
    <col min="12040" max="12283" width="8.75" style="25"/>
    <col min="12284" max="12284" width="16.75" style="25" customWidth="1"/>
    <col min="12285" max="12289" width="8.75" style="25"/>
    <col min="12290" max="12290" width="14.125" style="25" bestFit="1" customWidth="1"/>
    <col min="12291" max="12291" width="3.625" style="25" customWidth="1"/>
    <col min="12292" max="12292" width="24" style="25" customWidth="1"/>
    <col min="12293" max="12293" width="11.625" style="25" customWidth="1"/>
    <col min="12294" max="12294" width="13" style="25" customWidth="1"/>
    <col min="12295" max="12295" width="28" style="25" bestFit="1" customWidth="1"/>
    <col min="12296" max="12539" width="8.75" style="25"/>
    <col min="12540" max="12540" width="16.75" style="25" customWidth="1"/>
    <col min="12541" max="12545" width="8.75" style="25"/>
    <col min="12546" max="12546" width="14.125" style="25" bestFit="1" customWidth="1"/>
    <col min="12547" max="12547" width="3.625" style="25" customWidth="1"/>
    <col min="12548" max="12548" width="24" style="25" customWidth="1"/>
    <col min="12549" max="12549" width="11.625" style="25" customWidth="1"/>
    <col min="12550" max="12550" width="13" style="25" customWidth="1"/>
    <col min="12551" max="12551" width="28" style="25" bestFit="1" customWidth="1"/>
    <col min="12552" max="12795" width="8.75" style="25"/>
    <col min="12796" max="12796" width="16.75" style="25" customWidth="1"/>
    <col min="12797" max="12801" width="8.75" style="25"/>
    <col min="12802" max="12802" width="14.125" style="25" bestFit="1" customWidth="1"/>
    <col min="12803" max="12803" width="3.625" style="25" customWidth="1"/>
    <col min="12804" max="12804" width="24" style="25" customWidth="1"/>
    <col min="12805" max="12805" width="11.625" style="25" customWidth="1"/>
    <col min="12806" max="12806" width="13" style="25" customWidth="1"/>
    <col min="12807" max="12807" width="28" style="25" bestFit="1" customWidth="1"/>
    <col min="12808" max="13051" width="8.75" style="25"/>
    <col min="13052" max="13052" width="16.75" style="25" customWidth="1"/>
    <col min="13053" max="13057" width="8.75" style="25"/>
    <col min="13058" max="13058" width="14.125" style="25" bestFit="1" customWidth="1"/>
    <col min="13059" max="13059" width="3.625" style="25" customWidth="1"/>
    <col min="13060" max="13060" width="24" style="25" customWidth="1"/>
    <col min="13061" max="13061" width="11.625" style="25" customWidth="1"/>
    <col min="13062" max="13062" width="13" style="25" customWidth="1"/>
    <col min="13063" max="13063" width="28" style="25" bestFit="1" customWidth="1"/>
    <col min="13064" max="13307" width="8.75" style="25"/>
    <col min="13308" max="13308" width="16.75" style="25" customWidth="1"/>
    <col min="13309" max="13313" width="8.75" style="25"/>
    <col min="13314" max="13314" width="14.125" style="25" bestFit="1" customWidth="1"/>
    <col min="13315" max="13315" width="3.625" style="25" customWidth="1"/>
    <col min="13316" max="13316" width="24" style="25" customWidth="1"/>
    <col min="13317" max="13317" width="11.625" style="25" customWidth="1"/>
    <col min="13318" max="13318" width="13" style="25" customWidth="1"/>
    <col min="13319" max="13319" width="28" style="25" bestFit="1" customWidth="1"/>
    <col min="13320" max="13563" width="8.75" style="25"/>
    <col min="13564" max="13564" width="16.75" style="25" customWidth="1"/>
    <col min="13565" max="13569" width="8.75" style="25"/>
    <col min="13570" max="13570" width="14.125" style="25" bestFit="1" customWidth="1"/>
    <col min="13571" max="13571" width="3.625" style="25" customWidth="1"/>
    <col min="13572" max="13572" width="24" style="25" customWidth="1"/>
    <col min="13573" max="13573" width="11.625" style="25" customWidth="1"/>
    <col min="13574" max="13574" width="13" style="25" customWidth="1"/>
    <col min="13575" max="13575" width="28" style="25" bestFit="1" customWidth="1"/>
    <col min="13576" max="13819" width="8.75" style="25"/>
    <col min="13820" max="13820" width="16.75" style="25" customWidth="1"/>
    <col min="13821" max="13825" width="8.75" style="25"/>
    <col min="13826" max="13826" width="14.125" style="25" bestFit="1" customWidth="1"/>
    <col min="13827" max="13827" width="3.625" style="25" customWidth="1"/>
    <col min="13828" max="13828" width="24" style="25" customWidth="1"/>
    <col min="13829" max="13829" width="11.625" style="25" customWidth="1"/>
    <col min="13830" max="13830" width="13" style="25" customWidth="1"/>
    <col min="13831" max="13831" width="28" style="25" bestFit="1" customWidth="1"/>
    <col min="13832" max="14075" width="8.75" style="25"/>
    <col min="14076" max="14076" width="16.75" style="25" customWidth="1"/>
    <col min="14077" max="14081" width="8.75" style="25"/>
    <col min="14082" max="14082" width="14.125" style="25" bestFit="1" customWidth="1"/>
    <col min="14083" max="14083" width="3.625" style="25" customWidth="1"/>
    <col min="14084" max="14084" width="24" style="25" customWidth="1"/>
    <col min="14085" max="14085" width="11.625" style="25" customWidth="1"/>
    <col min="14086" max="14086" width="13" style="25" customWidth="1"/>
    <col min="14087" max="14087" width="28" style="25" bestFit="1" customWidth="1"/>
    <col min="14088" max="14331" width="8.75" style="25"/>
    <col min="14332" max="14332" width="16.75" style="25" customWidth="1"/>
    <col min="14333" max="14337" width="8.75" style="25"/>
    <col min="14338" max="14338" width="14.125" style="25" bestFit="1" customWidth="1"/>
    <col min="14339" max="14339" width="3.625" style="25" customWidth="1"/>
    <col min="14340" max="14340" width="24" style="25" customWidth="1"/>
    <col min="14341" max="14341" width="11.625" style="25" customWidth="1"/>
    <col min="14342" max="14342" width="13" style="25" customWidth="1"/>
    <col min="14343" max="14343" width="28" style="25" bestFit="1" customWidth="1"/>
    <col min="14344" max="14587" width="8.75" style="25"/>
    <col min="14588" max="14588" width="16.75" style="25" customWidth="1"/>
    <col min="14589" max="14593" width="8.75" style="25"/>
    <col min="14594" max="14594" width="14.125" style="25" bestFit="1" customWidth="1"/>
    <col min="14595" max="14595" width="3.625" style="25" customWidth="1"/>
    <col min="14596" max="14596" width="24" style="25" customWidth="1"/>
    <col min="14597" max="14597" width="11.625" style="25" customWidth="1"/>
    <col min="14598" max="14598" width="13" style="25" customWidth="1"/>
    <col min="14599" max="14599" width="28" style="25" bestFit="1" customWidth="1"/>
    <col min="14600" max="14843" width="8.75" style="25"/>
    <col min="14844" max="14844" width="16.75" style="25" customWidth="1"/>
    <col min="14845" max="14849" width="8.75" style="25"/>
    <col min="14850" max="14850" width="14.125" style="25" bestFit="1" customWidth="1"/>
    <col min="14851" max="14851" width="3.625" style="25" customWidth="1"/>
    <col min="14852" max="14852" width="24" style="25" customWidth="1"/>
    <col min="14853" max="14853" width="11.625" style="25" customWidth="1"/>
    <col min="14854" max="14854" width="13" style="25" customWidth="1"/>
    <col min="14855" max="14855" width="28" style="25" bestFit="1" customWidth="1"/>
    <col min="14856" max="15099" width="8.75" style="25"/>
    <col min="15100" max="15100" width="16.75" style="25" customWidth="1"/>
    <col min="15101" max="15105" width="8.75" style="25"/>
    <col min="15106" max="15106" width="14.125" style="25" bestFit="1" customWidth="1"/>
    <col min="15107" max="15107" width="3.625" style="25" customWidth="1"/>
    <col min="15108" max="15108" width="24" style="25" customWidth="1"/>
    <col min="15109" max="15109" width="11.625" style="25" customWidth="1"/>
    <col min="15110" max="15110" width="13" style="25" customWidth="1"/>
    <col min="15111" max="15111" width="28" style="25" bestFit="1" customWidth="1"/>
    <col min="15112" max="15355" width="8.75" style="25"/>
    <col min="15356" max="15356" width="16.75" style="25" customWidth="1"/>
    <col min="15357" max="15361" width="8.75" style="25"/>
    <col min="15362" max="15362" width="14.125" style="25" bestFit="1" customWidth="1"/>
    <col min="15363" max="15363" width="3.625" style="25" customWidth="1"/>
    <col min="15364" max="15364" width="24" style="25" customWidth="1"/>
    <col min="15365" max="15365" width="11.625" style="25" customWidth="1"/>
    <col min="15366" max="15366" width="13" style="25" customWidth="1"/>
    <col min="15367" max="15367" width="28" style="25" bestFit="1" customWidth="1"/>
    <col min="15368" max="15611" width="8.75" style="25"/>
    <col min="15612" max="15612" width="16.75" style="25" customWidth="1"/>
    <col min="15613" max="15617" width="8.75" style="25"/>
    <col min="15618" max="15618" width="14.125" style="25" bestFit="1" customWidth="1"/>
    <col min="15619" max="15619" width="3.625" style="25" customWidth="1"/>
    <col min="15620" max="15620" width="24" style="25" customWidth="1"/>
    <col min="15621" max="15621" width="11.625" style="25" customWidth="1"/>
    <col min="15622" max="15622" width="13" style="25" customWidth="1"/>
    <col min="15623" max="15623" width="28" style="25" bestFit="1" customWidth="1"/>
    <col min="15624" max="15867" width="8.75" style="25"/>
    <col min="15868" max="15868" width="16.75" style="25" customWidth="1"/>
    <col min="15869" max="15873" width="8.75" style="25"/>
    <col min="15874" max="15874" width="14.125" style="25" bestFit="1" customWidth="1"/>
    <col min="15875" max="15875" width="3.625" style="25" customWidth="1"/>
    <col min="15876" max="15876" width="24" style="25" customWidth="1"/>
    <col min="15877" max="15877" width="11.625" style="25" customWidth="1"/>
    <col min="15878" max="15878" width="13" style="25" customWidth="1"/>
    <col min="15879" max="15879" width="28" style="25" bestFit="1" customWidth="1"/>
    <col min="15880" max="16123" width="8.75" style="25"/>
    <col min="16124" max="16124" width="16.75" style="25" customWidth="1"/>
    <col min="16125" max="16129" width="8.75" style="25"/>
    <col min="16130" max="16130" width="14.125" style="25" bestFit="1" customWidth="1"/>
    <col min="16131" max="16131" width="3.625" style="25" customWidth="1"/>
    <col min="16132" max="16132" width="24" style="25" customWidth="1"/>
    <col min="16133" max="16133" width="11.625" style="25" customWidth="1"/>
    <col min="16134" max="16134" width="13" style="25" customWidth="1"/>
    <col min="16135" max="16135" width="28" style="25" bestFit="1" customWidth="1"/>
    <col min="16136" max="16384" width="8.75" style="25"/>
  </cols>
  <sheetData>
    <row r="1" spans="1:17" ht="36.6" customHeight="1" x14ac:dyDescent="0.2">
      <c r="A1" s="434" t="s">
        <v>140</v>
      </c>
      <c r="B1" s="435"/>
      <c r="C1" s="435"/>
      <c r="D1" s="435"/>
      <c r="E1" s="435"/>
      <c r="F1" s="435"/>
      <c r="G1" s="435"/>
    </row>
    <row r="2" spans="1:17" x14ac:dyDescent="0.2">
      <c r="A2" s="25" t="s">
        <v>119</v>
      </c>
      <c r="B2" s="50">
        <f>INTERCEPT(E11:E70,F11:F70)</f>
        <v>1.8131355609980349E-3</v>
      </c>
      <c r="C2" s="25" t="e">
        <f ca="1">getformula(B2)</f>
        <v>#NAME?</v>
      </c>
    </row>
    <row r="3" spans="1:17" ht="14.25" x14ac:dyDescent="0.2">
      <c r="A3" s="25" t="s">
        <v>120</v>
      </c>
      <c r="B3" s="50">
        <f>SLOPE(E11:E70,F11:F70)</f>
        <v>0.64350288539150746</v>
      </c>
      <c r="C3" s="25" t="e">
        <f ca="1">getformula(B3)</f>
        <v>#NAME?</v>
      </c>
      <c r="I3" s="82" t="s">
        <v>144</v>
      </c>
      <c r="J3" s="82"/>
      <c r="K3" s="82"/>
      <c r="L3" s="82"/>
      <c r="M3" s="82"/>
      <c r="N3" s="82"/>
      <c r="O3" s="82"/>
      <c r="P3" s="82"/>
      <c r="Q3" s="82"/>
    </row>
    <row r="4" spans="1:17" ht="15" thickBot="1" x14ac:dyDescent="0.25">
      <c r="A4" s="25" t="s">
        <v>121</v>
      </c>
      <c r="B4" s="50">
        <f>RSQ(E11:E70,F11:F70)</f>
        <v>0.22452080461041524</v>
      </c>
      <c r="C4" s="25" t="e">
        <f ca="1">getformula(B4)</f>
        <v>#NAME?</v>
      </c>
      <c r="I4" s="82"/>
      <c r="J4" s="82"/>
      <c r="K4" s="82"/>
      <c r="L4" s="82"/>
      <c r="M4" s="82"/>
      <c r="N4" s="82"/>
      <c r="O4" s="82"/>
      <c r="P4" s="82"/>
      <c r="Q4" s="82"/>
    </row>
    <row r="5" spans="1:17" ht="14.25" x14ac:dyDescent="0.2">
      <c r="A5" s="25" t="s">
        <v>122</v>
      </c>
      <c r="B5" s="50">
        <f>tintercept(E11:E70,F11:F70)</f>
        <v>0.20589000740820818</v>
      </c>
      <c r="C5" s="25" t="e">
        <f ca="1">getformula(B5)</f>
        <v>#NAME?</v>
      </c>
      <c r="I5" s="101" t="s">
        <v>145</v>
      </c>
      <c r="J5" s="101"/>
      <c r="K5" s="82"/>
      <c r="L5" s="82"/>
      <c r="M5" s="82"/>
      <c r="N5" s="82"/>
      <c r="O5" s="82"/>
      <c r="P5" s="82"/>
      <c r="Q5" s="82"/>
    </row>
    <row r="6" spans="1:17" ht="14.25" x14ac:dyDescent="0.2">
      <c r="A6" s="25" t="s">
        <v>123</v>
      </c>
      <c r="B6" s="50">
        <f>tslope(E11:E70,F11:F70)</f>
        <v>4.0978609362500711</v>
      </c>
      <c r="C6" s="25" t="e">
        <f ca="1">getformula(B6)</f>
        <v>#NAME?</v>
      </c>
      <c r="I6" s="102" t="s">
        <v>146</v>
      </c>
      <c r="J6" s="102">
        <v>0.47383626350292674</v>
      </c>
      <c r="K6" s="82"/>
      <c r="L6" s="82"/>
      <c r="M6" s="82"/>
      <c r="N6" s="82"/>
      <c r="O6" s="82"/>
      <c r="P6" s="82"/>
      <c r="Q6" s="82"/>
    </row>
    <row r="7" spans="1:17" ht="14.25" x14ac:dyDescent="0.2">
      <c r="B7" s="50"/>
      <c r="I7" s="102" t="s">
        <v>147</v>
      </c>
      <c r="J7" s="102">
        <v>0.22452080461041501</v>
      </c>
      <c r="K7" s="82"/>
      <c r="L7" s="82"/>
      <c r="M7" s="82"/>
      <c r="N7" s="82"/>
      <c r="O7" s="82"/>
      <c r="P7" s="82"/>
      <c r="Q7" s="82"/>
    </row>
    <row r="8" spans="1:17" ht="14.25" x14ac:dyDescent="0.2">
      <c r="B8" s="411" t="s">
        <v>124</v>
      </c>
      <c r="C8" s="411"/>
      <c r="E8" s="411" t="s">
        <v>125</v>
      </c>
      <c r="F8" s="411"/>
      <c r="I8" s="102" t="s">
        <v>148</v>
      </c>
      <c r="J8" s="102">
        <v>0.21115047365542217</v>
      </c>
      <c r="K8" s="82"/>
      <c r="L8" s="82"/>
      <c r="M8" s="82"/>
      <c r="N8" s="82"/>
      <c r="O8" s="82"/>
      <c r="P8" s="82"/>
      <c r="Q8" s="82"/>
    </row>
    <row r="9" spans="1:17" ht="13.15" customHeight="1" x14ac:dyDescent="0.2">
      <c r="A9" s="30" t="s">
        <v>21</v>
      </c>
      <c r="B9" s="30" t="s">
        <v>139</v>
      </c>
      <c r="C9" s="30" t="s">
        <v>126</v>
      </c>
      <c r="E9" s="30" t="s">
        <v>139</v>
      </c>
      <c r="F9" s="30" t="s">
        <v>126</v>
      </c>
      <c r="I9" s="102" t="s">
        <v>149</v>
      </c>
      <c r="J9" s="102">
        <v>6.8184238201327574E-2</v>
      </c>
      <c r="K9" s="82"/>
      <c r="L9" s="82"/>
      <c r="M9" s="82"/>
      <c r="N9" s="82"/>
      <c r="O9" s="82"/>
      <c r="P9" s="82"/>
      <c r="Q9" s="82"/>
    </row>
    <row r="10" spans="1:17" ht="15" thickBot="1" x14ac:dyDescent="0.25">
      <c r="A10" s="38">
        <v>39234</v>
      </c>
      <c r="B10" s="15">
        <v>39.9</v>
      </c>
      <c r="C10" s="15">
        <v>1503.35</v>
      </c>
      <c r="I10" s="103" t="s">
        <v>150</v>
      </c>
      <c r="J10" s="103">
        <v>60</v>
      </c>
      <c r="K10" s="82"/>
      <c r="L10" s="82"/>
      <c r="M10" s="82"/>
      <c r="N10" s="82"/>
      <c r="O10" s="82"/>
      <c r="P10" s="82"/>
      <c r="Q10" s="82"/>
    </row>
    <row r="11" spans="1:17" ht="14.25" x14ac:dyDescent="0.2">
      <c r="A11" s="38">
        <v>39265</v>
      </c>
      <c r="B11" s="15">
        <v>39.78</v>
      </c>
      <c r="C11" s="15">
        <v>1455.27</v>
      </c>
      <c r="E11" s="37">
        <f>LN(B11/B10)</f>
        <v>-3.0120504699916095E-3</v>
      </c>
      <c r="F11" s="37">
        <f>LN(C11/C10)</f>
        <v>-3.2504500841186675E-2</v>
      </c>
      <c r="G11" s="25" t="e">
        <f ca="1">getformula(F11)</f>
        <v>#NAME?</v>
      </c>
      <c r="I11" s="82"/>
      <c r="J11" s="82"/>
      <c r="K11" s="82"/>
      <c r="L11" s="82"/>
      <c r="M11" s="82"/>
      <c r="N11" s="82"/>
      <c r="O11" s="82"/>
      <c r="P11" s="82"/>
      <c r="Q11" s="82"/>
    </row>
    <row r="12" spans="1:17" ht="15" thickBot="1" x14ac:dyDescent="0.25">
      <c r="A12" s="38">
        <v>39295</v>
      </c>
      <c r="B12" s="15">
        <v>40.200000000000003</v>
      </c>
      <c r="C12" s="15">
        <v>1473.99</v>
      </c>
      <c r="E12" s="37">
        <f t="shared" ref="E12:F42" si="0">LN(B12/B11)</f>
        <v>1.05027221991492E-2</v>
      </c>
      <c r="F12" s="37">
        <f>LN(C12/C11)</f>
        <v>1.2781559065278813E-2</v>
      </c>
      <c r="G12" s="25" t="e">
        <f ca="1">getformula(F12)</f>
        <v>#NAME?</v>
      </c>
      <c r="I12" s="82" t="s">
        <v>151</v>
      </c>
      <c r="J12" s="82"/>
      <c r="K12" s="82"/>
      <c r="L12" s="82"/>
      <c r="M12" s="82"/>
      <c r="N12" s="82"/>
      <c r="O12" s="82"/>
      <c r="P12" s="82"/>
      <c r="Q12" s="82"/>
    </row>
    <row r="13" spans="1:17" ht="14.25" x14ac:dyDescent="0.2">
      <c r="A13" s="38">
        <v>39329</v>
      </c>
      <c r="B13" s="15">
        <v>41.73</v>
      </c>
      <c r="C13" s="15">
        <v>1526.75</v>
      </c>
      <c r="E13" s="37">
        <f t="shared" si="0"/>
        <v>3.7353298978485779E-2</v>
      </c>
      <c r="F13" s="37">
        <f t="shared" si="0"/>
        <v>3.5168283637491062E-2</v>
      </c>
      <c r="G13" s="25" t="e">
        <f ca="1">getformula(F13)</f>
        <v>#NAME?</v>
      </c>
      <c r="I13" s="104"/>
      <c r="J13" s="104" t="s">
        <v>155</v>
      </c>
      <c r="K13" s="104" t="s">
        <v>156</v>
      </c>
      <c r="L13" s="104" t="s">
        <v>157</v>
      </c>
      <c r="M13" s="104" t="s">
        <v>158</v>
      </c>
      <c r="N13" s="104" t="s">
        <v>159</v>
      </c>
      <c r="O13" s="82"/>
      <c r="P13" s="82"/>
      <c r="Q13" s="82"/>
    </row>
    <row r="14" spans="1:17" ht="14.25" x14ac:dyDescent="0.2">
      <c r="A14" s="38">
        <v>39356</v>
      </c>
      <c r="B14" s="15">
        <v>47.04</v>
      </c>
      <c r="C14" s="15">
        <v>1549.38</v>
      </c>
      <c r="E14" s="37">
        <f t="shared" si="0"/>
        <v>0.11977800898691028</v>
      </c>
      <c r="F14" s="37">
        <f t="shared" si="0"/>
        <v>1.4713557788708606E-2</v>
      </c>
      <c r="I14" s="102" t="s">
        <v>152</v>
      </c>
      <c r="J14" s="102">
        <v>1</v>
      </c>
      <c r="K14" s="102">
        <v>7.806968332750297E-2</v>
      </c>
      <c r="L14" s="102">
        <v>7.806968332750297E-2</v>
      </c>
      <c r="M14" s="102">
        <v>16.792464252844308</v>
      </c>
      <c r="N14" s="102">
        <v>1.3123215286793522E-4</v>
      </c>
      <c r="O14" s="82"/>
      <c r="P14" s="82"/>
      <c r="Q14" s="82"/>
    </row>
    <row r="15" spans="1:17" ht="14.25" x14ac:dyDescent="0.2">
      <c r="A15" s="38">
        <v>39387</v>
      </c>
      <c r="B15" s="15">
        <v>47.93</v>
      </c>
      <c r="C15" s="15">
        <v>1481.14</v>
      </c>
      <c r="E15" s="37">
        <f t="shared" si="0"/>
        <v>1.8743309581168353E-2</v>
      </c>
      <c r="F15" s="37">
        <f t="shared" si="0"/>
        <v>-4.5042789369416157E-2</v>
      </c>
      <c r="I15" s="102" t="s">
        <v>153</v>
      </c>
      <c r="J15" s="102">
        <v>58</v>
      </c>
      <c r="K15" s="102">
        <v>0.26964723966753201</v>
      </c>
      <c r="L15" s="102">
        <v>4.6490903390953792E-3</v>
      </c>
      <c r="M15" s="102"/>
      <c r="N15" s="102"/>
      <c r="O15" s="82"/>
      <c r="P15" s="82"/>
      <c r="Q15" s="82"/>
    </row>
    <row r="16" spans="1:17" ht="15" thickBot="1" x14ac:dyDescent="0.25">
      <c r="A16" s="38">
        <v>39419</v>
      </c>
      <c r="B16" s="15">
        <v>47.23</v>
      </c>
      <c r="C16" s="15">
        <v>1468.36</v>
      </c>
      <c r="E16" s="37">
        <f t="shared" si="0"/>
        <v>-1.47123292635142E-2</v>
      </c>
      <c r="F16" s="37">
        <f t="shared" si="0"/>
        <v>-8.6659298048018304E-3</v>
      </c>
      <c r="I16" s="103" t="s">
        <v>154</v>
      </c>
      <c r="J16" s="103">
        <v>59</v>
      </c>
      <c r="K16" s="103">
        <v>0.34771692299503498</v>
      </c>
      <c r="L16" s="103"/>
      <c r="M16" s="103"/>
      <c r="N16" s="103"/>
      <c r="O16" s="82"/>
      <c r="P16" s="82"/>
      <c r="Q16" s="82"/>
    </row>
    <row r="17" spans="1:17" ht="15" thickBot="1" x14ac:dyDescent="0.25">
      <c r="A17" s="38">
        <v>39449</v>
      </c>
      <c r="B17" s="15">
        <v>37.47</v>
      </c>
      <c r="C17" s="15">
        <v>1378.55</v>
      </c>
      <c r="E17" s="37">
        <f t="shared" si="0"/>
        <v>-0.23148867110242963</v>
      </c>
      <c r="F17" s="37">
        <f t="shared" si="0"/>
        <v>-6.3113909602276946E-2</v>
      </c>
      <c r="I17" s="82"/>
      <c r="J17" s="82"/>
      <c r="K17" s="82"/>
      <c r="L17" s="82"/>
      <c r="M17" s="82"/>
      <c r="N17" s="82"/>
      <c r="O17" s="82"/>
      <c r="P17" s="82"/>
      <c r="Q17" s="82"/>
    </row>
    <row r="18" spans="1:17" ht="14.25" x14ac:dyDescent="0.2">
      <c r="A18" s="38">
        <v>39479</v>
      </c>
      <c r="B18" s="15">
        <v>36</v>
      </c>
      <c r="C18" s="15">
        <v>1330.63</v>
      </c>
      <c r="E18" s="37">
        <f t="shared" si="0"/>
        <v>-4.0021674349485961E-2</v>
      </c>
      <c r="F18" s="37">
        <f t="shared" si="0"/>
        <v>-3.5379707842082095E-2</v>
      </c>
      <c r="I18" s="104"/>
      <c r="J18" s="104" t="s">
        <v>160</v>
      </c>
      <c r="K18" s="104" t="s">
        <v>149</v>
      </c>
      <c r="L18" s="104" t="s">
        <v>161</v>
      </c>
      <c r="M18" s="104" t="s">
        <v>162</v>
      </c>
      <c r="N18" s="104" t="s">
        <v>163</v>
      </c>
      <c r="O18" s="104" t="s">
        <v>164</v>
      </c>
      <c r="P18" s="104" t="s">
        <v>165</v>
      </c>
      <c r="Q18" s="104" t="s">
        <v>166</v>
      </c>
    </row>
    <row r="19" spans="1:17" ht="14.25" x14ac:dyDescent="0.2">
      <c r="A19" s="38">
        <v>39510</v>
      </c>
      <c r="B19" s="15">
        <v>31.11</v>
      </c>
      <c r="C19" s="15">
        <v>1322.7</v>
      </c>
      <c r="E19" s="37">
        <f t="shared" si="0"/>
        <v>-0.14598962754656439</v>
      </c>
      <c r="F19" s="37">
        <f t="shared" si="0"/>
        <v>-5.9774122413739049E-3</v>
      </c>
      <c r="I19" s="102" t="s">
        <v>128</v>
      </c>
      <c r="J19" s="102">
        <v>1.8131355609980347E-3</v>
      </c>
      <c r="K19" s="102">
        <v>8.8063310299621219E-3</v>
      </c>
      <c r="L19" s="102">
        <v>0.20589000740820818</v>
      </c>
      <c r="M19" s="102">
        <v>0.83759781790559473</v>
      </c>
      <c r="N19" s="102">
        <v>-1.5814651232847865E-2</v>
      </c>
      <c r="O19" s="102">
        <v>1.9440922354843931E-2</v>
      </c>
      <c r="P19" s="102">
        <v>-1.5814651232847865E-2</v>
      </c>
      <c r="Q19" s="102">
        <v>1.9440922354843931E-2</v>
      </c>
    </row>
    <row r="20" spans="1:17" ht="15" thickBot="1" x14ac:dyDescent="0.25">
      <c r="A20" s="38">
        <v>39539</v>
      </c>
      <c r="B20" s="15">
        <v>31.19</v>
      </c>
      <c r="C20" s="15">
        <v>1385.59</v>
      </c>
      <c r="E20" s="37">
        <f t="shared" si="0"/>
        <v>2.5682197101663468E-3</v>
      </c>
      <c r="F20" s="37">
        <f t="shared" si="0"/>
        <v>4.6450939660056381E-2</v>
      </c>
      <c r="I20" s="103" t="s">
        <v>167</v>
      </c>
      <c r="J20" s="103">
        <v>0.64350288539150724</v>
      </c>
      <c r="K20" s="103">
        <v>0.15703385141721599</v>
      </c>
      <c r="L20" s="103">
        <v>4.0978609362500711</v>
      </c>
      <c r="M20" s="103">
        <v>1.3123215286793463E-4</v>
      </c>
      <c r="N20" s="103">
        <v>0.32916547940700097</v>
      </c>
      <c r="O20" s="103">
        <v>0.95784029137601356</v>
      </c>
      <c r="P20" s="103">
        <v>0.32916547940700097</v>
      </c>
      <c r="Q20" s="103">
        <v>0.95784029137601356</v>
      </c>
    </row>
    <row r="21" spans="1:17" ht="14.25" x14ac:dyDescent="0.2">
      <c r="A21" s="38">
        <v>39569</v>
      </c>
      <c r="B21" s="15">
        <v>31.94</v>
      </c>
      <c r="C21" s="15">
        <v>1400.38</v>
      </c>
      <c r="E21" s="37">
        <f t="shared" si="0"/>
        <v>2.3761612167154448E-2</v>
      </c>
      <c r="F21" s="37">
        <f t="shared" si="0"/>
        <v>1.0617586652650165E-2</v>
      </c>
      <c r="I21" s="82"/>
      <c r="J21" s="82"/>
      <c r="K21" s="82"/>
      <c r="L21" s="82"/>
      <c r="M21" s="82"/>
      <c r="N21" s="82"/>
      <c r="O21" s="82"/>
      <c r="P21" s="82"/>
      <c r="Q21" s="82"/>
    </row>
    <row r="22" spans="1:17" ht="14.25" x14ac:dyDescent="0.2">
      <c r="A22" s="38">
        <v>39601</v>
      </c>
      <c r="B22" s="15">
        <v>31.21</v>
      </c>
      <c r="C22" s="15">
        <v>1280</v>
      </c>
      <c r="E22" s="37">
        <f t="shared" si="0"/>
        <v>-2.3120586504178278E-2</v>
      </c>
      <c r="F22" s="37">
        <f t="shared" si="0"/>
        <v>-8.98835504310454E-2</v>
      </c>
      <c r="I22" s="82"/>
      <c r="J22" s="82"/>
      <c r="K22" s="82"/>
      <c r="L22" s="82"/>
      <c r="M22" s="82"/>
      <c r="N22" s="82"/>
      <c r="O22" s="82"/>
      <c r="P22" s="82"/>
      <c r="Q22" s="82"/>
    </row>
    <row r="23" spans="1:17" ht="14.25" x14ac:dyDescent="0.2">
      <c r="A23" s="38">
        <v>39630</v>
      </c>
      <c r="B23" s="15">
        <v>27.24</v>
      </c>
      <c r="C23" s="15">
        <v>1267.3800000000001</v>
      </c>
      <c r="E23" s="37">
        <f t="shared" si="0"/>
        <v>-0.13605207500137656</v>
      </c>
      <c r="F23" s="37">
        <f t="shared" si="0"/>
        <v>-9.9083004864562122E-3</v>
      </c>
      <c r="I23" s="82"/>
      <c r="J23" s="82"/>
      <c r="K23" s="82"/>
      <c r="L23" s="82"/>
      <c r="M23" s="82"/>
      <c r="N23" s="82"/>
      <c r="O23" s="82"/>
      <c r="P23" s="82"/>
      <c r="Q23" s="82"/>
    </row>
    <row r="24" spans="1:17" ht="14.25" x14ac:dyDescent="0.2">
      <c r="A24" s="38">
        <v>39661</v>
      </c>
      <c r="B24" s="15">
        <v>29.54</v>
      </c>
      <c r="C24" s="15">
        <v>1282.83</v>
      </c>
      <c r="E24" s="37">
        <f t="shared" si="0"/>
        <v>8.1058795821922214E-2</v>
      </c>
      <c r="F24" s="37">
        <f t="shared" si="0"/>
        <v>1.2116797460712942E-2</v>
      </c>
    </row>
    <row r="25" spans="1:17" ht="14.25" x14ac:dyDescent="0.2">
      <c r="A25" s="38">
        <v>39693</v>
      </c>
      <c r="B25" s="15">
        <v>26.42</v>
      </c>
      <c r="C25" s="15">
        <v>1166.3599999999999</v>
      </c>
      <c r="E25" s="37">
        <f t="shared" si="0"/>
        <v>-0.11162397800905437</v>
      </c>
      <c r="F25" s="37">
        <f t="shared" si="0"/>
        <v>-9.5180786774375359E-2</v>
      </c>
    </row>
    <row r="26" spans="1:17" ht="14.25" x14ac:dyDescent="0.2">
      <c r="A26" s="38">
        <v>39722</v>
      </c>
      <c r="B26" s="15">
        <v>25.91</v>
      </c>
      <c r="C26" s="15">
        <v>968.75</v>
      </c>
      <c r="E26" s="37">
        <f t="shared" si="0"/>
        <v>-1.9492304520160767E-2</v>
      </c>
      <c r="F26" s="37">
        <f t="shared" si="0"/>
        <v>-0.18563648644598751</v>
      </c>
    </row>
    <row r="27" spans="1:17" ht="14.25" x14ac:dyDescent="0.2">
      <c r="A27" s="38">
        <v>39755</v>
      </c>
      <c r="B27" s="15">
        <v>22.37</v>
      </c>
      <c r="C27" s="15">
        <v>896.24</v>
      </c>
      <c r="E27" s="37">
        <f t="shared" si="0"/>
        <v>-0.14690821907198037</v>
      </c>
      <c r="F27" s="37">
        <f t="shared" si="0"/>
        <v>-7.7798346417088868E-2</v>
      </c>
    </row>
    <row r="28" spans="1:17" ht="14.25" x14ac:dyDescent="0.2">
      <c r="A28" s="38">
        <v>39783</v>
      </c>
      <c r="B28" s="15">
        <v>25.82</v>
      </c>
      <c r="C28" s="15">
        <v>903.25</v>
      </c>
      <c r="E28" s="37">
        <f t="shared" si="0"/>
        <v>0.1434286099164582</v>
      </c>
      <c r="F28" s="37">
        <f t="shared" si="0"/>
        <v>7.7911357772817548E-3</v>
      </c>
    </row>
    <row r="29" spans="1:17" ht="14.25" x14ac:dyDescent="0.2">
      <c r="A29" s="38">
        <v>39815</v>
      </c>
      <c r="B29" s="15">
        <v>24.25</v>
      </c>
      <c r="C29" s="15">
        <v>825.88</v>
      </c>
      <c r="E29" s="37">
        <f t="shared" si="0"/>
        <v>-6.2732768035004202E-2</v>
      </c>
      <c r="F29" s="37">
        <f t="shared" si="0"/>
        <v>-8.9549885511070959E-2</v>
      </c>
    </row>
    <row r="30" spans="1:17" ht="14.25" x14ac:dyDescent="0.2">
      <c r="A30" s="38">
        <v>39846</v>
      </c>
      <c r="B30" s="15">
        <v>20.55</v>
      </c>
      <c r="C30" s="15">
        <v>735.09</v>
      </c>
      <c r="E30" s="37">
        <f t="shared" si="0"/>
        <v>-0.16555567644124861</v>
      </c>
      <c r="F30" s="37">
        <f t="shared" si="0"/>
        <v>-0.11645654382051443</v>
      </c>
    </row>
    <row r="31" spans="1:17" ht="14.25" x14ac:dyDescent="0.2">
      <c r="A31" s="38">
        <v>39874</v>
      </c>
      <c r="B31" s="15">
        <v>23.1</v>
      </c>
      <c r="C31" s="15">
        <v>797.87</v>
      </c>
      <c r="E31" s="37">
        <f t="shared" si="0"/>
        <v>0.11697167658550421</v>
      </c>
      <c r="F31" s="37">
        <f t="shared" si="0"/>
        <v>8.1952736214643773E-2</v>
      </c>
    </row>
    <row r="32" spans="1:17" ht="14.25" x14ac:dyDescent="0.2">
      <c r="A32" s="38">
        <v>39904</v>
      </c>
      <c r="B32" s="15">
        <v>20.93</v>
      </c>
      <c r="C32" s="15">
        <v>872.81</v>
      </c>
      <c r="E32" s="37">
        <f t="shared" si="0"/>
        <v>-9.864908106983955E-2</v>
      </c>
      <c r="F32" s="37">
        <f t="shared" si="0"/>
        <v>8.9772214920969498E-2</v>
      </c>
    </row>
    <row r="33" spans="1:6" ht="14.25" x14ac:dyDescent="0.2">
      <c r="A33" s="38">
        <v>39934</v>
      </c>
      <c r="B33" s="15">
        <v>23.81</v>
      </c>
      <c r="C33" s="15">
        <v>919.14</v>
      </c>
      <c r="E33" s="37">
        <f t="shared" si="0"/>
        <v>0.12892212404086306</v>
      </c>
      <c r="F33" s="37">
        <f t="shared" si="0"/>
        <v>5.1720558420882315E-2</v>
      </c>
    </row>
    <row r="34" spans="1:6" ht="14.25" x14ac:dyDescent="0.2">
      <c r="A34" s="38">
        <v>39965</v>
      </c>
      <c r="B34" s="15">
        <v>24.48</v>
      </c>
      <c r="C34" s="15">
        <v>919.32</v>
      </c>
      <c r="E34" s="37">
        <f t="shared" si="0"/>
        <v>2.7750797145353924E-2</v>
      </c>
      <c r="F34" s="37">
        <f t="shared" si="0"/>
        <v>1.9581606407012827E-4</v>
      </c>
    </row>
    <row r="35" spans="1:6" ht="14.25" x14ac:dyDescent="0.2">
      <c r="A35" s="38">
        <v>39995</v>
      </c>
      <c r="B35" s="15">
        <v>26.28</v>
      </c>
      <c r="C35" s="15">
        <v>987.48</v>
      </c>
      <c r="E35" s="37">
        <f t="shared" si="0"/>
        <v>7.0951735972284394E-2</v>
      </c>
      <c r="F35" s="37">
        <f t="shared" si="0"/>
        <v>7.1521977088891908E-2</v>
      </c>
    </row>
    <row r="36" spans="1:6" ht="14.25" x14ac:dyDescent="0.2">
      <c r="A36" s="38">
        <v>40028</v>
      </c>
      <c r="B36" s="15">
        <v>28.39</v>
      </c>
      <c r="C36" s="15">
        <v>1020.62</v>
      </c>
      <c r="E36" s="37">
        <f t="shared" si="0"/>
        <v>7.7228776868470086E-2</v>
      </c>
      <c r="F36" s="37">
        <f t="shared" si="0"/>
        <v>3.3009321348136535E-2</v>
      </c>
    </row>
    <row r="37" spans="1:6" ht="14.25" x14ac:dyDescent="0.2">
      <c r="A37" s="38">
        <v>40057</v>
      </c>
      <c r="B37" s="15">
        <v>28.03</v>
      </c>
      <c r="C37" s="15">
        <v>1057.08</v>
      </c>
      <c r="E37" s="37">
        <f t="shared" si="0"/>
        <v>-1.2761605308182863E-2</v>
      </c>
      <c r="F37" s="37">
        <f t="shared" si="0"/>
        <v>3.5100104155946166E-2</v>
      </c>
    </row>
    <row r="38" spans="1:6" ht="14.25" x14ac:dyDescent="0.2">
      <c r="A38" s="38">
        <v>40087</v>
      </c>
      <c r="B38" s="15">
        <v>27.41</v>
      </c>
      <c r="C38" s="15">
        <v>1036.19</v>
      </c>
      <c r="E38" s="37">
        <f t="shared" si="0"/>
        <v>-2.2367454862002555E-2</v>
      </c>
      <c r="F38" s="37">
        <f t="shared" si="0"/>
        <v>-1.9959865222177731E-2</v>
      </c>
    </row>
    <row r="39" spans="1:6" ht="14.25" x14ac:dyDescent="0.2">
      <c r="A39" s="38">
        <v>40119</v>
      </c>
      <c r="B39" s="15">
        <v>32.090000000000003</v>
      </c>
      <c r="C39" s="15">
        <v>1095.6300000000001</v>
      </c>
      <c r="E39" s="37">
        <f t="shared" si="0"/>
        <v>0.15763654480707118</v>
      </c>
      <c r="F39" s="37">
        <f t="shared" si="0"/>
        <v>5.5779015582807137E-2</v>
      </c>
    </row>
    <row r="40" spans="1:6" ht="14.25" x14ac:dyDescent="0.2">
      <c r="A40" s="38">
        <v>40148</v>
      </c>
      <c r="B40" s="15">
        <v>32.71</v>
      </c>
      <c r="C40" s="15">
        <v>1115.0999999999999</v>
      </c>
      <c r="E40" s="37">
        <f t="shared" si="0"/>
        <v>1.9136386428526997E-2</v>
      </c>
      <c r="F40" s="37">
        <f t="shared" si="0"/>
        <v>1.7614546700982087E-2</v>
      </c>
    </row>
    <row r="41" spans="1:6" ht="14.25" x14ac:dyDescent="0.2">
      <c r="A41" s="38">
        <v>40182</v>
      </c>
      <c r="B41" s="15">
        <v>34.18</v>
      </c>
      <c r="C41" s="15">
        <v>1073.8699999999999</v>
      </c>
      <c r="E41" s="37">
        <f t="shared" si="0"/>
        <v>4.3959836137152229E-2</v>
      </c>
      <c r="F41" s="37">
        <f t="shared" si="0"/>
        <v>-3.7675141059320766E-2</v>
      </c>
    </row>
    <row r="42" spans="1:6" ht="14.25" x14ac:dyDescent="0.2">
      <c r="A42" s="38">
        <v>40210</v>
      </c>
      <c r="B42" s="15">
        <v>33.01</v>
      </c>
      <c r="C42" s="15">
        <v>1104.49</v>
      </c>
      <c r="E42" s="37">
        <f t="shared" si="0"/>
        <v>-3.4830131822343235E-2</v>
      </c>
      <c r="F42" s="37">
        <f t="shared" si="0"/>
        <v>2.8114744036660498E-2</v>
      </c>
    </row>
    <row r="43" spans="1:6" ht="14.25" x14ac:dyDescent="0.2">
      <c r="A43" s="38">
        <v>40238</v>
      </c>
      <c r="B43" s="15">
        <v>33.79</v>
      </c>
      <c r="C43" s="15">
        <v>1169.43</v>
      </c>
      <c r="E43" s="37">
        <f t="shared" ref="E43:F70" si="1">LN(B43/B42)</f>
        <v>2.3354354861096886E-2</v>
      </c>
      <c r="F43" s="37">
        <f t="shared" si="1"/>
        <v>5.7132760645483123E-2</v>
      </c>
    </row>
    <row r="44" spans="1:6" ht="14.25" x14ac:dyDescent="0.2">
      <c r="A44" s="38">
        <v>40269</v>
      </c>
      <c r="B44" s="15">
        <v>31.7</v>
      </c>
      <c r="C44" s="15">
        <v>1186.69</v>
      </c>
      <c r="E44" s="37">
        <f t="shared" si="1"/>
        <v>-6.3848219842963641E-2</v>
      </c>
      <c r="F44" s="37">
        <f t="shared" si="1"/>
        <v>1.4651468311863144E-2</v>
      </c>
    </row>
    <row r="45" spans="1:6" ht="14.25" x14ac:dyDescent="0.2">
      <c r="A45" s="38">
        <v>40301</v>
      </c>
      <c r="B45" s="15">
        <v>30.48</v>
      </c>
      <c r="C45" s="15">
        <v>1089.4100000000001</v>
      </c>
      <c r="E45" s="37">
        <f t="shared" si="1"/>
        <v>-3.9245950064789321E-2</v>
      </c>
      <c r="F45" s="37">
        <f t="shared" si="1"/>
        <v>-8.5531653633770133E-2</v>
      </c>
    </row>
    <row r="46" spans="1:6" ht="14.25" x14ac:dyDescent="0.2">
      <c r="A46" s="38">
        <v>40330</v>
      </c>
      <c r="B46" s="15">
        <v>31.98</v>
      </c>
      <c r="C46" s="15">
        <v>1030.71</v>
      </c>
      <c r="E46" s="37">
        <f t="shared" si="1"/>
        <v>4.8039976587362566E-2</v>
      </c>
      <c r="F46" s="37">
        <f t="shared" si="1"/>
        <v>-5.5388380132376618E-2</v>
      </c>
    </row>
    <row r="47" spans="1:6" ht="14.25" x14ac:dyDescent="0.2">
      <c r="A47" s="38">
        <v>40360</v>
      </c>
      <c r="B47" s="15">
        <v>31.52</v>
      </c>
      <c r="C47" s="15">
        <v>1101.5999999999999</v>
      </c>
      <c r="E47" s="37">
        <f t="shared" si="1"/>
        <v>-1.4488442416129833E-2</v>
      </c>
      <c r="F47" s="37">
        <f t="shared" si="1"/>
        <v>6.6515783274589638E-2</v>
      </c>
    </row>
    <row r="48" spans="1:6" ht="14.25" x14ac:dyDescent="0.2">
      <c r="A48" s="38">
        <v>40392</v>
      </c>
      <c r="B48" s="15">
        <v>32.159999999999997</v>
      </c>
      <c r="C48" s="15">
        <v>1049.33</v>
      </c>
      <c r="E48" s="37">
        <f t="shared" si="1"/>
        <v>2.0101179321087088E-2</v>
      </c>
      <c r="F48" s="37">
        <f t="shared" si="1"/>
        <v>-4.8611803170382606E-2</v>
      </c>
    </row>
    <row r="49" spans="1:6" ht="14.25" x14ac:dyDescent="0.2">
      <c r="A49" s="38">
        <v>40422</v>
      </c>
      <c r="B49" s="15">
        <v>34.020000000000003</v>
      </c>
      <c r="C49" s="15">
        <v>1141.2</v>
      </c>
      <c r="E49" s="37">
        <f t="shared" si="1"/>
        <v>5.6225142656950215E-2</v>
      </c>
      <c r="F49" s="37">
        <f t="shared" si="1"/>
        <v>8.3928475095282604E-2</v>
      </c>
    </row>
    <row r="50" spans="1:6" ht="14.25" x14ac:dyDescent="0.2">
      <c r="A50" s="38">
        <v>40452</v>
      </c>
      <c r="B50" s="15">
        <v>33.56</v>
      </c>
      <c r="C50" s="15">
        <v>1183.26</v>
      </c>
      <c r="E50" s="37">
        <f t="shared" si="1"/>
        <v>-1.3613705368710293E-2</v>
      </c>
      <c r="F50" s="37">
        <f t="shared" si="1"/>
        <v>3.6193000710687595E-2</v>
      </c>
    </row>
    <row r="51" spans="1:6" ht="14.25" x14ac:dyDescent="0.2">
      <c r="A51" s="38">
        <v>40483</v>
      </c>
      <c r="B51" s="15">
        <v>31.86</v>
      </c>
      <c r="C51" s="15">
        <v>1180.55</v>
      </c>
      <c r="E51" s="37">
        <f t="shared" si="1"/>
        <v>-5.1983577117103094E-2</v>
      </c>
      <c r="F51" s="37">
        <f t="shared" si="1"/>
        <v>-2.2929094870601432E-3</v>
      </c>
    </row>
    <row r="52" spans="1:6" ht="14.25" x14ac:dyDescent="0.2">
      <c r="A52" s="38">
        <v>40513</v>
      </c>
      <c r="B52" s="15">
        <v>33.659999999999997</v>
      </c>
      <c r="C52" s="15">
        <v>1257.6400000000001</v>
      </c>
      <c r="E52" s="37">
        <f t="shared" si="1"/>
        <v>5.495888428075741E-2</v>
      </c>
      <c r="F52" s="37">
        <f t="shared" si="1"/>
        <v>6.3256517221926059E-2</v>
      </c>
    </row>
    <row r="53" spans="1:6" ht="14.25" x14ac:dyDescent="0.2">
      <c r="A53" s="38">
        <v>40546</v>
      </c>
      <c r="B53" s="15">
        <v>30.98</v>
      </c>
      <c r="C53" s="15">
        <v>1286.1199999999999</v>
      </c>
      <c r="E53" s="37">
        <f t="shared" si="1"/>
        <v>-8.296835377393727E-2</v>
      </c>
      <c r="F53" s="37">
        <f t="shared" si="1"/>
        <v>2.239298525651701E-2</v>
      </c>
    </row>
    <row r="54" spans="1:6" ht="14.25" x14ac:dyDescent="0.2">
      <c r="A54" s="38">
        <v>40575</v>
      </c>
      <c r="B54" s="15">
        <v>30.42</v>
      </c>
      <c r="C54" s="15">
        <v>1327.22</v>
      </c>
      <c r="E54" s="37">
        <f t="shared" si="1"/>
        <v>-1.8241548157575754E-2</v>
      </c>
      <c r="F54" s="37">
        <f t="shared" si="1"/>
        <v>3.1456595040144836E-2</v>
      </c>
    </row>
    <row r="55" spans="1:6" ht="14.25" x14ac:dyDescent="0.2">
      <c r="A55" s="38">
        <v>40603</v>
      </c>
      <c r="B55" s="15">
        <v>31.19</v>
      </c>
      <c r="C55" s="15">
        <v>1325.83</v>
      </c>
      <c r="E55" s="37">
        <f t="shared" si="1"/>
        <v>2.4997243788565042E-2</v>
      </c>
      <c r="F55" s="37">
        <f t="shared" si="1"/>
        <v>-1.0478506829378123E-3</v>
      </c>
    </row>
    <row r="56" spans="1:6" ht="14.25" x14ac:dyDescent="0.2">
      <c r="A56" s="38">
        <v>40634</v>
      </c>
      <c r="B56" s="15">
        <v>33.97</v>
      </c>
      <c r="C56" s="15">
        <v>1363.61</v>
      </c>
      <c r="E56" s="37">
        <f t="shared" si="1"/>
        <v>8.5380251552780631E-2</v>
      </c>
      <c r="F56" s="37">
        <f t="shared" si="1"/>
        <v>2.809691636712916E-2</v>
      </c>
    </row>
    <row r="57" spans="1:6" ht="14.25" x14ac:dyDescent="0.2">
      <c r="A57" s="38">
        <v>40665</v>
      </c>
      <c r="B57" s="15">
        <v>34.729999999999997</v>
      </c>
      <c r="C57" s="15">
        <v>1345.2</v>
      </c>
      <c r="E57" s="37">
        <f t="shared" si="1"/>
        <v>2.2126084583490073E-2</v>
      </c>
      <c r="F57" s="37">
        <f t="shared" si="1"/>
        <v>-1.3592893899637262E-2</v>
      </c>
    </row>
    <row r="58" spans="1:6" ht="14.25" x14ac:dyDescent="0.2">
      <c r="A58" s="38">
        <v>40695</v>
      </c>
      <c r="B58" s="15">
        <v>33.71</v>
      </c>
      <c r="C58" s="15">
        <v>1320.64</v>
      </c>
      <c r="E58" s="37">
        <f t="shared" si="1"/>
        <v>-2.9809337510013134E-2</v>
      </c>
      <c r="F58" s="37">
        <f t="shared" si="1"/>
        <v>-1.8426233301897538E-2</v>
      </c>
    </row>
    <row r="59" spans="1:6" ht="14.25" x14ac:dyDescent="0.2">
      <c r="A59" s="38">
        <v>40725</v>
      </c>
      <c r="B59" s="15">
        <v>32.6</v>
      </c>
      <c r="C59" s="15">
        <v>1292.28</v>
      </c>
      <c r="E59" s="37">
        <f t="shared" si="1"/>
        <v>-3.348224087330743E-2</v>
      </c>
      <c r="F59" s="37">
        <f t="shared" si="1"/>
        <v>-2.1708367435427242E-2</v>
      </c>
    </row>
    <row r="60" spans="1:6" ht="14.25" x14ac:dyDescent="0.2">
      <c r="A60" s="38">
        <v>40756</v>
      </c>
      <c r="B60" s="15">
        <v>31.62</v>
      </c>
      <c r="C60" s="15">
        <v>1218.8900000000001</v>
      </c>
      <c r="E60" s="37">
        <f t="shared" si="1"/>
        <v>-3.0522456591336049E-2</v>
      </c>
      <c r="F60" s="37">
        <f t="shared" si="1"/>
        <v>-5.8467491619120418E-2</v>
      </c>
    </row>
    <row r="61" spans="1:6" ht="14.25" x14ac:dyDescent="0.2">
      <c r="A61" s="38">
        <v>40787</v>
      </c>
      <c r="B61" s="15">
        <v>31.61</v>
      </c>
      <c r="C61" s="15">
        <v>1131.42</v>
      </c>
      <c r="E61" s="37">
        <f t="shared" si="1"/>
        <v>-3.1630555379964488E-4</v>
      </c>
      <c r="F61" s="37">
        <f t="shared" si="1"/>
        <v>-7.4467127542783104E-2</v>
      </c>
    </row>
    <row r="62" spans="1:6" ht="14.25" x14ac:dyDescent="0.2">
      <c r="A62" s="38">
        <v>40819</v>
      </c>
      <c r="B62" s="15">
        <v>33.35</v>
      </c>
      <c r="C62" s="15">
        <v>1253.3</v>
      </c>
      <c r="E62" s="37">
        <f t="shared" si="1"/>
        <v>5.3584246134106471E-2</v>
      </c>
      <c r="F62" s="37">
        <f t="shared" si="1"/>
        <v>0.10230659165059017</v>
      </c>
    </row>
    <row r="63" spans="1:6" ht="14.25" x14ac:dyDescent="0.2">
      <c r="A63" s="38">
        <v>40848</v>
      </c>
      <c r="B63" s="15">
        <v>34.56</v>
      </c>
      <c r="C63" s="15">
        <v>1246.96</v>
      </c>
      <c r="E63" s="37">
        <f t="shared" si="1"/>
        <v>3.5639171574222153E-2</v>
      </c>
      <c r="F63" s="37">
        <f t="shared" si="1"/>
        <v>-5.0714834366809821E-3</v>
      </c>
    </row>
    <row r="64" spans="1:6" ht="14.25" x14ac:dyDescent="0.2">
      <c r="A64" s="38">
        <v>40878</v>
      </c>
      <c r="B64" s="15">
        <v>36.880000000000003</v>
      </c>
      <c r="C64" s="15">
        <v>1257.5999999999999</v>
      </c>
      <c r="E64" s="37">
        <f t="shared" si="1"/>
        <v>6.4972454752538128E-2</v>
      </c>
      <c r="F64" s="37">
        <f t="shared" si="1"/>
        <v>8.4965534941463527E-3</v>
      </c>
    </row>
    <row r="65" spans="1:6" ht="14.25" x14ac:dyDescent="0.2">
      <c r="A65" s="38">
        <v>40911</v>
      </c>
      <c r="B65" s="15">
        <v>37.44</v>
      </c>
      <c r="C65" s="15">
        <v>1312.41</v>
      </c>
      <c r="E65" s="37">
        <f t="shared" si="1"/>
        <v>1.5070252920998173E-2</v>
      </c>
      <c r="F65" s="37">
        <f t="shared" si="1"/>
        <v>4.2659999011137491E-2</v>
      </c>
    </row>
    <row r="66" spans="1:6" ht="14.25" x14ac:dyDescent="0.2">
      <c r="A66" s="38">
        <v>40940</v>
      </c>
      <c r="B66" s="15">
        <v>37.340000000000003</v>
      </c>
      <c r="C66" s="15">
        <v>1365.68</v>
      </c>
      <c r="E66" s="37">
        <f t="shared" si="1"/>
        <v>-2.6745134958146215E-3</v>
      </c>
      <c r="F66" s="37">
        <f t="shared" si="1"/>
        <v>3.9787331386417914E-2</v>
      </c>
    </row>
    <row r="67" spans="1:6" ht="14.25" x14ac:dyDescent="0.2">
      <c r="A67" s="38">
        <v>40969</v>
      </c>
      <c r="B67" s="15">
        <v>37.979999999999997</v>
      </c>
      <c r="C67" s="15">
        <v>1408.47</v>
      </c>
      <c r="E67" s="37">
        <f t="shared" si="1"/>
        <v>1.6994567270562991E-2</v>
      </c>
      <c r="F67" s="37">
        <f t="shared" si="1"/>
        <v>3.0851535762571346E-2</v>
      </c>
    </row>
    <row r="68" spans="1:6" ht="14.25" x14ac:dyDescent="0.2">
      <c r="A68" s="38">
        <v>41001</v>
      </c>
      <c r="B68" s="15">
        <v>38.82</v>
      </c>
      <c r="C68" s="15">
        <v>1397.91</v>
      </c>
      <c r="E68" s="37">
        <f t="shared" si="1"/>
        <v>2.1875872356724457E-2</v>
      </c>
      <c r="F68" s="37">
        <f t="shared" si="1"/>
        <v>-7.5257447960486246E-3</v>
      </c>
    </row>
    <row r="69" spans="1:6" ht="14.25" x14ac:dyDescent="0.2">
      <c r="A69" s="38">
        <v>41030</v>
      </c>
      <c r="B69" s="15">
        <v>37.17</v>
      </c>
      <c r="C69" s="15">
        <v>1310.33</v>
      </c>
      <c r="E69" s="37">
        <f t="shared" si="1"/>
        <v>-4.3433593431703353E-2</v>
      </c>
      <c r="F69" s="37">
        <f t="shared" si="1"/>
        <v>-6.4699250170469236E-2</v>
      </c>
    </row>
    <row r="70" spans="1:6" ht="14.25" x14ac:dyDescent="0.2">
      <c r="A70" s="38">
        <v>41061</v>
      </c>
      <c r="B70" s="15">
        <v>41.75</v>
      </c>
      <c r="C70" s="15">
        <v>1362.16</v>
      </c>
      <c r="E70" s="37">
        <f t="shared" si="1"/>
        <v>0.11619746698770368</v>
      </c>
      <c r="F70" s="37">
        <f t="shared" si="1"/>
        <v>3.8792661243837456E-2</v>
      </c>
    </row>
  </sheetData>
  <mergeCells count="3">
    <mergeCell ref="A1:G1"/>
    <mergeCell ref="B8:C8"/>
    <mergeCell ref="E8:F8"/>
  </mergeCells>
  <printOptions headings="1" gridLines="1"/>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A1:C5"/>
  <sheetViews>
    <sheetView workbookViewId="0">
      <selection activeCell="B4" sqref="B4"/>
    </sheetView>
  </sheetViews>
  <sheetFormatPr defaultRowHeight="14.25" x14ac:dyDescent="0.2"/>
  <cols>
    <col min="1" max="1" width="29.125" customWidth="1"/>
    <col min="3" max="3" width="17.875" bestFit="1" customWidth="1"/>
  </cols>
  <sheetData>
    <row r="1" spans="1:3" ht="46.15" customHeight="1" x14ac:dyDescent="0.2">
      <c r="A1" s="420" t="s">
        <v>171</v>
      </c>
      <c r="B1" s="420"/>
      <c r="C1" s="420"/>
    </row>
    <row r="2" spans="1:3" ht="15" x14ac:dyDescent="0.25">
      <c r="A2" t="s">
        <v>169</v>
      </c>
      <c r="B2" s="73">
        <f>'Beta via S&amp;P 500'!B3</f>
        <v>0.64350288539150746</v>
      </c>
    </row>
    <row r="3" spans="1:3" ht="18.75" x14ac:dyDescent="0.35">
      <c r="A3" t="s">
        <v>168</v>
      </c>
      <c r="B3" s="16">
        <v>0.02</v>
      </c>
    </row>
    <row r="4" spans="1:3" ht="18.75" x14ac:dyDescent="0.35">
      <c r="A4" t="s">
        <v>170</v>
      </c>
      <c r="B4" s="56">
        <v>0.08</v>
      </c>
    </row>
    <row r="5" spans="1:3" ht="18.75" x14ac:dyDescent="0.35">
      <c r="A5" t="s">
        <v>529</v>
      </c>
      <c r="B5" s="16">
        <f>B3+B2*(B4-B3)</f>
        <v>5.8610173123490442E-2</v>
      </c>
      <c r="C5" t="e">
        <f ca="1">getformula(B5)</f>
        <v>#NAME?</v>
      </c>
    </row>
  </sheetData>
  <mergeCells count="1">
    <mergeCell ref="A1:C1"/>
  </mergeCells>
  <printOptions headings="1" gridLines="1"/>
  <pageMargins left="0.7" right="0.7" top="0.75" bottom="0.75" header="0.3" footer="0.3"/>
  <pageSetup paperSize="9" orientation="portrait" verticalDpi="4"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dimension ref="A1:D6"/>
  <sheetViews>
    <sheetView workbookViewId="0">
      <selection activeCell="B6" sqref="B6"/>
    </sheetView>
  </sheetViews>
  <sheetFormatPr defaultRowHeight="14.25" x14ac:dyDescent="0.2"/>
  <cols>
    <col min="1" max="1" width="30" bestFit="1" customWidth="1"/>
    <col min="2" max="2" width="20.25" bestFit="1" customWidth="1"/>
    <col min="3" max="3" width="29.625" bestFit="1" customWidth="1"/>
  </cols>
  <sheetData>
    <row r="1" spans="1:4" ht="45.6" customHeight="1" x14ac:dyDescent="0.2">
      <c r="A1" s="420" t="s">
        <v>531</v>
      </c>
      <c r="B1" s="420"/>
      <c r="C1" s="420"/>
    </row>
    <row r="2" spans="1:4" s="114" customFormat="1" ht="15.6" customHeight="1" x14ac:dyDescent="0.2">
      <c r="A2" s="114" t="s">
        <v>169</v>
      </c>
      <c r="B2" s="115">
        <f>'Beta via S&amp;P 500'!B3</f>
        <v>0.64350288539150746</v>
      </c>
    </row>
    <row r="3" spans="1:4" ht="18.75" x14ac:dyDescent="0.35">
      <c r="A3" t="s">
        <v>172</v>
      </c>
      <c r="B3" s="16">
        <f>'Corporate Tax Rate via IS'!D5</f>
        <v>0.37900208804593699</v>
      </c>
      <c r="C3" t="e">
        <f ca="1">getformula(B3)</f>
        <v>#NAME?</v>
      </c>
      <c r="D3" t="s">
        <v>569</v>
      </c>
    </row>
    <row r="4" spans="1:4" ht="18.75" x14ac:dyDescent="0.35">
      <c r="A4" t="s">
        <v>168</v>
      </c>
      <c r="B4" s="16">
        <v>0.02</v>
      </c>
    </row>
    <row r="5" spans="1:4" ht="18.75" x14ac:dyDescent="0.35">
      <c r="A5" t="s">
        <v>170</v>
      </c>
      <c r="B5" s="56">
        <v>8.4500000000000006E-2</v>
      </c>
    </row>
    <row r="6" spans="1:4" ht="18.75" x14ac:dyDescent="0.35">
      <c r="A6" t="s">
        <v>530</v>
      </c>
      <c r="B6" s="145">
        <f>B4*(1-B3)+B2*(B5-B4*(1-B3))</f>
        <v>5.8803673091372827E-2</v>
      </c>
      <c r="C6" t="e">
        <f ca="1">getformula(B6)</f>
        <v>#NAME?</v>
      </c>
    </row>
  </sheetData>
  <mergeCells count="1">
    <mergeCell ref="A1:C1"/>
  </mergeCells>
  <printOptions headings="1" gridLines="1"/>
  <pageMargins left="0.7" right="0.7" top="0.75" bottom="0.75" header="0.3" footer="0.3"/>
  <pageSetup paperSize="9" orientation="portrait" verticalDpi="4"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8"/>
  <dimension ref="A1:L444"/>
  <sheetViews>
    <sheetView workbookViewId="0">
      <selection activeCell="J12" sqref="J12"/>
    </sheetView>
  </sheetViews>
  <sheetFormatPr defaultColWidth="8.75" defaultRowHeight="12.75" x14ac:dyDescent="0.2"/>
  <cols>
    <col min="1" max="1" width="23.875" style="25" customWidth="1"/>
    <col min="2" max="2" width="8.75" style="25"/>
    <col min="3" max="3" width="11.375" style="25" customWidth="1"/>
    <col min="4" max="4" width="27.5" style="25" customWidth="1"/>
    <col min="5" max="6" width="8.75" style="25"/>
    <col min="7" max="7" width="24.875" style="25" customWidth="1"/>
    <col min="8" max="16384" width="8.75" style="25"/>
  </cols>
  <sheetData>
    <row r="1" spans="1:12" ht="55.9" customHeight="1" x14ac:dyDescent="0.2">
      <c r="A1" s="434" t="s">
        <v>48</v>
      </c>
      <c r="B1" s="435"/>
      <c r="C1" s="435"/>
      <c r="D1" s="435"/>
      <c r="G1" s="435" t="s">
        <v>75</v>
      </c>
      <c r="H1" s="435"/>
      <c r="I1" s="435"/>
      <c r="J1" s="435"/>
      <c r="K1" s="435"/>
      <c r="L1" s="437"/>
    </row>
    <row r="2" spans="1:12" ht="14.25" x14ac:dyDescent="0.2">
      <c r="A2" s="33" t="s">
        <v>43</v>
      </c>
      <c r="B2" s="34">
        <f>AVERAGE(C10:C311)</f>
        <v>6.8926966723209769E-3</v>
      </c>
      <c r="C2" s="25" t="e">
        <f ca="1">getformula(B2)</f>
        <v>#NAME?</v>
      </c>
      <c r="G2" s="148" t="s">
        <v>47</v>
      </c>
      <c r="H2" s="149">
        <f>AVERAGE(K10:K311)</f>
        <v>3.308294024718886E-3</v>
      </c>
      <c r="I2" s="150" t="e">
        <f ca="1">getformula(H2)</f>
        <v>#NAME?</v>
      </c>
      <c r="J2" s="151"/>
      <c r="K2" s="151"/>
      <c r="L2" s="151"/>
    </row>
    <row r="3" spans="1:12" ht="14.25" x14ac:dyDescent="0.2">
      <c r="A3" s="25" t="s">
        <v>42</v>
      </c>
      <c r="B3" s="31">
        <f>STDEV(C10:C311)</f>
        <v>4.5824874189551584E-2</v>
      </c>
      <c r="C3" s="25" t="e">
        <f ca="1">getformula(B3)</f>
        <v>#NAME?</v>
      </c>
      <c r="G3" s="150" t="s">
        <v>42</v>
      </c>
      <c r="H3" s="152">
        <f>STDEV(K10:K311)</f>
        <v>4.5740666633599242E-2</v>
      </c>
      <c r="I3" s="150" t="e">
        <f ca="1">getformula(H3)</f>
        <v>#NAME?</v>
      </c>
      <c r="J3" s="151"/>
      <c r="K3" s="151"/>
      <c r="L3" s="151"/>
    </row>
    <row r="4" spans="1:12" ht="14.25" x14ac:dyDescent="0.2">
      <c r="G4" s="150"/>
      <c r="H4" s="150"/>
      <c r="I4" s="150"/>
      <c r="J4" s="151"/>
      <c r="K4" s="151"/>
      <c r="L4" s="151"/>
    </row>
    <row r="5" spans="1:12" ht="14.25" x14ac:dyDescent="0.2">
      <c r="A5" s="33" t="s">
        <v>41</v>
      </c>
      <c r="B5" s="32">
        <f>12*B2</f>
        <v>8.2712360067851723E-2</v>
      </c>
      <c r="C5" s="25" t="e">
        <f ca="1">getformula(B5)</f>
        <v>#NAME?</v>
      </c>
      <c r="G5" s="148" t="s">
        <v>46</v>
      </c>
      <c r="H5" s="153">
        <f>12*H2</f>
        <v>3.9699528296626631E-2</v>
      </c>
      <c r="I5" s="150" t="e">
        <f ca="1">getformula(H5)</f>
        <v>#NAME?</v>
      </c>
      <c r="J5" s="151"/>
      <c r="K5" s="151"/>
      <c r="L5" s="151"/>
    </row>
    <row r="6" spans="1:12" ht="14.25" x14ac:dyDescent="0.2">
      <c r="A6" s="25" t="s">
        <v>40</v>
      </c>
      <c r="B6" s="31">
        <f>SQRT(12)*B3</f>
        <v>0.15874202069351004</v>
      </c>
      <c r="C6" s="25" t="e">
        <f ca="1">getformula(B6)</f>
        <v>#NAME?</v>
      </c>
      <c r="G6" s="150" t="s">
        <v>40</v>
      </c>
      <c r="H6" s="152">
        <f>SQRT(12)*H3</f>
        <v>0.15845031716292873</v>
      </c>
      <c r="I6" s="150" t="e">
        <f ca="1">getformula(H6)</f>
        <v>#NAME?</v>
      </c>
      <c r="J6" s="151"/>
      <c r="K6" s="151"/>
      <c r="L6" s="151"/>
    </row>
    <row r="7" spans="1:12" x14ac:dyDescent="0.2">
      <c r="G7" s="151"/>
      <c r="H7" s="151"/>
      <c r="I7" s="151"/>
      <c r="J7" s="151"/>
      <c r="K7" s="151"/>
      <c r="L7" s="151"/>
    </row>
    <row r="8" spans="1:12" x14ac:dyDescent="0.2">
      <c r="A8" s="30" t="s">
        <v>21</v>
      </c>
      <c r="B8" s="30" t="s">
        <v>39</v>
      </c>
      <c r="C8" s="30" t="s">
        <v>38</v>
      </c>
      <c r="G8" s="30" t="s">
        <v>21</v>
      </c>
      <c r="H8" s="30" t="s">
        <v>39</v>
      </c>
      <c r="I8" s="30" t="s">
        <v>38</v>
      </c>
      <c r="J8" s="154" t="s">
        <v>45</v>
      </c>
      <c r="K8" s="154" t="s">
        <v>44</v>
      </c>
      <c r="L8" s="151"/>
    </row>
    <row r="9" spans="1:12" ht="14.25" x14ac:dyDescent="0.2">
      <c r="A9" s="38">
        <v>31868</v>
      </c>
      <c r="B9">
        <v>15.66</v>
      </c>
      <c r="C9" s="27"/>
      <c r="G9" s="39">
        <v>31868</v>
      </c>
      <c r="H9" s="155">
        <v>15.66</v>
      </c>
      <c r="I9" s="146"/>
      <c r="J9" s="156"/>
      <c r="K9" s="150"/>
      <c r="L9" s="151"/>
    </row>
    <row r="10" spans="1:12" ht="14.25" x14ac:dyDescent="0.2">
      <c r="A10" s="38">
        <v>31898</v>
      </c>
      <c r="B10">
        <v>15.82</v>
      </c>
      <c r="C10" s="28">
        <f t="shared" ref="C10:C73" si="0">LN(B10/B9)</f>
        <v>1.0165271776850711E-2</v>
      </c>
      <c r="D10" s="25" t="e">
        <f ca="1">getformula(C10)</f>
        <v>#NAME?</v>
      </c>
      <c r="G10" s="39">
        <v>31898</v>
      </c>
      <c r="H10" s="155">
        <v>15.82</v>
      </c>
      <c r="I10" s="147">
        <f t="shared" ref="I10:I73" si="1">LN(H10/H9)</f>
        <v>1.0165271776850711E-2</v>
      </c>
      <c r="J10" s="158">
        <f>'3month_treasury (2)'!D4</f>
        <v>4.8377442873847537E-3</v>
      </c>
      <c r="K10" s="157">
        <f t="shared" ref="K10:K73" si="2">I10-J10</f>
        <v>5.3275274894659568E-3</v>
      </c>
      <c r="L10" s="151" t="e">
        <f ca="1">getformula(K10)</f>
        <v>#NAME?</v>
      </c>
    </row>
    <row r="11" spans="1:12" ht="14.25" x14ac:dyDescent="0.2">
      <c r="A11" s="38">
        <v>31929</v>
      </c>
      <c r="B11">
        <v>16.62</v>
      </c>
      <c r="C11" s="28">
        <f t="shared" si="0"/>
        <v>4.9331827087794301E-2</v>
      </c>
      <c r="D11" s="25" t="e">
        <f ca="1">getformula(C11)</f>
        <v>#NAME?</v>
      </c>
      <c r="G11" s="39">
        <v>31929</v>
      </c>
      <c r="H11" s="155">
        <v>16.62</v>
      </c>
      <c r="I11" s="147">
        <f t="shared" si="1"/>
        <v>4.9331827087794301E-2</v>
      </c>
      <c r="J11" s="158">
        <f>'3month_treasury (2)'!D5</f>
        <v>4.8554090109979714E-3</v>
      </c>
      <c r="K11" s="157">
        <f t="shared" si="2"/>
        <v>4.447641807679633E-2</v>
      </c>
      <c r="L11" s="151" t="e">
        <f ca="1">getformula(K11)</f>
        <v>#NAME?</v>
      </c>
    </row>
    <row r="12" spans="1:12" ht="14.25" x14ac:dyDescent="0.2">
      <c r="A12" s="38">
        <v>31959</v>
      </c>
      <c r="B12">
        <v>17.440000000000001</v>
      </c>
      <c r="C12" s="28">
        <f t="shared" si="0"/>
        <v>4.8159629053531397E-2</v>
      </c>
      <c r="D12" s="25" t="e">
        <f ca="1">getformula(C12)</f>
        <v>#NAME?</v>
      </c>
      <c r="G12" s="39">
        <v>31959</v>
      </c>
      <c r="H12" s="155">
        <v>17.440000000000001</v>
      </c>
      <c r="I12" s="147">
        <f t="shared" si="1"/>
        <v>4.8159629053531397E-2</v>
      </c>
      <c r="J12" s="158">
        <f>'3month_treasury (2)'!D6</f>
        <v>4.8642427771941254E-3</v>
      </c>
      <c r="K12" s="157">
        <f t="shared" si="2"/>
        <v>4.3295386276337271E-2</v>
      </c>
      <c r="L12" s="151"/>
    </row>
    <row r="13" spans="1:12" ht="14.25" x14ac:dyDescent="0.2">
      <c r="A13" s="38">
        <v>31992</v>
      </c>
      <c r="B13">
        <v>18.11</v>
      </c>
      <c r="C13" s="28">
        <f t="shared" si="0"/>
        <v>3.7697853414488287E-2</v>
      </c>
      <c r="D13" s="25" t="e">
        <f ca="1">getformula(C13)</f>
        <v>#NAME?</v>
      </c>
      <c r="G13" s="39">
        <v>31992</v>
      </c>
      <c r="H13" s="155">
        <v>18.11</v>
      </c>
      <c r="I13" s="147">
        <f t="shared" si="1"/>
        <v>3.7697853414488287E-2</v>
      </c>
      <c r="J13" s="158">
        <f>'3month_treasury (2)'!D7</f>
        <v>4.881913119358163E-3</v>
      </c>
      <c r="K13" s="157">
        <f t="shared" si="2"/>
        <v>3.2815940295130124E-2</v>
      </c>
      <c r="L13" s="151"/>
    </row>
    <row r="14" spans="1:12" ht="14.25" hidden="1" x14ac:dyDescent="0.2">
      <c r="A14" s="38">
        <v>32021</v>
      </c>
      <c r="B14">
        <v>17.690000000000001</v>
      </c>
      <c r="C14" s="28">
        <f t="shared" si="0"/>
        <v>-2.3464763723627959E-2</v>
      </c>
      <c r="G14" s="39">
        <v>32021</v>
      </c>
      <c r="H14" s="155">
        <v>17.690000000000001</v>
      </c>
      <c r="I14" s="147">
        <f t="shared" si="1"/>
        <v>-2.3464763723627959E-2</v>
      </c>
      <c r="J14" s="158">
        <f>'3month_treasury (2)'!D8</f>
        <v>5.1917521831149555E-3</v>
      </c>
      <c r="K14" s="157">
        <f t="shared" si="2"/>
        <v>-2.8656515906742914E-2</v>
      </c>
      <c r="L14" s="151"/>
    </row>
    <row r="15" spans="1:12" ht="14.25" hidden="1" x14ac:dyDescent="0.2">
      <c r="A15" s="38">
        <v>32051</v>
      </c>
      <c r="B15">
        <v>13.85</v>
      </c>
      <c r="C15" s="28">
        <f t="shared" si="0"/>
        <v>-0.24471427553834646</v>
      </c>
      <c r="G15" s="39">
        <v>32051</v>
      </c>
      <c r="H15" s="155">
        <v>13.85</v>
      </c>
      <c r="I15" s="147">
        <f t="shared" si="1"/>
        <v>-0.24471427553834646</v>
      </c>
      <c r="J15" s="158">
        <f>'3month_treasury (2)'!D9</f>
        <v>5.5116502087120822E-3</v>
      </c>
      <c r="K15" s="157">
        <f t="shared" si="2"/>
        <v>-0.25022592574705854</v>
      </c>
      <c r="L15" s="151"/>
    </row>
    <row r="16" spans="1:12" ht="14.25" hidden="1" x14ac:dyDescent="0.2">
      <c r="A16" s="38">
        <v>32083</v>
      </c>
      <c r="B16">
        <v>12.72</v>
      </c>
      <c r="C16" s="28">
        <f t="shared" si="0"/>
        <v>-8.5109674721371348E-2</v>
      </c>
      <c r="G16" s="39">
        <v>32083</v>
      </c>
      <c r="H16" s="155">
        <v>12.72</v>
      </c>
      <c r="I16" s="147">
        <f t="shared" si="1"/>
        <v>-8.5109674721371348E-2</v>
      </c>
      <c r="J16" s="158">
        <f>'3month_treasury (2)'!D10</f>
        <v>5.2716116365992384E-3</v>
      </c>
      <c r="K16" s="157">
        <f t="shared" si="2"/>
        <v>-9.0381286357970589E-2</v>
      </c>
      <c r="L16" s="151"/>
    </row>
    <row r="17" spans="1:12" ht="14.25" hidden="1" x14ac:dyDescent="0.2">
      <c r="A17" s="38">
        <v>32112</v>
      </c>
      <c r="B17">
        <v>13.67</v>
      </c>
      <c r="C17" s="28">
        <f t="shared" si="0"/>
        <v>7.2028092823882117E-2</v>
      </c>
      <c r="G17" s="39">
        <v>32112</v>
      </c>
      <c r="H17" s="155">
        <v>13.67</v>
      </c>
      <c r="I17" s="147">
        <f t="shared" si="1"/>
        <v>7.2028092823882117E-2</v>
      </c>
      <c r="J17" s="158">
        <f>'3month_treasury (2)'!D11</f>
        <v>4.881913119358163E-3</v>
      </c>
      <c r="K17" s="157">
        <f t="shared" si="2"/>
        <v>6.7146179704523953E-2</v>
      </c>
      <c r="L17" s="151"/>
    </row>
    <row r="18" spans="1:12" ht="14.25" hidden="1" x14ac:dyDescent="0.2">
      <c r="A18" s="38">
        <v>32146</v>
      </c>
      <c r="B18">
        <v>14.14</v>
      </c>
      <c r="C18" s="28">
        <f t="shared" si="0"/>
        <v>3.3804009732568543E-2</v>
      </c>
      <c r="G18" s="39">
        <v>32146</v>
      </c>
      <c r="H18" s="155">
        <v>14.14</v>
      </c>
      <c r="I18" s="147">
        <f t="shared" si="1"/>
        <v>3.3804009732568543E-2</v>
      </c>
      <c r="J18" s="158">
        <f>'3month_treasury (2)'!D12</f>
        <v>4.9526319807855429E-3</v>
      </c>
      <c r="K18" s="157">
        <f t="shared" si="2"/>
        <v>2.8851377751783001E-2</v>
      </c>
      <c r="L18" s="151"/>
    </row>
    <row r="19" spans="1:12" ht="14.25" hidden="1" x14ac:dyDescent="0.2">
      <c r="A19" s="38">
        <v>32174</v>
      </c>
      <c r="B19">
        <v>14.79</v>
      </c>
      <c r="C19" s="28">
        <f t="shared" si="0"/>
        <v>4.4943616254281712E-2</v>
      </c>
      <c r="G19" s="39">
        <v>32174</v>
      </c>
      <c r="H19" s="155">
        <v>14.79</v>
      </c>
      <c r="I19" s="147">
        <f t="shared" si="1"/>
        <v>4.4943616254281712E-2</v>
      </c>
      <c r="J19" s="158">
        <f>'3month_treasury (2)'!D13</f>
        <v>4.9880139294471403E-3</v>
      </c>
      <c r="K19" s="157">
        <f t="shared" si="2"/>
        <v>3.9955602324834569E-2</v>
      </c>
      <c r="L19" s="151"/>
    </row>
    <row r="20" spans="1:12" ht="14.25" hidden="1" x14ac:dyDescent="0.2">
      <c r="A20" s="38">
        <v>32203</v>
      </c>
      <c r="B20">
        <v>14.34</v>
      </c>
      <c r="C20" s="28">
        <f t="shared" si="0"/>
        <v>-3.0898441551234061E-2</v>
      </c>
      <c r="G20" s="39">
        <v>32203</v>
      </c>
      <c r="H20" s="155">
        <v>14.34</v>
      </c>
      <c r="I20" s="147">
        <f t="shared" si="1"/>
        <v>-3.0898441551234061E-2</v>
      </c>
      <c r="J20" s="158">
        <f>'3month_treasury (2)'!D14</f>
        <v>4.8554090109979714E-3</v>
      </c>
      <c r="K20" s="157">
        <f t="shared" si="2"/>
        <v>-3.5753850562232029E-2</v>
      </c>
      <c r="L20" s="151"/>
    </row>
    <row r="21" spans="1:12" ht="14.25" hidden="1" x14ac:dyDescent="0.2">
      <c r="A21" s="38">
        <v>32237</v>
      </c>
      <c r="B21">
        <v>14.49</v>
      </c>
      <c r="C21" s="28">
        <f t="shared" si="0"/>
        <v>1.040592116111682E-2</v>
      </c>
      <c r="G21" s="39">
        <v>32237</v>
      </c>
      <c r="H21" s="155">
        <v>14.49</v>
      </c>
      <c r="I21" s="147">
        <f t="shared" si="1"/>
        <v>1.040592116111682E-2</v>
      </c>
      <c r="J21" s="158">
        <f>'3month_treasury (2)'!D15</f>
        <v>4.8907496957232982E-3</v>
      </c>
      <c r="K21" s="157">
        <f t="shared" si="2"/>
        <v>5.5151714653935216E-3</v>
      </c>
      <c r="L21" s="151"/>
    </row>
    <row r="22" spans="1:12" ht="14.25" hidden="1" x14ac:dyDescent="0.2">
      <c r="A22" s="38">
        <v>32265</v>
      </c>
      <c r="B22">
        <v>14.6</v>
      </c>
      <c r="C22" s="28">
        <f t="shared" si="0"/>
        <v>7.5627723816997462E-3</v>
      </c>
      <c r="G22" s="39">
        <v>32265</v>
      </c>
      <c r="H22" s="155">
        <v>14.6</v>
      </c>
      <c r="I22" s="147">
        <f t="shared" si="1"/>
        <v>7.5627723816997462E-3</v>
      </c>
      <c r="J22" s="158">
        <f>'3month_treasury (2)'!D16</f>
        <v>5.0765345807847516E-3</v>
      </c>
      <c r="K22" s="157">
        <f t="shared" si="2"/>
        <v>2.4862378009149946E-3</v>
      </c>
      <c r="L22" s="151"/>
    </row>
    <row r="23" spans="1:12" ht="14.25" hidden="1" x14ac:dyDescent="0.2">
      <c r="A23" s="38">
        <v>32295</v>
      </c>
      <c r="B23">
        <v>15.27</v>
      </c>
      <c r="C23" s="28">
        <f t="shared" si="0"/>
        <v>4.4868590516250209E-2</v>
      </c>
      <c r="G23" s="39">
        <v>32295</v>
      </c>
      <c r="H23" s="155">
        <v>15.27</v>
      </c>
      <c r="I23" s="147">
        <f t="shared" si="1"/>
        <v>4.4868590516250209E-2</v>
      </c>
      <c r="J23" s="158">
        <f>'3month_treasury (2)'!D17</f>
        <v>5.3870994577942879E-3</v>
      </c>
      <c r="K23" s="157">
        <f t="shared" si="2"/>
        <v>3.9481491058455921E-2</v>
      </c>
      <c r="L23" s="151"/>
    </row>
    <row r="24" spans="1:12" ht="14.25" hidden="1" x14ac:dyDescent="0.2">
      <c r="A24" s="38">
        <v>32325</v>
      </c>
      <c r="B24">
        <v>15.21</v>
      </c>
      <c r="C24" s="28">
        <f t="shared" si="0"/>
        <v>-3.9370129593395316E-3</v>
      </c>
      <c r="G24" s="39">
        <v>32325</v>
      </c>
      <c r="H24" s="155">
        <v>15.21</v>
      </c>
      <c r="I24" s="147">
        <f t="shared" si="1"/>
        <v>-3.9370129593395316E-3</v>
      </c>
      <c r="J24" s="158">
        <f>'3month_treasury (2)'!D18</f>
        <v>5.5650861408625971E-3</v>
      </c>
      <c r="K24" s="157">
        <f t="shared" si="2"/>
        <v>-9.5020991002021278E-3</v>
      </c>
      <c r="L24" s="151"/>
    </row>
    <row r="25" spans="1:12" ht="14.25" hidden="1" x14ac:dyDescent="0.2">
      <c r="A25" s="38">
        <v>32356</v>
      </c>
      <c r="B25">
        <v>14.7</v>
      </c>
      <c r="C25" s="28">
        <f t="shared" si="0"/>
        <v>-3.4105612486510929E-2</v>
      </c>
      <c r="G25" s="39">
        <v>32356</v>
      </c>
      <c r="H25" s="155">
        <v>14.7</v>
      </c>
      <c r="I25" s="147">
        <f t="shared" si="1"/>
        <v>-3.4105612486510929E-2</v>
      </c>
      <c r="J25" s="158">
        <f>'3month_treasury (2)'!D19</f>
        <v>5.8059727707765992E-3</v>
      </c>
      <c r="K25" s="157">
        <f t="shared" si="2"/>
        <v>-3.9911585257287531E-2</v>
      </c>
      <c r="L25" s="151"/>
    </row>
    <row r="26" spans="1:12" ht="14.25" hidden="1" x14ac:dyDescent="0.2">
      <c r="A26" s="38">
        <v>32387</v>
      </c>
      <c r="B26">
        <v>15.32</v>
      </c>
      <c r="C26" s="28">
        <f t="shared" si="0"/>
        <v>4.1311670527754751E-2</v>
      </c>
      <c r="G26" s="39">
        <v>32387</v>
      </c>
      <c r="H26" s="155">
        <v>15.32</v>
      </c>
      <c r="I26" s="147">
        <f t="shared" si="1"/>
        <v>4.1311670527754751E-2</v>
      </c>
      <c r="J26" s="158">
        <f>'3month_treasury (2)'!D20</f>
        <v>6.1013385276049324E-3</v>
      </c>
      <c r="K26" s="157">
        <f t="shared" si="2"/>
        <v>3.5210332000149822E-2</v>
      </c>
      <c r="L26" s="151"/>
    </row>
    <row r="27" spans="1:12" ht="14.25" hidden="1" x14ac:dyDescent="0.2">
      <c r="A27" s="38">
        <v>32419</v>
      </c>
      <c r="B27">
        <v>15.74</v>
      </c>
      <c r="C27" s="28">
        <f t="shared" si="0"/>
        <v>2.7046078676811899E-2</v>
      </c>
      <c r="G27" s="39">
        <v>32419</v>
      </c>
      <c r="H27" s="155">
        <v>15.74</v>
      </c>
      <c r="I27" s="147">
        <f t="shared" si="1"/>
        <v>2.7046078676811899E-2</v>
      </c>
      <c r="J27" s="158">
        <f>'3month_treasury (2)'!D21</f>
        <v>6.2628894667300398E-3</v>
      </c>
      <c r="K27" s="157">
        <f t="shared" si="2"/>
        <v>2.0783189210081859E-2</v>
      </c>
      <c r="L27" s="151"/>
    </row>
    <row r="28" spans="1:12" ht="14.25" hidden="1" x14ac:dyDescent="0.2">
      <c r="A28" s="38">
        <v>32448</v>
      </c>
      <c r="B28">
        <v>15.51</v>
      </c>
      <c r="C28" s="28">
        <f t="shared" si="0"/>
        <v>-1.4720265800809715E-2</v>
      </c>
      <c r="G28" s="39">
        <v>32448</v>
      </c>
      <c r="H28" s="155">
        <v>15.51</v>
      </c>
      <c r="I28" s="147">
        <f t="shared" si="1"/>
        <v>-1.4720265800809715E-2</v>
      </c>
      <c r="J28" s="158">
        <f>'3month_treasury (2)'!D22</f>
        <v>6.3617694380602059E-3</v>
      </c>
      <c r="K28" s="157">
        <f t="shared" si="2"/>
        <v>-2.1082035238869923E-2</v>
      </c>
      <c r="L28" s="151"/>
    </row>
    <row r="29" spans="1:12" ht="14.25" hidden="1" x14ac:dyDescent="0.2">
      <c r="A29" s="38">
        <v>32478</v>
      </c>
      <c r="B29">
        <v>15.78</v>
      </c>
      <c r="C29" s="28">
        <f t="shared" si="0"/>
        <v>1.7258338229280783E-2</v>
      </c>
      <c r="G29" s="39">
        <v>32478</v>
      </c>
      <c r="H29" s="155">
        <v>15.78</v>
      </c>
      <c r="I29" s="147">
        <f t="shared" si="1"/>
        <v>1.7258338229280783E-2</v>
      </c>
      <c r="J29" s="158">
        <f>'3month_treasury (2)'!D23</f>
        <v>6.7313591689406602E-3</v>
      </c>
      <c r="K29" s="157">
        <f t="shared" si="2"/>
        <v>1.0526979060340124E-2</v>
      </c>
      <c r="L29" s="151"/>
    </row>
    <row r="30" spans="1:12" ht="14.25" hidden="1" x14ac:dyDescent="0.2">
      <c r="A30" s="38">
        <v>32511</v>
      </c>
      <c r="B30">
        <v>16.940000000000001</v>
      </c>
      <c r="C30" s="28">
        <f t="shared" si="0"/>
        <v>7.0934373806180256E-2</v>
      </c>
      <c r="G30" s="39">
        <v>32511</v>
      </c>
      <c r="H30" s="155">
        <v>16.940000000000001</v>
      </c>
      <c r="I30" s="147">
        <f t="shared" si="1"/>
        <v>7.0934373806180256E-2</v>
      </c>
      <c r="J30" s="158">
        <f>'3month_treasury (2)'!D24</f>
        <v>7.0118973427023279E-3</v>
      </c>
      <c r="K30" s="157">
        <f t="shared" si="2"/>
        <v>6.3922476463477929E-2</v>
      </c>
      <c r="L30" s="151"/>
    </row>
    <row r="31" spans="1:12" ht="14.25" hidden="1" x14ac:dyDescent="0.2">
      <c r="A31" s="38">
        <v>32540</v>
      </c>
      <c r="B31">
        <v>16.52</v>
      </c>
      <c r="C31" s="28">
        <f t="shared" si="0"/>
        <v>-2.5105921131076472E-2</v>
      </c>
      <c r="G31" s="39">
        <v>32540</v>
      </c>
      <c r="H31" s="155">
        <v>16.52</v>
      </c>
      <c r="I31" s="147">
        <f t="shared" si="1"/>
        <v>-2.5105921131076472E-2</v>
      </c>
      <c r="J31" s="158">
        <f>'3month_treasury (2)'!D25</f>
        <v>7.1933922055439281E-3</v>
      </c>
      <c r="K31" s="157">
        <f t="shared" si="2"/>
        <v>-3.2299313336620401E-2</v>
      </c>
      <c r="L31" s="151"/>
    </row>
    <row r="32" spans="1:12" ht="14.25" hidden="1" x14ac:dyDescent="0.2">
      <c r="A32" s="38">
        <v>32568</v>
      </c>
      <c r="B32">
        <v>16.89</v>
      </c>
      <c r="C32" s="28">
        <f t="shared" si="0"/>
        <v>2.2149962726876766E-2</v>
      </c>
      <c r="G32" s="39">
        <v>32568</v>
      </c>
      <c r="H32" s="155">
        <v>16.89</v>
      </c>
      <c r="I32" s="147">
        <f t="shared" si="1"/>
        <v>2.2149962726876766E-2</v>
      </c>
      <c r="J32" s="158">
        <f>'3month_treasury (2)'!D26</f>
        <v>7.4299280266515201E-3</v>
      </c>
      <c r="K32" s="157">
        <f t="shared" si="2"/>
        <v>1.4720034700225246E-2</v>
      </c>
      <c r="L32" s="151"/>
    </row>
    <row r="33" spans="1:12" ht="14.25" hidden="1" x14ac:dyDescent="0.2">
      <c r="A33" s="38">
        <v>32601</v>
      </c>
      <c r="B33">
        <v>17.77</v>
      </c>
      <c r="C33" s="28">
        <f t="shared" si="0"/>
        <v>5.0789911346851187E-2</v>
      </c>
      <c r="G33" s="39">
        <v>32601</v>
      </c>
      <c r="H33" s="155">
        <v>17.77</v>
      </c>
      <c r="I33" s="147">
        <f t="shared" si="1"/>
        <v>5.0789911346851187E-2</v>
      </c>
      <c r="J33" s="158">
        <f>'3month_treasury (2)'!D27</f>
        <v>7.6945509335663229E-3</v>
      </c>
      <c r="K33" s="157">
        <f t="shared" si="2"/>
        <v>4.3095360413284864E-2</v>
      </c>
      <c r="L33" s="151"/>
    </row>
    <row r="34" spans="1:12" ht="14.25" hidden="1" x14ac:dyDescent="0.2">
      <c r="A34" s="38">
        <v>32629</v>
      </c>
      <c r="B34">
        <v>18.489999999999998</v>
      </c>
      <c r="C34" s="28">
        <f t="shared" si="0"/>
        <v>3.971840323247345E-2</v>
      </c>
      <c r="G34" s="39">
        <v>32629</v>
      </c>
      <c r="H34" s="155">
        <v>18.489999999999998</v>
      </c>
      <c r="I34" s="147">
        <f t="shared" si="1"/>
        <v>3.971840323247345E-2</v>
      </c>
      <c r="J34" s="158">
        <f>'3month_treasury (2)'!D28</f>
        <v>7.5393252636729753E-3</v>
      </c>
      <c r="K34" s="157">
        <f t="shared" si="2"/>
        <v>3.2179077968800471E-2</v>
      </c>
      <c r="L34" s="151"/>
    </row>
    <row r="35" spans="1:12" ht="14.25" hidden="1" x14ac:dyDescent="0.2">
      <c r="A35" s="38">
        <v>32660</v>
      </c>
      <c r="B35">
        <v>18.38</v>
      </c>
      <c r="C35" s="28">
        <f t="shared" si="0"/>
        <v>-5.9669284714925037E-3</v>
      </c>
      <c r="G35" s="39">
        <v>32660</v>
      </c>
      <c r="H35" s="155">
        <v>18.38</v>
      </c>
      <c r="I35" s="147">
        <f t="shared" si="1"/>
        <v>-5.9669284714925037E-3</v>
      </c>
      <c r="J35" s="158">
        <f>'3month_treasury (2)'!D29</f>
        <v>7.3388732390375624E-3</v>
      </c>
      <c r="K35" s="157">
        <f t="shared" si="2"/>
        <v>-1.3305801710530066E-2</v>
      </c>
      <c r="L35" s="151"/>
    </row>
    <row r="36" spans="1:12" ht="14.25" hidden="1" x14ac:dyDescent="0.2">
      <c r="A36" s="38">
        <v>32692</v>
      </c>
      <c r="B36">
        <v>20.03</v>
      </c>
      <c r="C36" s="28">
        <f t="shared" si="0"/>
        <v>8.5968032750186024E-2</v>
      </c>
      <c r="G36" s="39">
        <v>32692</v>
      </c>
      <c r="H36" s="155">
        <v>20.03</v>
      </c>
      <c r="I36" s="147">
        <f t="shared" si="1"/>
        <v>8.5968032750186024E-2</v>
      </c>
      <c r="J36" s="158">
        <f>'3month_treasury (2)'!D30</f>
        <v>7.0844478605797392E-3</v>
      </c>
      <c r="K36" s="157">
        <f t="shared" si="2"/>
        <v>7.8883584889606284E-2</v>
      </c>
      <c r="L36" s="151"/>
    </row>
    <row r="37" spans="1:12" ht="14.25" hidden="1" x14ac:dyDescent="0.2">
      <c r="A37" s="38">
        <v>32721</v>
      </c>
      <c r="B37">
        <v>20.399999999999999</v>
      </c>
      <c r="C37" s="28">
        <f t="shared" si="0"/>
        <v>1.830375117244365E-2</v>
      </c>
      <c r="G37" s="39">
        <v>32721</v>
      </c>
      <c r="H37" s="155">
        <v>20.399999999999999</v>
      </c>
      <c r="I37" s="147">
        <f t="shared" si="1"/>
        <v>1.830375117244365E-2</v>
      </c>
      <c r="J37" s="158">
        <f>'3month_treasury (2)'!D31</f>
        <v>6.839842586300565E-3</v>
      </c>
      <c r="K37" s="157">
        <f t="shared" si="2"/>
        <v>1.1463908586143084E-2</v>
      </c>
      <c r="L37" s="151"/>
    </row>
    <row r="38" spans="1:12" ht="14.25" hidden="1" x14ac:dyDescent="0.2">
      <c r="A38" s="38">
        <v>32752</v>
      </c>
      <c r="B38">
        <v>20.32</v>
      </c>
      <c r="C38" s="28">
        <f t="shared" si="0"/>
        <v>-3.9292781398894382E-3</v>
      </c>
      <c r="G38" s="39">
        <v>32752</v>
      </c>
      <c r="H38" s="155">
        <v>20.32</v>
      </c>
      <c r="I38" s="147">
        <f t="shared" si="1"/>
        <v>-3.9292781398894382E-3</v>
      </c>
      <c r="J38" s="158">
        <f>'3month_treasury (2)'!D32</f>
        <v>6.85793689390252E-3</v>
      </c>
      <c r="K38" s="157">
        <f t="shared" si="2"/>
        <v>-1.0787215033791958E-2</v>
      </c>
      <c r="L38" s="151"/>
    </row>
    <row r="39" spans="1:12" ht="14.25" hidden="1" x14ac:dyDescent="0.2">
      <c r="A39" s="38">
        <v>32783</v>
      </c>
      <c r="B39">
        <v>19.850000000000001</v>
      </c>
      <c r="C39" s="28">
        <f t="shared" si="0"/>
        <v>-2.3401615577081682E-2</v>
      </c>
      <c r="G39" s="39">
        <v>32783</v>
      </c>
      <c r="H39" s="155">
        <v>19.850000000000001</v>
      </c>
      <c r="I39" s="147">
        <f t="shared" si="1"/>
        <v>-2.3401615577081682E-2</v>
      </c>
      <c r="J39" s="158">
        <f>'3month_treasury (2)'!D33</f>
        <v>6.7223252556212259E-3</v>
      </c>
      <c r="K39" s="157">
        <f t="shared" si="2"/>
        <v>-3.0123940832702908E-2</v>
      </c>
      <c r="L39" s="151"/>
    </row>
    <row r="40" spans="1:12" ht="14.25" hidden="1" x14ac:dyDescent="0.2">
      <c r="A40" s="38">
        <v>32813</v>
      </c>
      <c r="B40">
        <v>20.25</v>
      </c>
      <c r="C40" s="28">
        <f t="shared" si="0"/>
        <v>1.9950786419348693E-2</v>
      </c>
      <c r="G40" s="39">
        <v>32813</v>
      </c>
      <c r="H40" s="155">
        <v>20.25</v>
      </c>
      <c r="I40" s="147">
        <f t="shared" si="1"/>
        <v>1.9950786419348693E-2</v>
      </c>
      <c r="J40" s="158">
        <f>'3month_treasury (2)'!D34</f>
        <v>6.6230167918164039E-3</v>
      </c>
      <c r="K40" s="157">
        <f t="shared" si="2"/>
        <v>1.332776962753229E-2</v>
      </c>
      <c r="L40" s="151"/>
    </row>
    <row r="41" spans="1:12" ht="14.25" hidden="1" x14ac:dyDescent="0.2">
      <c r="A41" s="38">
        <v>32843</v>
      </c>
      <c r="B41">
        <v>20.74</v>
      </c>
      <c r="C41" s="28">
        <f t="shared" si="0"/>
        <v>2.3909409248833106E-2</v>
      </c>
      <c r="G41" s="39">
        <v>32843</v>
      </c>
      <c r="H41" s="155">
        <v>20.74</v>
      </c>
      <c r="I41" s="147">
        <f t="shared" si="1"/>
        <v>2.3909409248833106E-2</v>
      </c>
      <c r="J41" s="158">
        <f>'3month_treasury (2)'!D35</f>
        <v>6.6681423321692619E-3</v>
      </c>
      <c r="K41" s="157">
        <f t="shared" si="2"/>
        <v>1.7241266916663844E-2</v>
      </c>
      <c r="L41" s="151"/>
    </row>
    <row r="42" spans="1:12" ht="14.25" hidden="1" x14ac:dyDescent="0.2">
      <c r="A42" s="38">
        <v>32875</v>
      </c>
      <c r="B42">
        <v>19.34</v>
      </c>
      <c r="C42" s="28">
        <f t="shared" si="0"/>
        <v>-6.9888712776232931E-2</v>
      </c>
      <c r="G42" s="39">
        <v>32875</v>
      </c>
      <c r="H42" s="155">
        <v>19.34</v>
      </c>
      <c r="I42" s="147">
        <f t="shared" si="1"/>
        <v>-6.9888712776232931E-2</v>
      </c>
      <c r="J42" s="158">
        <f>'3month_treasury (2)'!D36</f>
        <v>6.6139946152977214E-3</v>
      </c>
      <c r="K42" s="157">
        <f t="shared" si="2"/>
        <v>-7.6502707391530658E-2</v>
      </c>
      <c r="L42" s="151"/>
    </row>
    <row r="43" spans="1:12" ht="14.25" hidden="1" x14ac:dyDescent="0.2">
      <c r="A43" s="38">
        <v>32905</v>
      </c>
      <c r="B43">
        <v>19.59</v>
      </c>
      <c r="C43" s="28">
        <f t="shared" si="0"/>
        <v>1.2843741931301134E-2</v>
      </c>
      <c r="G43" s="39">
        <v>32905</v>
      </c>
      <c r="H43" s="155">
        <v>19.59</v>
      </c>
      <c r="I43" s="147">
        <f t="shared" si="1"/>
        <v>1.2843741931301134E-2</v>
      </c>
      <c r="J43" s="158">
        <f>'3month_treasury (2)'!D37</f>
        <v>6.6230167918164039E-3</v>
      </c>
      <c r="K43" s="157">
        <f t="shared" si="2"/>
        <v>6.2207251394847301E-3</v>
      </c>
      <c r="L43" s="151"/>
    </row>
    <row r="44" spans="1:12" ht="14.25" hidden="1" x14ac:dyDescent="0.2">
      <c r="A44" s="38">
        <v>32933</v>
      </c>
      <c r="B44">
        <v>20.100000000000001</v>
      </c>
      <c r="C44" s="28">
        <f t="shared" si="0"/>
        <v>2.5700583108580703E-2</v>
      </c>
      <c r="G44" s="39">
        <v>32933</v>
      </c>
      <c r="H44" s="155">
        <v>20.100000000000001</v>
      </c>
      <c r="I44" s="147">
        <f t="shared" si="1"/>
        <v>2.5700583108580703E-2</v>
      </c>
      <c r="J44" s="158">
        <f>'3month_treasury (2)'!D38</f>
        <v>6.713292321534732E-3</v>
      </c>
      <c r="K44" s="157">
        <f t="shared" si="2"/>
        <v>1.898729078704597E-2</v>
      </c>
      <c r="L44" s="151"/>
    </row>
    <row r="45" spans="1:12" ht="14.25" hidden="1" x14ac:dyDescent="0.2">
      <c r="A45" s="38">
        <v>32965</v>
      </c>
      <c r="B45">
        <v>19.600000000000001</v>
      </c>
      <c r="C45" s="28">
        <f t="shared" si="0"/>
        <v>-2.5190248828558519E-2</v>
      </c>
      <c r="G45" s="39">
        <v>32965</v>
      </c>
      <c r="H45" s="155">
        <v>19.600000000000001</v>
      </c>
      <c r="I45" s="147">
        <f t="shared" si="1"/>
        <v>-2.5190248828558519E-2</v>
      </c>
      <c r="J45" s="158">
        <f>'3month_treasury (2)'!D39</f>
        <v>6.85793689390252E-3</v>
      </c>
      <c r="K45" s="157">
        <f t="shared" si="2"/>
        <v>-3.2048185722461042E-2</v>
      </c>
      <c r="L45" s="151"/>
    </row>
    <row r="46" spans="1:12" ht="14.25" hidden="1" x14ac:dyDescent="0.2">
      <c r="A46" s="38">
        <v>32994</v>
      </c>
      <c r="B46">
        <v>21.5</v>
      </c>
      <c r="C46" s="28">
        <f t="shared" si="0"/>
        <v>9.2523368897145519E-2</v>
      </c>
      <c r="G46" s="39">
        <v>32994</v>
      </c>
      <c r="H46" s="155">
        <v>21.5</v>
      </c>
      <c r="I46" s="147">
        <f t="shared" si="1"/>
        <v>9.2523368897145519E-2</v>
      </c>
      <c r="J46" s="158">
        <f>'3month_treasury (2)'!D40</f>
        <v>6.7403940617053225E-3</v>
      </c>
      <c r="K46" s="157">
        <f t="shared" si="2"/>
        <v>8.5782974835440201E-2</v>
      </c>
      <c r="L46" s="151"/>
    </row>
    <row r="47" spans="1:12" ht="14.25" hidden="1" x14ac:dyDescent="0.2">
      <c r="A47" s="38">
        <v>33025</v>
      </c>
      <c r="B47">
        <v>21.36</v>
      </c>
      <c r="C47" s="28">
        <f t="shared" si="0"/>
        <v>-6.5329210416230719E-3</v>
      </c>
      <c r="G47" s="39">
        <v>33025</v>
      </c>
      <c r="H47" s="155">
        <v>21.36</v>
      </c>
      <c r="I47" s="147">
        <f t="shared" si="1"/>
        <v>-6.5329210416230719E-3</v>
      </c>
      <c r="J47" s="158">
        <f>'3month_treasury (2)'!D41</f>
        <v>6.713292321534732E-3</v>
      </c>
      <c r="K47" s="157">
        <f t="shared" si="2"/>
        <v>-1.3246213363157804E-2</v>
      </c>
      <c r="L47" s="151"/>
    </row>
    <row r="48" spans="1:12" ht="14.25" hidden="1" x14ac:dyDescent="0.2">
      <c r="A48" s="38">
        <v>33056</v>
      </c>
      <c r="B48">
        <v>21.28</v>
      </c>
      <c r="C48" s="28">
        <f t="shared" si="0"/>
        <v>-3.7523496185503527E-3</v>
      </c>
      <c r="G48" s="39">
        <v>33056</v>
      </c>
      <c r="H48" s="155">
        <v>21.28</v>
      </c>
      <c r="I48" s="147">
        <f t="shared" si="1"/>
        <v>-3.7523496185503527E-3</v>
      </c>
      <c r="J48" s="158">
        <f>'3month_treasury (2)'!D42</f>
        <v>6.7042603664689083E-3</v>
      </c>
      <c r="K48" s="157">
        <f t="shared" si="2"/>
        <v>-1.0456609985019261E-2</v>
      </c>
      <c r="L48" s="151"/>
    </row>
    <row r="49" spans="1:12" ht="14.25" hidden="1" x14ac:dyDescent="0.2">
      <c r="A49" s="38">
        <v>33086</v>
      </c>
      <c r="B49">
        <v>19.36</v>
      </c>
      <c r="C49" s="28">
        <f t="shared" si="0"/>
        <v>-9.4558582625012794E-2</v>
      </c>
      <c r="G49" s="39">
        <v>33086</v>
      </c>
      <c r="H49" s="155">
        <v>19.36</v>
      </c>
      <c r="I49" s="147">
        <f t="shared" si="1"/>
        <v>-9.4558582625012794E-2</v>
      </c>
      <c r="J49" s="158">
        <f>'3month_treasury (2)'!D43</f>
        <v>6.6049734154693387E-3</v>
      </c>
      <c r="K49" s="157">
        <f t="shared" si="2"/>
        <v>-0.10116355604048213</v>
      </c>
      <c r="L49" s="151"/>
    </row>
    <row r="50" spans="1:12" ht="14.25" hidden="1" x14ac:dyDescent="0.2">
      <c r="A50" s="38">
        <v>33120</v>
      </c>
      <c r="B50">
        <v>18.41</v>
      </c>
      <c r="C50" s="28">
        <f t="shared" si="0"/>
        <v>-5.0315086603444428E-2</v>
      </c>
      <c r="G50" s="39">
        <v>33120</v>
      </c>
      <c r="H50" s="155">
        <v>18.41</v>
      </c>
      <c r="I50" s="147">
        <f t="shared" si="1"/>
        <v>-5.0315086603444428E-2</v>
      </c>
      <c r="J50" s="158">
        <f>'3month_treasury (2)'!D44</f>
        <v>6.4517622473820669E-3</v>
      </c>
      <c r="K50" s="157">
        <f t="shared" si="2"/>
        <v>-5.6766848850826494E-2</v>
      </c>
      <c r="L50" s="151"/>
    </row>
    <row r="51" spans="1:12" ht="14.25" hidden="1" x14ac:dyDescent="0.2">
      <c r="A51" s="38">
        <v>33147</v>
      </c>
      <c r="B51">
        <v>18.34</v>
      </c>
      <c r="C51" s="28">
        <f t="shared" si="0"/>
        <v>-3.8095284166677302E-3</v>
      </c>
      <c r="G51" s="39">
        <v>33147</v>
      </c>
      <c r="H51" s="155">
        <v>18.34</v>
      </c>
      <c r="I51" s="147">
        <f t="shared" si="1"/>
        <v>-3.8095284166677302E-3</v>
      </c>
      <c r="J51" s="158">
        <f>'3month_treasury (2)'!D45</f>
        <v>6.3707643469505144E-3</v>
      </c>
      <c r="K51" s="157">
        <f t="shared" si="2"/>
        <v>-1.0180292763618246E-2</v>
      </c>
      <c r="L51" s="151"/>
    </row>
    <row r="52" spans="1:12" ht="14.25" hidden="1" x14ac:dyDescent="0.2">
      <c r="A52" s="38">
        <v>33178</v>
      </c>
      <c r="B52">
        <v>19.52</v>
      </c>
      <c r="C52" s="28">
        <f t="shared" si="0"/>
        <v>6.2355114156627693E-2</v>
      </c>
      <c r="G52" s="39">
        <v>33178</v>
      </c>
      <c r="H52" s="155">
        <v>19.52</v>
      </c>
      <c r="I52" s="147">
        <f t="shared" si="1"/>
        <v>6.2355114156627693E-2</v>
      </c>
      <c r="J52" s="158">
        <f>'3month_treasury (2)'!D46</f>
        <v>6.2000268813541806E-3</v>
      </c>
      <c r="K52" s="157">
        <f t="shared" si="2"/>
        <v>5.6155087275273512E-2</v>
      </c>
      <c r="L52" s="151"/>
    </row>
    <row r="53" spans="1:12" ht="14.25" hidden="1" x14ac:dyDescent="0.2">
      <c r="A53" s="38">
        <v>33210</v>
      </c>
      <c r="B53">
        <v>20.04</v>
      </c>
      <c r="C53" s="28">
        <f t="shared" si="0"/>
        <v>2.6290695231717516E-2</v>
      </c>
      <c r="G53" s="39">
        <v>33210</v>
      </c>
      <c r="H53" s="155">
        <v>20.04</v>
      </c>
      <c r="I53" s="147">
        <f t="shared" si="1"/>
        <v>2.6290695231717516E-2</v>
      </c>
      <c r="J53" s="158">
        <f>'3month_treasury (2)'!D47</f>
        <v>6.1013385276049324E-3</v>
      </c>
      <c r="K53" s="157">
        <f t="shared" si="2"/>
        <v>2.0189356704112583E-2</v>
      </c>
      <c r="L53" s="151"/>
    </row>
    <row r="54" spans="1:12" ht="14.25" hidden="1" x14ac:dyDescent="0.2">
      <c r="A54" s="38">
        <v>33240</v>
      </c>
      <c r="B54">
        <v>20.91</v>
      </c>
      <c r="C54" s="28">
        <f t="shared" si="0"/>
        <v>4.2497237223878138E-2</v>
      </c>
      <c r="G54" s="39">
        <v>33240</v>
      </c>
      <c r="H54" s="155">
        <v>20.91</v>
      </c>
      <c r="I54" s="147">
        <f t="shared" si="1"/>
        <v>4.2497237223878138E-2</v>
      </c>
      <c r="J54" s="158">
        <f>'3month_treasury (2)'!D48</f>
        <v>5.8149078839930396E-3</v>
      </c>
      <c r="K54" s="157">
        <f t="shared" si="2"/>
        <v>3.6682329339885099E-2</v>
      </c>
      <c r="L54" s="151"/>
    </row>
    <row r="55" spans="1:12" ht="14.25" hidden="1" x14ac:dyDescent="0.2">
      <c r="A55" s="38">
        <v>33270</v>
      </c>
      <c r="B55">
        <v>22.4</v>
      </c>
      <c r="C55" s="28">
        <f t="shared" si="0"/>
        <v>6.8833445420451986E-2</v>
      </c>
      <c r="G55" s="39">
        <v>33270</v>
      </c>
      <c r="H55" s="155">
        <v>22.4</v>
      </c>
      <c r="I55" s="147">
        <f t="shared" si="1"/>
        <v>6.8833445420451986E-2</v>
      </c>
      <c r="J55" s="158">
        <f>'3month_treasury (2)'!D49</f>
        <v>5.351547693887587E-3</v>
      </c>
      <c r="K55" s="157">
        <f t="shared" si="2"/>
        <v>6.3481897726564401E-2</v>
      </c>
      <c r="L55" s="151"/>
    </row>
    <row r="56" spans="1:12" ht="14.25" hidden="1" x14ac:dyDescent="0.2">
      <c r="A56" s="38">
        <v>33298</v>
      </c>
      <c r="B56">
        <v>22.94</v>
      </c>
      <c r="C56" s="28">
        <f t="shared" si="0"/>
        <v>2.3821152840230488E-2</v>
      </c>
      <c r="G56" s="39">
        <v>33298</v>
      </c>
      <c r="H56" s="155">
        <v>22.94</v>
      </c>
      <c r="I56" s="147">
        <f t="shared" si="1"/>
        <v>2.3821152840230488E-2</v>
      </c>
      <c r="J56" s="158">
        <f>'3month_treasury (2)'!D50</f>
        <v>5.1031091225991242E-3</v>
      </c>
      <c r="K56" s="157">
        <f t="shared" si="2"/>
        <v>1.8718043717631364E-2</v>
      </c>
      <c r="L56" s="151"/>
    </row>
    <row r="57" spans="1:12" ht="14.25" hidden="1" x14ac:dyDescent="0.2">
      <c r="A57" s="38">
        <v>33329</v>
      </c>
      <c r="B57">
        <v>22.99</v>
      </c>
      <c r="C57" s="28">
        <f t="shared" si="0"/>
        <v>2.1772270738653191E-3</v>
      </c>
      <c r="G57" s="39">
        <v>33329</v>
      </c>
      <c r="H57" s="155">
        <v>22.99</v>
      </c>
      <c r="I57" s="147">
        <f t="shared" si="1"/>
        <v>2.1772270738653191E-3</v>
      </c>
      <c r="J57" s="158">
        <f>'3month_treasury (2)'!D51</f>
        <v>5.0765345807847516E-3</v>
      </c>
      <c r="K57" s="157">
        <f t="shared" si="2"/>
        <v>-2.8993075069194325E-3</v>
      </c>
      <c r="L57" s="151"/>
    </row>
    <row r="58" spans="1:12" ht="14.25" hidden="1" x14ac:dyDescent="0.2">
      <c r="A58" s="38">
        <v>33359</v>
      </c>
      <c r="B58">
        <v>23.97</v>
      </c>
      <c r="C58" s="28">
        <f t="shared" si="0"/>
        <v>4.174370967120275E-2</v>
      </c>
      <c r="G58" s="39">
        <v>33359</v>
      </c>
      <c r="H58" s="155">
        <v>23.97</v>
      </c>
      <c r="I58" s="147">
        <f t="shared" si="1"/>
        <v>4.174370967120275E-2</v>
      </c>
      <c r="J58" s="158">
        <f>'3month_treasury (2)'!D52</f>
        <v>4.8465761811276797E-3</v>
      </c>
      <c r="K58" s="157">
        <f t="shared" si="2"/>
        <v>3.6897133490075069E-2</v>
      </c>
      <c r="L58" s="151"/>
    </row>
    <row r="59" spans="1:12" ht="14.25" hidden="1" x14ac:dyDescent="0.2">
      <c r="A59" s="38">
        <v>33392</v>
      </c>
      <c r="B59">
        <v>22.88</v>
      </c>
      <c r="C59" s="28">
        <f t="shared" si="0"/>
        <v>-4.6539881934695826E-2</v>
      </c>
      <c r="G59" s="39">
        <v>33392</v>
      </c>
      <c r="H59" s="155">
        <v>22.88</v>
      </c>
      <c r="I59" s="147">
        <f t="shared" si="1"/>
        <v>-4.6539881934695826E-2</v>
      </c>
      <c r="J59" s="158">
        <f>'3month_treasury (2)'!D53</f>
        <v>4.6789300519167491E-3</v>
      </c>
      <c r="K59" s="157">
        <f t="shared" si="2"/>
        <v>-5.1218811986612572E-2</v>
      </c>
      <c r="L59" s="151"/>
    </row>
    <row r="60" spans="1:12" ht="14.25" hidden="1" x14ac:dyDescent="0.2">
      <c r="A60" s="38">
        <v>33420</v>
      </c>
      <c r="B60">
        <v>23.94</v>
      </c>
      <c r="C60" s="28">
        <f t="shared" si="0"/>
        <v>4.5287533618230069E-2</v>
      </c>
      <c r="G60" s="39">
        <v>33420</v>
      </c>
      <c r="H60" s="155">
        <v>23.94</v>
      </c>
      <c r="I60" s="147">
        <f t="shared" si="1"/>
        <v>4.5287533618230069E-2</v>
      </c>
      <c r="J60" s="158">
        <f>'3month_treasury (2)'!D54</f>
        <v>4.7759472260927886E-3</v>
      </c>
      <c r="K60" s="157">
        <f t="shared" si="2"/>
        <v>4.0511586392137283E-2</v>
      </c>
      <c r="L60" s="151"/>
    </row>
    <row r="61" spans="1:12" ht="14.25" hidden="1" x14ac:dyDescent="0.2">
      <c r="A61" s="38">
        <v>33451</v>
      </c>
      <c r="B61">
        <v>24.49</v>
      </c>
      <c r="C61" s="28">
        <f t="shared" si="0"/>
        <v>2.2714170834249144E-2</v>
      </c>
      <c r="G61" s="39">
        <v>33451</v>
      </c>
      <c r="H61" s="155">
        <v>24.49</v>
      </c>
      <c r="I61" s="147">
        <f t="shared" si="1"/>
        <v>2.2714170834249144E-2</v>
      </c>
      <c r="J61" s="158">
        <f>'3month_treasury (2)'!D55</f>
        <v>4.7847725724958819E-3</v>
      </c>
      <c r="K61" s="157">
        <f t="shared" si="2"/>
        <v>1.7929398261753264E-2</v>
      </c>
      <c r="L61" s="151"/>
    </row>
    <row r="62" spans="1:12" ht="14.25" hidden="1" x14ac:dyDescent="0.2">
      <c r="A62" s="38">
        <v>33484</v>
      </c>
      <c r="B62">
        <v>24.09</v>
      </c>
      <c r="C62" s="28">
        <f t="shared" si="0"/>
        <v>-1.6468054337296371E-2</v>
      </c>
      <c r="G62" s="39">
        <v>33484</v>
      </c>
      <c r="H62" s="155">
        <v>24.09</v>
      </c>
      <c r="I62" s="147">
        <f t="shared" si="1"/>
        <v>-1.6468054337296371E-2</v>
      </c>
      <c r="J62" s="158">
        <f>'3month_treasury (2)'!D56</f>
        <v>4.5644188206076242E-3</v>
      </c>
      <c r="K62" s="157">
        <f t="shared" si="2"/>
        <v>-2.1032473157903995E-2</v>
      </c>
      <c r="L62" s="151"/>
    </row>
    <row r="63" spans="1:12" ht="14.25" hidden="1" x14ac:dyDescent="0.2">
      <c r="A63" s="38">
        <v>33512</v>
      </c>
      <c r="B63">
        <v>24.41</v>
      </c>
      <c r="C63" s="28">
        <f t="shared" si="0"/>
        <v>1.3196067778088684E-2</v>
      </c>
      <c r="G63" s="39">
        <v>33512</v>
      </c>
      <c r="H63" s="155">
        <v>24.41</v>
      </c>
      <c r="I63" s="147">
        <f t="shared" si="1"/>
        <v>1.3196067778088684E-2</v>
      </c>
      <c r="J63" s="158">
        <f>'3month_treasury (2)'!D57</f>
        <v>4.4676474540540877E-3</v>
      </c>
      <c r="K63" s="157">
        <f t="shared" si="2"/>
        <v>8.7284203240345967E-3</v>
      </c>
      <c r="L63" s="151"/>
    </row>
    <row r="64" spans="1:12" ht="14.25" hidden="1" x14ac:dyDescent="0.2">
      <c r="A64" s="38">
        <v>33543</v>
      </c>
      <c r="B64">
        <v>23.43</v>
      </c>
      <c r="C64" s="28">
        <f t="shared" si="0"/>
        <v>-4.0975631885164433E-2</v>
      </c>
      <c r="G64" s="39">
        <v>33543</v>
      </c>
      <c r="H64" s="155">
        <v>23.43</v>
      </c>
      <c r="I64" s="147">
        <f t="shared" si="1"/>
        <v>-4.0975631885164433E-2</v>
      </c>
      <c r="J64" s="158">
        <f>'3month_treasury (2)'!D58</f>
        <v>4.2656697307861032E-3</v>
      </c>
      <c r="K64" s="157">
        <f t="shared" si="2"/>
        <v>-4.5241301615950538E-2</v>
      </c>
      <c r="L64" s="151"/>
    </row>
    <row r="65" spans="1:12" ht="14.25" hidden="1" x14ac:dyDescent="0.2">
      <c r="A65" s="38">
        <v>33574</v>
      </c>
      <c r="B65">
        <v>26.1</v>
      </c>
      <c r="C65" s="28">
        <f t="shared" si="0"/>
        <v>0.10791806180894342</v>
      </c>
      <c r="G65" s="39">
        <v>33574</v>
      </c>
      <c r="H65" s="155">
        <v>26.1</v>
      </c>
      <c r="I65" s="147">
        <f t="shared" si="1"/>
        <v>0.10791806180894342</v>
      </c>
      <c r="J65" s="158">
        <f>'3month_treasury (2)'!D59</f>
        <v>3.889367349869229E-3</v>
      </c>
      <c r="K65" s="157">
        <f t="shared" si="2"/>
        <v>0.10402869445907419</v>
      </c>
      <c r="L65" s="151"/>
    </row>
    <row r="66" spans="1:12" ht="14.25" hidden="1" x14ac:dyDescent="0.2">
      <c r="A66" s="38">
        <v>33605</v>
      </c>
      <c r="B66">
        <v>25.61</v>
      </c>
      <c r="C66" s="28">
        <f t="shared" si="0"/>
        <v>-1.8952414117213878E-2</v>
      </c>
      <c r="G66" s="39">
        <v>33605</v>
      </c>
      <c r="H66" s="155">
        <v>25.61</v>
      </c>
      <c r="I66" s="147">
        <f t="shared" si="1"/>
        <v>-1.8952414117213878E-2</v>
      </c>
      <c r="J66" s="158">
        <f>'3month_treasury (2)'!D60</f>
        <v>3.4626189298529193E-3</v>
      </c>
      <c r="K66" s="157">
        <f t="shared" si="2"/>
        <v>-2.2415033047066796E-2</v>
      </c>
      <c r="L66" s="151"/>
    </row>
    <row r="67" spans="1:12" ht="14.25" hidden="1" x14ac:dyDescent="0.2">
      <c r="A67" s="38">
        <v>33637</v>
      </c>
      <c r="B67">
        <v>25.93</v>
      </c>
      <c r="C67" s="28">
        <f t="shared" si="0"/>
        <v>1.2417699339139112E-2</v>
      </c>
      <c r="G67" s="39">
        <v>33637</v>
      </c>
      <c r="H67" s="155">
        <v>25.93</v>
      </c>
      <c r="I67" s="147">
        <f t="shared" si="1"/>
        <v>1.2417699339139112E-2</v>
      </c>
      <c r="J67" s="158">
        <f>'3month_treasury (2)'!D61</f>
        <v>3.2284023597025512E-3</v>
      </c>
      <c r="K67" s="157">
        <f t="shared" si="2"/>
        <v>9.1892969794365609E-3</v>
      </c>
      <c r="L67" s="151"/>
    </row>
    <row r="68" spans="1:12" ht="14.25" hidden="1" x14ac:dyDescent="0.2">
      <c r="A68" s="38">
        <v>33665</v>
      </c>
      <c r="B68">
        <v>25.43</v>
      </c>
      <c r="C68" s="28">
        <f t="shared" si="0"/>
        <v>-1.9471020116544752E-2</v>
      </c>
      <c r="G68" s="39">
        <v>33665</v>
      </c>
      <c r="H68" s="155">
        <v>25.43</v>
      </c>
      <c r="I68" s="147">
        <f t="shared" si="1"/>
        <v>-1.9471020116544752E-2</v>
      </c>
      <c r="J68" s="158">
        <f>'3month_treasury (2)'!D62</f>
        <v>3.2630596000994901E-3</v>
      </c>
      <c r="K68" s="157">
        <f t="shared" si="2"/>
        <v>-2.2734079716644241E-2</v>
      </c>
      <c r="L68" s="151"/>
    </row>
    <row r="69" spans="1:12" ht="14.25" hidden="1" x14ac:dyDescent="0.2">
      <c r="A69" s="38">
        <v>33695</v>
      </c>
      <c r="B69">
        <v>26.17</v>
      </c>
      <c r="C69" s="28">
        <f t="shared" si="0"/>
        <v>2.8684137108026243E-2</v>
      </c>
      <c r="G69" s="39">
        <v>33695</v>
      </c>
      <c r="H69" s="155">
        <v>26.17</v>
      </c>
      <c r="I69" s="147">
        <f t="shared" si="1"/>
        <v>2.8684137108026243E-2</v>
      </c>
      <c r="J69" s="158">
        <f>'3month_treasury (2)'!D63</f>
        <v>3.4365623347164687E-3</v>
      </c>
      <c r="K69" s="157">
        <f t="shared" si="2"/>
        <v>2.5247574773309772E-2</v>
      </c>
      <c r="L69" s="151"/>
    </row>
    <row r="70" spans="1:12" ht="14.25" hidden="1" x14ac:dyDescent="0.2">
      <c r="A70" s="38">
        <v>33725</v>
      </c>
      <c r="B70">
        <v>26.3</v>
      </c>
      <c r="C70" s="28">
        <f t="shared" si="0"/>
        <v>4.955222641664433E-3</v>
      </c>
      <c r="G70" s="39">
        <v>33725</v>
      </c>
      <c r="H70" s="155">
        <v>26.3</v>
      </c>
      <c r="I70" s="147">
        <f t="shared" si="1"/>
        <v>4.955222641664433E-3</v>
      </c>
      <c r="J70" s="158">
        <f>'3month_treasury (2)'!D64</f>
        <v>3.1851010683498059E-3</v>
      </c>
      <c r="K70" s="157">
        <f t="shared" si="2"/>
        <v>1.770121573314627E-3</v>
      </c>
      <c r="L70" s="151"/>
    </row>
    <row r="71" spans="1:12" ht="14.25" hidden="1" x14ac:dyDescent="0.2">
      <c r="A71" s="38">
        <v>33756</v>
      </c>
      <c r="B71">
        <v>25.91</v>
      </c>
      <c r="C71" s="28">
        <f t="shared" si="0"/>
        <v>-1.4939944609700313E-2</v>
      </c>
      <c r="G71" s="39">
        <v>33756</v>
      </c>
      <c r="H71" s="155">
        <v>25.91</v>
      </c>
      <c r="I71" s="147">
        <f t="shared" si="1"/>
        <v>-1.4939944609700313E-2</v>
      </c>
      <c r="J71" s="158">
        <f>'3month_treasury (2)'!D65</f>
        <v>3.0812696770746045E-3</v>
      </c>
      <c r="K71" s="157">
        <f t="shared" si="2"/>
        <v>-1.8021214286774917E-2</v>
      </c>
      <c r="L71" s="151"/>
    </row>
    <row r="72" spans="1:12" ht="14.25" hidden="1" x14ac:dyDescent="0.2">
      <c r="A72" s="38">
        <v>33786</v>
      </c>
      <c r="B72">
        <v>26.95</v>
      </c>
      <c r="C72" s="28">
        <f t="shared" si="0"/>
        <v>3.9354302780987602E-2</v>
      </c>
      <c r="G72" s="39">
        <v>33786</v>
      </c>
      <c r="H72" s="155">
        <v>26.95</v>
      </c>
      <c r="I72" s="147">
        <f t="shared" si="1"/>
        <v>3.9354302780987602E-2</v>
      </c>
      <c r="J72" s="158">
        <f>'3month_treasury (2)'!D66</f>
        <v>3.1072153988347135E-3</v>
      </c>
      <c r="K72" s="157">
        <f t="shared" si="2"/>
        <v>3.624708738215289E-2</v>
      </c>
      <c r="L72" s="151"/>
    </row>
    <row r="73" spans="1:12" ht="14.25" hidden="1" x14ac:dyDescent="0.2">
      <c r="A73" s="38">
        <v>33819</v>
      </c>
      <c r="B73">
        <v>26.4</v>
      </c>
      <c r="C73" s="28">
        <f t="shared" si="0"/>
        <v>-2.0619287202735703E-2</v>
      </c>
      <c r="G73" s="39">
        <v>33819</v>
      </c>
      <c r="H73" s="155">
        <v>26.4</v>
      </c>
      <c r="I73" s="147">
        <f t="shared" si="1"/>
        <v>-2.0619287202735703E-2</v>
      </c>
      <c r="J73" s="158">
        <f>'3month_treasury (2)'!D67</f>
        <v>2.7188752355911758E-3</v>
      </c>
      <c r="K73" s="157">
        <f t="shared" si="2"/>
        <v>-2.3338162438326877E-2</v>
      </c>
      <c r="L73" s="151"/>
    </row>
    <row r="74" spans="1:12" ht="14.25" hidden="1" x14ac:dyDescent="0.2">
      <c r="A74" s="38">
        <v>33848</v>
      </c>
      <c r="B74">
        <v>26.7</v>
      </c>
      <c r="C74" s="28">
        <f t="shared" ref="C74:C137" si="3">LN(B74/B73)</f>
        <v>1.1299555253933466E-2</v>
      </c>
      <c r="G74" s="39">
        <v>33848</v>
      </c>
      <c r="H74" s="155">
        <v>26.7</v>
      </c>
      <c r="I74" s="147">
        <f t="shared" ref="I74:I137" si="4">LN(H74/H73)</f>
        <v>1.1299555253933466E-2</v>
      </c>
      <c r="J74" s="158">
        <f>'3month_treasury (2)'!D68</f>
        <v>2.6500260458164758E-3</v>
      </c>
      <c r="K74" s="157">
        <f t="shared" ref="K74:K137" si="5">I74-J74</f>
        <v>8.6495292081169902E-3</v>
      </c>
      <c r="L74" s="151"/>
    </row>
    <row r="75" spans="1:12" ht="14.25" hidden="1" x14ac:dyDescent="0.2">
      <c r="A75" s="38">
        <v>33878</v>
      </c>
      <c r="B75">
        <v>26.79</v>
      </c>
      <c r="C75" s="28">
        <f t="shared" si="3"/>
        <v>3.3651181503135548E-3</v>
      </c>
      <c r="G75" s="39">
        <v>33878</v>
      </c>
      <c r="H75" s="155">
        <v>26.79</v>
      </c>
      <c r="I75" s="147">
        <f t="shared" si="4"/>
        <v>3.3651181503135548E-3</v>
      </c>
      <c r="J75" s="158">
        <f>'3month_treasury (2)'!D69</f>
        <v>2.4609835505031486E-3</v>
      </c>
      <c r="K75" s="157">
        <f t="shared" si="5"/>
        <v>9.0413459981040622E-4</v>
      </c>
      <c r="L75" s="151"/>
    </row>
    <row r="76" spans="1:12" ht="14.25" hidden="1" x14ac:dyDescent="0.2">
      <c r="A76" s="38">
        <v>33910</v>
      </c>
      <c r="B76">
        <v>27.7</v>
      </c>
      <c r="C76" s="28">
        <f t="shared" si="3"/>
        <v>3.3403729636775396E-2</v>
      </c>
      <c r="G76" s="39">
        <v>33910</v>
      </c>
      <c r="H76" s="155">
        <v>27.7</v>
      </c>
      <c r="I76" s="147">
        <f t="shared" si="4"/>
        <v>3.3403729636775396E-2</v>
      </c>
      <c r="J76" s="158">
        <f>'3month_treasury (2)'!D70</f>
        <v>2.4180790892077198E-3</v>
      </c>
      <c r="K76" s="157">
        <f t="shared" si="5"/>
        <v>3.0985650547567675E-2</v>
      </c>
      <c r="L76" s="151"/>
    </row>
    <row r="77" spans="1:12" ht="14.25" hidden="1" x14ac:dyDescent="0.2">
      <c r="A77" s="38">
        <v>33939</v>
      </c>
      <c r="B77">
        <v>28.24</v>
      </c>
      <c r="C77" s="28">
        <f t="shared" si="3"/>
        <v>1.9306999431748566E-2</v>
      </c>
      <c r="G77" s="39">
        <v>33939</v>
      </c>
      <c r="H77" s="155">
        <v>28.24</v>
      </c>
      <c r="I77" s="147">
        <f t="shared" si="4"/>
        <v>1.9306999431748566E-2</v>
      </c>
      <c r="J77" s="158">
        <f>'3month_treasury (2)'!D71</f>
        <v>2.6500260458164758E-3</v>
      </c>
      <c r="K77" s="157">
        <f t="shared" si="5"/>
        <v>1.665697338593209E-2</v>
      </c>
      <c r="L77" s="151"/>
    </row>
    <row r="78" spans="1:12" ht="14.25" hidden="1" x14ac:dyDescent="0.2">
      <c r="A78" s="38">
        <v>33973</v>
      </c>
      <c r="B78">
        <v>28.26</v>
      </c>
      <c r="C78" s="28">
        <f t="shared" si="3"/>
        <v>7.0796463134009419E-4</v>
      </c>
      <c r="G78" s="39">
        <v>33973</v>
      </c>
      <c r="H78" s="155">
        <v>28.26</v>
      </c>
      <c r="I78" s="147">
        <f t="shared" si="4"/>
        <v>7.0796463134009419E-4</v>
      </c>
      <c r="J78" s="158">
        <f>'3month_treasury (2)'!D72</f>
        <v>2.7274853852432388E-3</v>
      </c>
      <c r="K78" s="157">
        <f t="shared" si="5"/>
        <v>-2.0195207539031447E-3</v>
      </c>
      <c r="L78" s="151"/>
    </row>
    <row r="79" spans="1:12" ht="14.25" hidden="1" x14ac:dyDescent="0.2">
      <c r="A79" s="38">
        <v>34001</v>
      </c>
      <c r="B79">
        <v>28.65</v>
      </c>
      <c r="C79" s="28">
        <f t="shared" si="3"/>
        <v>1.3706065904367076E-2</v>
      </c>
      <c r="G79" s="39">
        <v>34001</v>
      </c>
      <c r="H79" s="155">
        <v>28.65</v>
      </c>
      <c r="I79" s="147">
        <f t="shared" si="4"/>
        <v>1.3706065904367076E-2</v>
      </c>
      <c r="J79" s="158">
        <f>'3month_treasury (2)'!D73</f>
        <v>2.5382672903923697E-3</v>
      </c>
      <c r="K79" s="157">
        <f t="shared" si="5"/>
        <v>1.1167798613974706E-2</v>
      </c>
      <c r="L79" s="151"/>
    </row>
    <row r="80" spans="1:12" ht="14.25" hidden="1" x14ac:dyDescent="0.2">
      <c r="A80" s="38">
        <v>34029</v>
      </c>
      <c r="B80">
        <v>29.25</v>
      </c>
      <c r="C80" s="28">
        <f t="shared" si="3"/>
        <v>2.0726130517116952E-2</v>
      </c>
      <c r="G80" s="39">
        <v>34029</v>
      </c>
      <c r="H80" s="155">
        <v>29.25</v>
      </c>
      <c r="I80" s="147">
        <f t="shared" si="4"/>
        <v>2.0726130517116952E-2</v>
      </c>
      <c r="J80" s="158">
        <f>'3month_treasury (2)'!D74</f>
        <v>2.4781515219963837E-3</v>
      </c>
      <c r="K80" s="157">
        <f t="shared" si="5"/>
        <v>1.8247978995120567E-2</v>
      </c>
      <c r="L80" s="151"/>
    </row>
    <row r="81" spans="1:12" ht="14.25" hidden="1" x14ac:dyDescent="0.2">
      <c r="A81" s="38">
        <v>34060</v>
      </c>
      <c r="B81">
        <v>28.54</v>
      </c>
      <c r="C81" s="28">
        <f t="shared" si="3"/>
        <v>-2.4572961629175143E-2</v>
      </c>
      <c r="G81" s="39">
        <v>34060</v>
      </c>
      <c r="H81" s="155">
        <v>28.54</v>
      </c>
      <c r="I81" s="147">
        <f t="shared" si="4"/>
        <v>-2.4572961629175143E-2</v>
      </c>
      <c r="J81" s="158">
        <f>'3month_treasury (2)'!D75</f>
        <v>2.4953230310893527E-3</v>
      </c>
      <c r="K81" s="157">
        <f t="shared" si="5"/>
        <v>-2.7068284660264497E-2</v>
      </c>
      <c r="L81" s="151"/>
    </row>
    <row r="82" spans="1:12" ht="14.25" hidden="1" x14ac:dyDescent="0.2">
      <c r="A82" s="38">
        <v>34092</v>
      </c>
      <c r="B82">
        <v>29.3</v>
      </c>
      <c r="C82" s="28">
        <f t="shared" si="3"/>
        <v>2.6280903974331395E-2</v>
      </c>
      <c r="G82" s="39">
        <v>34092</v>
      </c>
      <c r="H82" s="155">
        <v>29.3</v>
      </c>
      <c r="I82" s="147">
        <f t="shared" si="4"/>
        <v>2.6280903974331395E-2</v>
      </c>
      <c r="J82" s="158">
        <f>'3month_treasury (2)'!D76</f>
        <v>2.4266582144876841E-3</v>
      </c>
      <c r="K82" s="157">
        <f t="shared" si="5"/>
        <v>2.3854245759843712E-2</v>
      </c>
      <c r="L82" s="151"/>
    </row>
    <row r="83" spans="1:12" ht="14.25" hidden="1" x14ac:dyDescent="0.2">
      <c r="A83" s="38">
        <v>34121</v>
      </c>
      <c r="B83">
        <v>29.38</v>
      </c>
      <c r="C83" s="28">
        <f t="shared" si="3"/>
        <v>2.7266547227094875E-3</v>
      </c>
      <c r="G83" s="39">
        <v>34121</v>
      </c>
      <c r="H83" s="155">
        <v>29.38</v>
      </c>
      <c r="I83" s="147">
        <f t="shared" si="4"/>
        <v>2.7266547227094875E-3</v>
      </c>
      <c r="J83" s="158">
        <f>'3month_treasury (2)'!D77</f>
        <v>2.5039101126913869E-3</v>
      </c>
      <c r="K83" s="157">
        <f t="shared" si="5"/>
        <v>2.2274461001810068E-4</v>
      </c>
      <c r="L83" s="151"/>
    </row>
    <row r="84" spans="1:12" ht="14.25" hidden="1" x14ac:dyDescent="0.2">
      <c r="A84" s="38">
        <v>34151</v>
      </c>
      <c r="B84">
        <v>29.25</v>
      </c>
      <c r="C84" s="28">
        <f t="shared" si="3"/>
        <v>-4.4345970678657531E-3</v>
      </c>
      <c r="G84" s="39">
        <v>34151</v>
      </c>
      <c r="H84" s="155">
        <v>29.25</v>
      </c>
      <c r="I84" s="147">
        <f t="shared" si="4"/>
        <v>-4.4345970678657531E-3</v>
      </c>
      <c r="J84" s="158">
        <f>'3month_treasury (2)'!D78</f>
        <v>2.5984264569645643E-3</v>
      </c>
      <c r="K84" s="157">
        <f t="shared" si="5"/>
        <v>-7.0330235248303175E-3</v>
      </c>
      <c r="L84" s="151"/>
    </row>
    <row r="85" spans="1:12" ht="14.25" hidden="1" x14ac:dyDescent="0.2">
      <c r="A85" s="38">
        <v>34183</v>
      </c>
      <c r="B85">
        <v>30.36</v>
      </c>
      <c r="C85" s="28">
        <f t="shared" si="3"/>
        <v>3.7246378849563631E-2</v>
      </c>
      <c r="G85" s="39">
        <v>34183</v>
      </c>
      <c r="H85" s="155">
        <v>30.36</v>
      </c>
      <c r="I85" s="147">
        <f t="shared" si="4"/>
        <v>3.7246378849563631E-2</v>
      </c>
      <c r="J85" s="158">
        <f>'3month_treasury (2)'!D79</f>
        <v>2.5726386389239289E-3</v>
      </c>
      <c r="K85" s="157">
        <f t="shared" si="5"/>
        <v>3.4673740210639702E-2</v>
      </c>
      <c r="L85" s="151"/>
    </row>
    <row r="86" spans="1:12" ht="14.25" hidden="1" x14ac:dyDescent="0.2">
      <c r="A86" s="38">
        <v>34213</v>
      </c>
      <c r="B86">
        <v>30.12</v>
      </c>
      <c r="C86" s="28">
        <f t="shared" si="3"/>
        <v>-7.9365495957363034E-3</v>
      </c>
      <c r="G86" s="39">
        <v>34213</v>
      </c>
      <c r="H86" s="155">
        <v>30.12</v>
      </c>
      <c r="I86" s="147">
        <f t="shared" si="4"/>
        <v>-7.9365495957363034E-3</v>
      </c>
      <c r="J86" s="158">
        <f>'3month_treasury (2)'!D80</f>
        <v>2.5554511925737627E-3</v>
      </c>
      <c r="K86" s="157">
        <f t="shared" si="5"/>
        <v>-1.0492000788310066E-2</v>
      </c>
      <c r="L86" s="151"/>
    </row>
    <row r="87" spans="1:12" ht="14.25" hidden="1" x14ac:dyDescent="0.2">
      <c r="A87" s="38">
        <v>34243</v>
      </c>
      <c r="B87">
        <v>30.75</v>
      </c>
      <c r="C87" s="28">
        <f t="shared" si="3"/>
        <v>2.070059132083403E-2</v>
      </c>
      <c r="G87" s="39">
        <v>34243</v>
      </c>
      <c r="H87" s="155">
        <v>30.75</v>
      </c>
      <c r="I87" s="147">
        <f t="shared" si="4"/>
        <v>2.070059132083403E-2</v>
      </c>
      <c r="J87" s="158">
        <f>'3month_treasury (2)'!D81</f>
        <v>2.4953230310893527E-3</v>
      </c>
      <c r="K87" s="157">
        <f t="shared" si="5"/>
        <v>1.8205268289744676E-2</v>
      </c>
      <c r="L87" s="151"/>
    </row>
    <row r="88" spans="1:12" ht="14.25" hidden="1" x14ac:dyDescent="0.2">
      <c r="A88" s="38">
        <v>34274</v>
      </c>
      <c r="B88">
        <v>30.44</v>
      </c>
      <c r="C88" s="28">
        <f t="shared" si="3"/>
        <v>-1.0132461259041723E-2</v>
      </c>
      <c r="G88" s="39">
        <v>34274</v>
      </c>
      <c r="H88" s="155">
        <v>30.44</v>
      </c>
      <c r="I88" s="147">
        <f t="shared" si="4"/>
        <v>-1.0132461259041723E-2</v>
      </c>
      <c r="J88" s="158">
        <f>'3month_treasury (2)'!D82</f>
        <v>2.5554511925737627E-3</v>
      </c>
      <c r="K88" s="157">
        <f t="shared" si="5"/>
        <v>-1.2687912451615485E-2</v>
      </c>
      <c r="L88" s="151"/>
    </row>
    <row r="89" spans="1:12" ht="14.25" hidden="1" x14ac:dyDescent="0.2">
      <c r="A89" s="38">
        <v>34304</v>
      </c>
      <c r="B89">
        <v>30.81</v>
      </c>
      <c r="C89" s="28">
        <f t="shared" si="3"/>
        <v>1.2081779615091333E-2</v>
      </c>
      <c r="G89" s="39">
        <v>34304</v>
      </c>
      <c r="H89" s="155">
        <v>30.81</v>
      </c>
      <c r="I89" s="147">
        <f t="shared" si="4"/>
        <v>1.2081779615091333E-2</v>
      </c>
      <c r="J89" s="158">
        <f>'3month_treasury (2)'!D83</f>
        <v>2.6242222576142228E-3</v>
      </c>
      <c r="K89" s="157">
        <f t="shared" si="5"/>
        <v>9.4575573574771105E-3</v>
      </c>
      <c r="L89" s="151"/>
    </row>
    <row r="90" spans="1:12" ht="14.25" hidden="1" x14ac:dyDescent="0.2">
      <c r="A90" s="38">
        <v>34337</v>
      </c>
      <c r="B90">
        <v>31.85</v>
      </c>
      <c r="C90" s="28">
        <f t="shared" si="3"/>
        <v>3.3198069409595833E-2</v>
      </c>
      <c r="G90" s="39">
        <v>34337</v>
      </c>
      <c r="H90" s="155">
        <v>31.85</v>
      </c>
      <c r="I90" s="147">
        <f t="shared" si="4"/>
        <v>3.3198069409595833E-2</v>
      </c>
      <c r="J90" s="158">
        <f>'3month_treasury (2)'!D84</f>
        <v>2.5898296309051242E-3</v>
      </c>
      <c r="K90" s="157">
        <f t="shared" si="5"/>
        <v>3.0608239778690708E-2</v>
      </c>
      <c r="L90" s="151"/>
    </row>
    <row r="91" spans="1:12" ht="14.25" hidden="1" x14ac:dyDescent="0.2">
      <c r="A91" s="38">
        <v>34366</v>
      </c>
      <c r="B91">
        <v>30.99</v>
      </c>
      <c r="C91" s="28">
        <f t="shared" si="3"/>
        <v>-2.7372810218515595E-2</v>
      </c>
      <c r="G91" s="39">
        <v>34366</v>
      </c>
      <c r="H91" s="155">
        <v>30.99</v>
      </c>
      <c r="I91" s="147">
        <f t="shared" si="4"/>
        <v>-2.7372810218515595E-2</v>
      </c>
      <c r="J91" s="158">
        <f>'3month_treasury (2)'!D85</f>
        <v>2.5210869309184058E-3</v>
      </c>
      <c r="K91" s="157">
        <f t="shared" si="5"/>
        <v>-2.9893897149434003E-2</v>
      </c>
      <c r="L91" s="151"/>
    </row>
    <row r="92" spans="1:12" ht="14.25" hidden="1" x14ac:dyDescent="0.2">
      <c r="A92" s="38">
        <v>34394</v>
      </c>
      <c r="B92">
        <v>29.63</v>
      </c>
      <c r="C92" s="28">
        <f t="shared" si="3"/>
        <v>-4.4877210214183033E-2</v>
      </c>
      <c r="G92" s="39">
        <v>34394</v>
      </c>
      <c r="H92" s="155">
        <v>29.63</v>
      </c>
      <c r="I92" s="147">
        <f t="shared" si="4"/>
        <v>-4.4877210214183033E-2</v>
      </c>
      <c r="J92" s="158">
        <f>'3month_treasury (2)'!D86</f>
        <v>2.7533211731833409E-3</v>
      </c>
      <c r="K92" s="157">
        <f t="shared" si="5"/>
        <v>-4.7630531387366372E-2</v>
      </c>
      <c r="L92" s="151"/>
    </row>
    <row r="93" spans="1:12" ht="14.25" hidden="1" x14ac:dyDescent="0.2">
      <c r="A93" s="38">
        <v>34428</v>
      </c>
      <c r="B93">
        <v>30.01</v>
      </c>
      <c r="C93" s="28">
        <f t="shared" si="3"/>
        <v>1.2743297866801867E-2</v>
      </c>
      <c r="G93" s="39">
        <v>34428</v>
      </c>
      <c r="H93" s="155">
        <v>30.01</v>
      </c>
      <c r="I93" s="147">
        <f t="shared" si="4"/>
        <v>1.2743297866801867E-2</v>
      </c>
      <c r="J93" s="158">
        <f>'3month_treasury (2)'!D87</f>
        <v>2.9689314702625864E-3</v>
      </c>
      <c r="K93" s="157">
        <f t="shared" si="5"/>
        <v>9.7743663965392802E-3</v>
      </c>
      <c r="L93" s="151"/>
    </row>
    <row r="94" spans="1:12" ht="14.25" hidden="1" x14ac:dyDescent="0.2">
      <c r="A94" s="38">
        <v>34456</v>
      </c>
      <c r="B94">
        <v>30.49</v>
      </c>
      <c r="C94" s="28">
        <f t="shared" si="3"/>
        <v>1.5868101547887509E-2</v>
      </c>
      <c r="G94" s="39">
        <v>34456</v>
      </c>
      <c r="H94" s="155">
        <v>30.49</v>
      </c>
      <c r="I94" s="147">
        <f t="shared" si="4"/>
        <v>1.5868101547887509E-2</v>
      </c>
      <c r="J94" s="158">
        <f>'3month_treasury (2)'!D88</f>
        <v>3.1245170356317027E-3</v>
      </c>
      <c r="K94" s="157">
        <f t="shared" si="5"/>
        <v>1.2743584512255806E-2</v>
      </c>
      <c r="L94" s="151"/>
    </row>
    <row r="95" spans="1:12" ht="14.25" hidden="1" x14ac:dyDescent="0.2">
      <c r="A95" s="38">
        <v>34486</v>
      </c>
      <c r="B95">
        <v>29.75</v>
      </c>
      <c r="C95" s="28">
        <f t="shared" si="3"/>
        <v>-2.4569629008524572E-2</v>
      </c>
      <c r="G95" s="39">
        <v>34486</v>
      </c>
      <c r="H95" s="155">
        <v>29.75</v>
      </c>
      <c r="I95" s="147">
        <f t="shared" si="4"/>
        <v>-2.4569629008524572E-2</v>
      </c>
      <c r="J95" s="158">
        <f>'3month_treasury (2)'!D89</f>
        <v>3.5234493547171785E-3</v>
      </c>
      <c r="K95" s="157">
        <f t="shared" si="5"/>
        <v>-2.809307836324175E-2</v>
      </c>
      <c r="L95" s="151"/>
    </row>
    <row r="96" spans="1:12" ht="14.25" hidden="1" x14ac:dyDescent="0.2">
      <c r="A96" s="38">
        <v>34516</v>
      </c>
      <c r="B96">
        <v>30.72</v>
      </c>
      <c r="C96" s="28">
        <f t="shared" si="3"/>
        <v>3.2084776287832628E-2</v>
      </c>
      <c r="G96" s="39">
        <v>34516</v>
      </c>
      <c r="H96" s="155">
        <v>30.72</v>
      </c>
      <c r="I96" s="147">
        <f t="shared" si="4"/>
        <v>3.2084776287832628E-2</v>
      </c>
      <c r="J96" s="158">
        <f>'3month_treasury (2)'!D90</f>
        <v>3.5234493547171785E-3</v>
      </c>
      <c r="K96" s="157">
        <f t="shared" si="5"/>
        <v>2.8561326933115451E-2</v>
      </c>
      <c r="L96" s="151"/>
    </row>
    <row r="97" spans="1:12" ht="14.25" hidden="1" x14ac:dyDescent="0.2">
      <c r="A97" s="38">
        <v>34547</v>
      </c>
      <c r="B97">
        <v>31.97</v>
      </c>
      <c r="C97" s="28">
        <f t="shared" si="3"/>
        <v>3.9884054792278731E-2</v>
      </c>
      <c r="G97" s="39">
        <v>34547</v>
      </c>
      <c r="H97" s="155">
        <v>31.97</v>
      </c>
      <c r="I97" s="147">
        <f t="shared" si="4"/>
        <v>3.9884054792278731E-2</v>
      </c>
      <c r="J97" s="158">
        <f>'3month_treasury (2)'!D91</f>
        <v>3.6887846915012838E-3</v>
      </c>
      <c r="K97" s="157">
        <f t="shared" si="5"/>
        <v>3.6195270100777444E-2</v>
      </c>
      <c r="L97" s="151"/>
    </row>
    <row r="98" spans="1:12" ht="14.25" hidden="1" x14ac:dyDescent="0.2">
      <c r="A98" s="38">
        <v>34578</v>
      </c>
      <c r="B98">
        <v>31.19</v>
      </c>
      <c r="C98" s="28">
        <f t="shared" si="3"/>
        <v>-2.4700432452038096E-2</v>
      </c>
      <c r="G98" s="39">
        <v>34578</v>
      </c>
      <c r="H98" s="155">
        <v>31.19</v>
      </c>
      <c r="I98" s="147">
        <f t="shared" si="4"/>
        <v>-2.4700432452038096E-2</v>
      </c>
      <c r="J98" s="158">
        <f>'3month_treasury (2)'!D92</f>
        <v>3.8195446953166279E-3</v>
      </c>
      <c r="K98" s="157">
        <f t="shared" si="5"/>
        <v>-2.8519977147354724E-2</v>
      </c>
      <c r="L98" s="151"/>
    </row>
    <row r="99" spans="1:12" ht="14.25" hidden="1" x14ac:dyDescent="0.2">
      <c r="A99" s="38">
        <v>34610</v>
      </c>
      <c r="B99">
        <v>31.89</v>
      </c>
      <c r="C99" s="28">
        <f t="shared" si="3"/>
        <v>2.219495040225437E-2</v>
      </c>
      <c r="G99" s="39">
        <v>34610</v>
      </c>
      <c r="H99" s="155">
        <v>31.89</v>
      </c>
      <c r="I99" s="147">
        <f t="shared" si="4"/>
        <v>2.219495040225437E-2</v>
      </c>
      <c r="J99" s="158">
        <f>'3month_treasury (2)'!D93</f>
        <v>3.9417727598344233E-3</v>
      </c>
      <c r="K99" s="157">
        <f t="shared" si="5"/>
        <v>1.8253177642419946E-2</v>
      </c>
      <c r="L99" s="151"/>
    </row>
    <row r="100" spans="1:12" ht="14.25" hidden="1" x14ac:dyDescent="0.2">
      <c r="A100" s="38">
        <v>34639</v>
      </c>
      <c r="B100">
        <v>30.73</v>
      </c>
      <c r="C100" s="28">
        <f t="shared" si="3"/>
        <v>-3.7053104879572953E-2</v>
      </c>
      <c r="G100" s="39">
        <v>34639</v>
      </c>
      <c r="H100" s="155">
        <v>30.73</v>
      </c>
      <c r="I100" s="147">
        <f t="shared" si="4"/>
        <v>-3.7053104879572953E-2</v>
      </c>
      <c r="J100" s="158">
        <f>'3month_treasury (2)'!D94</f>
        <v>4.2305930878044351E-3</v>
      </c>
      <c r="K100" s="157">
        <f t="shared" si="5"/>
        <v>-4.1283697967377388E-2</v>
      </c>
      <c r="L100" s="151"/>
    </row>
    <row r="101" spans="1:12" ht="14.25" hidden="1" x14ac:dyDescent="0.2">
      <c r="A101" s="38">
        <v>34669</v>
      </c>
      <c r="B101">
        <v>31.17</v>
      </c>
      <c r="C101" s="28">
        <f t="shared" si="3"/>
        <v>1.4216717636852446E-2</v>
      </c>
      <c r="G101" s="39">
        <v>34669</v>
      </c>
      <c r="H101" s="155">
        <v>31.17</v>
      </c>
      <c r="I101" s="147">
        <f t="shared" si="4"/>
        <v>1.4216717636852446E-2</v>
      </c>
      <c r="J101" s="158">
        <f>'3month_treasury (2)'!D95</f>
        <v>4.5292162291734484E-3</v>
      </c>
      <c r="K101" s="157">
        <f t="shared" si="5"/>
        <v>9.6875014076789976E-3</v>
      </c>
      <c r="L101" s="151"/>
    </row>
    <row r="102" spans="1:12" ht="14.25" hidden="1" x14ac:dyDescent="0.2">
      <c r="A102" s="38">
        <v>34702</v>
      </c>
      <c r="B102">
        <v>31.98</v>
      </c>
      <c r="C102" s="28">
        <f t="shared" si="3"/>
        <v>2.5654613626562472E-2</v>
      </c>
      <c r="G102" s="39">
        <v>34702</v>
      </c>
      <c r="H102" s="155">
        <v>31.98</v>
      </c>
      <c r="I102" s="147">
        <f t="shared" si="4"/>
        <v>2.5654613626562472E-2</v>
      </c>
      <c r="J102" s="158">
        <f>'3month_treasury (2)'!D96</f>
        <v>4.8024260697196843E-3</v>
      </c>
      <c r="K102" s="157">
        <f t="shared" si="5"/>
        <v>2.0852187556842788E-2</v>
      </c>
      <c r="L102" s="151"/>
    </row>
    <row r="103" spans="1:12" ht="14.25" hidden="1" x14ac:dyDescent="0.2">
      <c r="A103" s="38">
        <v>34731</v>
      </c>
      <c r="B103">
        <v>33.22</v>
      </c>
      <c r="C103" s="28">
        <f t="shared" si="3"/>
        <v>3.8041396779340694E-2</v>
      </c>
      <c r="G103" s="39">
        <v>34731</v>
      </c>
      <c r="H103" s="155">
        <v>33.22</v>
      </c>
      <c r="I103" s="147">
        <f t="shared" si="4"/>
        <v>3.8041396779340694E-2</v>
      </c>
      <c r="J103" s="158">
        <f>'3month_treasury (2)'!D97</f>
        <v>4.8995872092087818E-3</v>
      </c>
      <c r="K103" s="157">
        <f t="shared" si="5"/>
        <v>3.3141809570131915E-2</v>
      </c>
      <c r="L103" s="151"/>
    </row>
    <row r="104" spans="1:12" ht="14.25" hidden="1" x14ac:dyDescent="0.2">
      <c r="A104" s="38">
        <v>34759</v>
      </c>
      <c r="B104">
        <v>34.200000000000003</v>
      </c>
      <c r="C104" s="28">
        <f t="shared" si="3"/>
        <v>2.9073539883410819E-2</v>
      </c>
      <c r="G104" s="39">
        <v>34759</v>
      </c>
      <c r="H104" s="155">
        <v>34.200000000000003</v>
      </c>
      <c r="I104" s="147">
        <f t="shared" si="4"/>
        <v>2.9073539883410819E-2</v>
      </c>
      <c r="J104" s="158">
        <f>'3month_treasury (2)'!D98</f>
        <v>4.9526319807855429E-3</v>
      </c>
      <c r="K104" s="157">
        <f t="shared" si="5"/>
        <v>2.4120907902625277E-2</v>
      </c>
      <c r="L104" s="151"/>
    </row>
    <row r="105" spans="1:12" ht="14.25" hidden="1" x14ac:dyDescent="0.2">
      <c r="A105" s="38">
        <v>34792</v>
      </c>
      <c r="B105">
        <v>35.21</v>
      </c>
      <c r="C105" s="28">
        <f t="shared" si="3"/>
        <v>2.9104489098401586E-2</v>
      </c>
      <c r="G105" s="39">
        <v>34792</v>
      </c>
      <c r="H105" s="155">
        <v>35.21</v>
      </c>
      <c r="I105" s="147">
        <f t="shared" si="4"/>
        <v>2.9104489098401586E-2</v>
      </c>
      <c r="J105" s="158">
        <f>'3month_treasury (2)'!D99</f>
        <v>4.9172650483360362E-3</v>
      </c>
      <c r="K105" s="157">
        <f t="shared" si="5"/>
        <v>2.4187224050065549E-2</v>
      </c>
      <c r="L105" s="151"/>
    </row>
    <row r="106" spans="1:12" ht="14.25" hidden="1" x14ac:dyDescent="0.2">
      <c r="A106" s="38">
        <v>34820</v>
      </c>
      <c r="B106">
        <v>36.6</v>
      </c>
      <c r="C106" s="28">
        <f t="shared" si="3"/>
        <v>3.8718107240359373E-2</v>
      </c>
      <c r="G106" s="39">
        <v>34820</v>
      </c>
      <c r="H106" s="155">
        <v>36.6</v>
      </c>
      <c r="I106" s="147">
        <f t="shared" si="4"/>
        <v>3.8718107240359373E-2</v>
      </c>
      <c r="J106" s="158">
        <f>'3month_treasury (2)'!D100</f>
        <v>4.8465761811276797E-3</v>
      </c>
      <c r="K106" s="157">
        <f t="shared" si="5"/>
        <v>3.3871531059231692E-2</v>
      </c>
      <c r="L106" s="151"/>
    </row>
    <row r="107" spans="1:12" ht="14.25" hidden="1" x14ac:dyDescent="0.2">
      <c r="A107" s="38">
        <v>34851</v>
      </c>
      <c r="B107">
        <v>37.44</v>
      </c>
      <c r="C107" s="28">
        <f t="shared" si="3"/>
        <v>2.2691411202070671E-2</v>
      </c>
      <c r="G107" s="39">
        <v>34851</v>
      </c>
      <c r="H107" s="155">
        <v>37.44</v>
      </c>
      <c r="I107" s="147">
        <f t="shared" si="4"/>
        <v>2.2691411202070671E-2</v>
      </c>
      <c r="J107" s="158">
        <f>'3month_treasury (2)'!D101</f>
        <v>4.8642427771941254E-3</v>
      </c>
      <c r="K107" s="157">
        <f t="shared" si="5"/>
        <v>1.7827168424876545E-2</v>
      </c>
      <c r="L107" s="151"/>
    </row>
    <row r="108" spans="1:12" ht="14.25" hidden="1" x14ac:dyDescent="0.2">
      <c r="A108" s="38">
        <v>34883</v>
      </c>
      <c r="B108">
        <v>38.68</v>
      </c>
      <c r="C108" s="28">
        <f t="shared" si="3"/>
        <v>3.2583018975702378E-2</v>
      </c>
      <c r="G108" s="39">
        <v>34883</v>
      </c>
      <c r="H108" s="155">
        <v>38.68</v>
      </c>
      <c r="I108" s="147">
        <f t="shared" si="4"/>
        <v>3.2583018975702378E-2</v>
      </c>
      <c r="J108" s="158">
        <f>'3month_treasury (2)'!D102</f>
        <v>4.6877451292331946E-3</v>
      </c>
      <c r="K108" s="157">
        <f t="shared" si="5"/>
        <v>2.7895273846469185E-2</v>
      </c>
      <c r="L108" s="151"/>
    </row>
    <row r="109" spans="1:12" ht="14.25" hidden="1" x14ac:dyDescent="0.2">
      <c r="A109" s="38">
        <v>34912</v>
      </c>
      <c r="B109">
        <v>38.78</v>
      </c>
      <c r="C109" s="28">
        <f t="shared" si="3"/>
        <v>2.5819792294121732E-3</v>
      </c>
      <c r="G109" s="39">
        <v>34912</v>
      </c>
      <c r="H109" s="155">
        <v>38.78</v>
      </c>
      <c r="I109" s="147">
        <f t="shared" si="4"/>
        <v>2.5819792294121732E-3</v>
      </c>
      <c r="J109" s="158">
        <f>'3month_treasury (2)'!D103</f>
        <v>4.6436790643634767E-3</v>
      </c>
      <c r="K109" s="157">
        <f t="shared" si="5"/>
        <v>-2.0616998349513036E-3</v>
      </c>
      <c r="L109" s="151"/>
    </row>
    <row r="110" spans="1:12" ht="14.25" hidden="1" x14ac:dyDescent="0.2">
      <c r="A110" s="38">
        <v>34943</v>
      </c>
      <c r="B110">
        <v>40.42</v>
      </c>
      <c r="C110" s="28">
        <f t="shared" si="3"/>
        <v>4.1420062160969294E-2</v>
      </c>
      <c r="G110" s="39">
        <v>34943</v>
      </c>
      <c r="H110" s="155">
        <v>40.42</v>
      </c>
      <c r="I110" s="147">
        <f t="shared" si="4"/>
        <v>4.1420062160969294E-2</v>
      </c>
      <c r="J110" s="158">
        <f>'3month_treasury (2)'!D104</f>
        <v>4.6260591608548963E-3</v>
      </c>
      <c r="K110" s="157">
        <f t="shared" si="5"/>
        <v>3.67940030001144E-2</v>
      </c>
      <c r="L110" s="151"/>
    </row>
    <row r="111" spans="1:12" ht="14.25" hidden="1" x14ac:dyDescent="0.2">
      <c r="A111" s="38">
        <v>34974</v>
      </c>
      <c r="B111">
        <v>40.270000000000003</v>
      </c>
      <c r="C111" s="28">
        <f t="shared" si="3"/>
        <v>-3.7179371121121314E-3</v>
      </c>
      <c r="G111" s="39">
        <v>34974</v>
      </c>
      <c r="H111" s="155">
        <v>40.270000000000003</v>
      </c>
      <c r="I111" s="147">
        <f t="shared" si="4"/>
        <v>-3.7179371121121314E-3</v>
      </c>
      <c r="J111" s="158">
        <f>'3month_treasury (2)'!D105</f>
        <v>4.5204179043663141E-3</v>
      </c>
      <c r="K111" s="157">
        <f t="shared" si="5"/>
        <v>-8.2383550164784464E-3</v>
      </c>
      <c r="L111" s="151"/>
    </row>
    <row r="112" spans="1:12" ht="14.25" hidden="1" x14ac:dyDescent="0.2">
      <c r="A112" s="38">
        <v>35004</v>
      </c>
      <c r="B112">
        <v>42.03</v>
      </c>
      <c r="C112" s="28">
        <f t="shared" si="3"/>
        <v>4.2776874153662478E-2</v>
      </c>
      <c r="G112" s="39">
        <v>35004</v>
      </c>
      <c r="H112" s="155">
        <v>42.03</v>
      </c>
      <c r="I112" s="147">
        <f t="shared" si="4"/>
        <v>4.2776874153662478E-2</v>
      </c>
      <c r="J112" s="158">
        <f>'3month_treasury (2)'!D106</f>
        <v>4.5204179043663141E-3</v>
      </c>
      <c r="K112" s="157">
        <f t="shared" si="5"/>
        <v>3.8256456249296161E-2</v>
      </c>
      <c r="L112" s="151"/>
    </row>
    <row r="113" spans="1:12" ht="14.25" hidden="1" x14ac:dyDescent="0.2">
      <c r="A113" s="38">
        <v>35034</v>
      </c>
      <c r="B113">
        <v>42.85</v>
      </c>
      <c r="C113" s="28">
        <f t="shared" si="3"/>
        <v>1.9321996026763516E-2</v>
      </c>
      <c r="G113" s="39">
        <v>35034</v>
      </c>
      <c r="H113" s="155">
        <v>42.85</v>
      </c>
      <c r="I113" s="147">
        <f t="shared" si="4"/>
        <v>1.9321996026763516E-2</v>
      </c>
      <c r="J113" s="158">
        <f>'3month_treasury (2)'!D107</f>
        <v>4.5908305264966698E-3</v>
      </c>
      <c r="K113" s="157">
        <f t="shared" si="5"/>
        <v>1.4731165500266846E-2</v>
      </c>
      <c r="L113" s="151"/>
    </row>
    <row r="114" spans="1:12" ht="14.25" hidden="1" x14ac:dyDescent="0.2">
      <c r="A114" s="38">
        <v>35066</v>
      </c>
      <c r="B114">
        <v>44.3</v>
      </c>
      <c r="C114" s="28">
        <f t="shared" si="3"/>
        <v>3.3279032007300993E-2</v>
      </c>
      <c r="G114" s="39">
        <v>35066</v>
      </c>
      <c r="H114" s="155">
        <v>44.3</v>
      </c>
      <c r="I114" s="147">
        <f t="shared" si="4"/>
        <v>3.3279032007300993E-2</v>
      </c>
      <c r="J114" s="158">
        <f>'3month_treasury (2)'!D108</f>
        <v>4.3973387948879833E-3</v>
      </c>
      <c r="K114" s="157">
        <f t="shared" si="5"/>
        <v>2.8881693212413011E-2</v>
      </c>
      <c r="L114" s="151"/>
    </row>
    <row r="115" spans="1:12" ht="14.25" hidden="1" x14ac:dyDescent="0.2">
      <c r="A115" s="38">
        <v>35096</v>
      </c>
      <c r="B115">
        <v>44.71</v>
      </c>
      <c r="C115" s="28">
        <f t="shared" si="3"/>
        <v>9.2125131947993263E-3</v>
      </c>
      <c r="G115" s="39">
        <v>35096</v>
      </c>
      <c r="H115" s="155">
        <v>44.71</v>
      </c>
      <c r="I115" s="147">
        <f t="shared" si="4"/>
        <v>9.2125131947993263E-3</v>
      </c>
      <c r="J115" s="158">
        <f>'3month_treasury (2)'!D109</f>
        <v>4.2744411989625404E-3</v>
      </c>
      <c r="K115" s="157">
        <f t="shared" si="5"/>
        <v>4.9380719958367859E-3</v>
      </c>
      <c r="L115" s="151"/>
    </row>
    <row r="116" spans="1:12" ht="14.25" hidden="1" x14ac:dyDescent="0.2">
      <c r="A116" s="38">
        <v>35125</v>
      </c>
      <c r="B116">
        <v>45.14</v>
      </c>
      <c r="C116" s="28">
        <f t="shared" si="3"/>
        <v>9.5715811435002785E-3</v>
      </c>
      <c r="G116" s="39">
        <v>35125</v>
      </c>
      <c r="H116" s="155">
        <v>45.14</v>
      </c>
      <c r="I116" s="147">
        <f t="shared" si="4"/>
        <v>9.5715811435002785E-3</v>
      </c>
      <c r="J116" s="158">
        <f>'3month_treasury (2)'!D110</f>
        <v>4.1254516586532826E-3</v>
      </c>
      <c r="K116" s="157">
        <f t="shared" si="5"/>
        <v>5.446129484846996E-3</v>
      </c>
      <c r="L116" s="151"/>
    </row>
    <row r="117" spans="1:12" ht="14.25" hidden="1" x14ac:dyDescent="0.2">
      <c r="A117" s="38">
        <v>35156</v>
      </c>
      <c r="B117">
        <v>45.8</v>
      </c>
      <c r="C117" s="28">
        <f t="shared" si="3"/>
        <v>1.4515319730749597E-2</v>
      </c>
      <c r="G117" s="39">
        <v>35156</v>
      </c>
      <c r="H117" s="155">
        <v>45.8</v>
      </c>
      <c r="I117" s="147">
        <f t="shared" si="4"/>
        <v>1.4515319730749597E-2</v>
      </c>
      <c r="J117" s="158">
        <f>'3month_treasury (2)'!D111</f>
        <v>4.2393608644797085E-3</v>
      </c>
      <c r="K117" s="157">
        <f t="shared" si="5"/>
        <v>1.0275958866269887E-2</v>
      </c>
      <c r="L117" s="151"/>
    </row>
    <row r="118" spans="1:12" ht="14.25" hidden="1" x14ac:dyDescent="0.2">
      <c r="A118" s="38">
        <v>35186</v>
      </c>
      <c r="B118">
        <v>46.97</v>
      </c>
      <c r="C118" s="28">
        <f t="shared" si="3"/>
        <v>2.5225008918764575E-2</v>
      </c>
      <c r="G118" s="39">
        <v>35186</v>
      </c>
      <c r="H118" s="155">
        <v>46.97</v>
      </c>
      <c r="I118" s="147">
        <f t="shared" si="4"/>
        <v>2.5225008918764575E-2</v>
      </c>
      <c r="J118" s="158">
        <f>'3month_treasury (2)'!D112</f>
        <v>4.2305930878044351E-3</v>
      </c>
      <c r="K118" s="157">
        <f t="shared" si="5"/>
        <v>2.099441583096014E-2</v>
      </c>
      <c r="L118" s="151"/>
    </row>
    <row r="119" spans="1:12" ht="14.25" hidden="1" x14ac:dyDescent="0.2">
      <c r="A119" s="38">
        <v>35219</v>
      </c>
      <c r="B119">
        <v>47.15</v>
      </c>
      <c r="C119" s="28">
        <f t="shared" si="3"/>
        <v>3.8249090405628561E-3</v>
      </c>
      <c r="G119" s="39">
        <v>35219</v>
      </c>
      <c r="H119" s="155">
        <v>47.15</v>
      </c>
      <c r="I119" s="147">
        <f t="shared" si="4"/>
        <v>3.8249090405628561E-3</v>
      </c>
      <c r="J119" s="158">
        <f>'3month_treasury (2)'!D113</f>
        <v>4.291986905592968E-3</v>
      </c>
      <c r="K119" s="157">
        <f t="shared" si="5"/>
        <v>-4.6707786503011198E-4</v>
      </c>
      <c r="L119" s="151"/>
    </row>
    <row r="120" spans="1:12" ht="14.25" hidden="1" x14ac:dyDescent="0.2">
      <c r="A120" s="38">
        <v>35247</v>
      </c>
      <c r="B120">
        <v>45.06</v>
      </c>
      <c r="C120" s="28">
        <f t="shared" si="3"/>
        <v>-4.5339074075368004E-2</v>
      </c>
      <c r="G120" s="39">
        <v>35247</v>
      </c>
      <c r="H120" s="155">
        <v>45.06</v>
      </c>
      <c r="I120" s="147">
        <f t="shared" si="4"/>
        <v>-4.5339074075368004E-2</v>
      </c>
      <c r="J120" s="158">
        <f>'3month_treasury (2)'!D114</f>
        <v>4.3534259871408796E-3</v>
      </c>
      <c r="K120" s="157">
        <f t="shared" si="5"/>
        <v>-4.9692500062508881E-2</v>
      </c>
      <c r="L120" s="151"/>
    </row>
    <row r="121" spans="1:12" ht="14.25" hidden="1" x14ac:dyDescent="0.2">
      <c r="A121" s="38">
        <v>35278</v>
      </c>
      <c r="B121">
        <v>46.01</v>
      </c>
      <c r="C121" s="28">
        <f t="shared" si="3"/>
        <v>2.0863829163278686E-2</v>
      </c>
      <c r="G121" s="39">
        <v>35278</v>
      </c>
      <c r="H121" s="155">
        <v>46.01</v>
      </c>
      <c r="I121" s="147">
        <f t="shared" si="4"/>
        <v>2.0863829163278686E-2</v>
      </c>
      <c r="J121" s="158">
        <f>'3month_treasury (2)'!D115</f>
        <v>4.4061241339223489E-3</v>
      </c>
      <c r="K121" s="157">
        <f t="shared" si="5"/>
        <v>1.6457705029356336E-2</v>
      </c>
      <c r="L121" s="151"/>
    </row>
    <row r="122" spans="1:12" ht="14.25" hidden="1" x14ac:dyDescent="0.2">
      <c r="A122" s="38">
        <v>35311</v>
      </c>
      <c r="B122">
        <v>48.59</v>
      </c>
      <c r="C122" s="28">
        <f t="shared" si="3"/>
        <v>5.4558984250434608E-2</v>
      </c>
      <c r="G122" s="39">
        <v>35311</v>
      </c>
      <c r="H122" s="155">
        <v>48.59</v>
      </c>
      <c r="I122" s="147">
        <f t="shared" si="4"/>
        <v>5.4558984250434608E-2</v>
      </c>
      <c r="J122" s="158">
        <f>'3month_treasury (2)'!D116</f>
        <v>4.3183123941497028E-3</v>
      </c>
      <c r="K122" s="157">
        <f t="shared" si="5"/>
        <v>5.0240671856284905E-2</v>
      </c>
      <c r="L122" s="151"/>
    </row>
    <row r="123" spans="1:12" ht="14.25" hidden="1" x14ac:dyDescent="0.2">
      <c r="A123" s="38">
        <v>35339</v>
      </c>
      <c r="B123">
        <v>49.93</v>
      </c>
      <c r="C123" s="28">
        <f t="shared" si="3"/>
        <v>2.7204276094706319E-2</v>
      </c>
      <c r="G123" s="39">
        <v>35339</v>
      </c>
      <c r="H123" s="155">
        <v>49.93</v>
      </c>
      <c r="I123" s="147">
        <f t="shared" si="4"/>
        <v>2.7204276094706319E-2</v>
      </c>
      <c r="J123" s="158">
        <f>'3month_treasury (2)'!D117</f>
        <v>4.3534259871408796E-3</v>
      </c>
      <c r="K123" s="157">
        <f t="shared" si="5"/>
        <v>2.2850850107565438E-2</v>
      </c>
      <c r="L123" s="151"/>
    </row>
    <row r="124" spans="1:12" ht="14.25" hidden="1" x14ac:dyDescent="0.2">
      <c r="A124" s="38">
        <v>35370</v>
      </c>
      <c r="B124">
        <v>53.7</v>
      </c>
      <c r="C124" s="28">
        <f t="shared" si="3"/>
        <v>7.2790977002301249E-2</v>
      </c>
      <c r="G124" s="39">
        <v>35370</v>
      </c>
      <c r="H124" s="155">
        <v>53.7</v>
      </c>
      <c r="I124" s="147">
        <f t="shared" si="4"/>
        <v>7.2790977002301249E-2</v>
      </c>
      <c r="J124" s="158">
        <f>'3month_treasury (2)'!D118</f>
        <v>4.2656697307861032E-3</v>
      </c>
      <c r="K124" s="157">
        <f t="shared" si="5"/>
        <v>6.8525307271515151E-2</v>
      </c>
      <c r="L124" s="151"/>
    </row>
    <row r="125" spans="1:12" ht="14.25" hidden="1" x14ac:dyDescent="0.2">
      <c r="A125" s="38">
        <v>35401</v>
      </c>
      <c r="B125">
        <v>52.65</v>
      </c>
      <c r="C125" s="28">
        <f t="shared" si="3"/>
        <v>-1.9746762934834558E-2</v>
      </c>
      <c r="G125" s="39">
        <v>35401</v>
      </c>
      <c r="H125" s="155">
        <v>52.65</v>
      </c>
      <c r="I125" s="147">
        <f t="shared" si="4"/>
        <v>-1.9746762934834558E-2</v>
      </c>
      <c r="J125" s="158">
        <f>'3month_treasury (2)'!D119</f>
        <v>4.3007611444358515E-3</v>
      </c>
      <c r="K125" s="157">
        <f t="shared" si="5"/>
        <v>-2.404752407927041E-2</v>
      </c>
      <c r="L125" s="151"/>
    </row>
    <row r="126" spans="1:12" ht="14.25" hidden="1" x14ac:dyDescent="0.2">
      <c r="A126" s="38">
        <v>35432</v>
      </c>
      <c r="B126">
        <v>55.93</v>
      </c>
      <c r="C126" s="28">
        <f t="shared" si="3"/>
        <v>6.0434670253512075E-2</v>
      </c>
      <c r="G126" s="39">
        <v>35432</v>
      </c>
      <c r="H126" s="155">
        <v>55.93</v>
      </c>
      <c r="I126" s="147">
        <f t="shared" si="4"/>
        <v>6.0434670253512075E-2</v>
      </c>
      <c r="J126" s="158">
        <f>'3month_treasury (2)'!D120</f>
        <v>4.1955312030615447E-3</v>
      </c>
      <c r="K126" s="157">
        <f t="shared" si="5"/>
        <v>5.6239139050450533E-2</v>
      </c>
      <c r="L126" s="151"/>
    </row>
    <row r="127" spans="1:12" ht="14.25" hidden="1" x14ac:dyDescent="0.2">
      <c r="A127" s="38">
        <v>35464</v>
      </c>
      <c r="B127">
        <v>56.37</v>
      </c>
      <c r="C127" s="28">
        <f t="shared" si="3"/>
        <v>7.8361932599870163E-3</v>
      </c>
      <c r="G127" s="39">
        <v>35464</v>
      </c>
      <c r="H127" s="155">
        <v>56.37</v>
      </c>
      <c r="I127" s="147">
        <f t="shared" si="4"/>
        <v>7.8361932599870163E-3</v>
      </c>
      <c r="J127" s="158">
        <f>'3month_treasury (2)'!D121</f>
        <v>4.3007611444358515E-3</v>
      </c>
      <c r="K127" s="157">
        <f t="shared" si="5"/>
        <v>3.5354321155511648E-3</v>
      </c>
      <c r="L127" s="151"/>
    </row>
    <row r="128" spans="1:12" ht="14.25" hidden="1" x14ac:dyDescent="0.2">
      <c r="A128" s="38">
        <v>35492</v>
      </c>
      <c r="B128">
        <v>54.04</v>
      </c>
      <c r="C128" s="28">
        <f t="shared" si="3"/>
        <v>-4.2212589001485473E-2</v>
      </c>
      <c r="G128" s="39">
        <v>35492</v>
      </c>
      <c r="H128" s="155">
        <v>54.04</v>
      </c>
      <c r="I128" s="147">
        <f t="shared" si="4"/>
        <v>-4.2212589001485473E-2</v>
      </c>
      <c r="J128" s="158">
        <f>'3month_treasury (2)'!D122</f>
        <v>4.2832135905000344E-3</v>
      </c>
      <c r="K128" s="157">
        <f t="shared" si="5"/>
        <v>-4.6495802591985505E-2</v>
      </c>
      <c r="L128" s="151"/>
    </row>
    <row r="129" spans="1:12" ht="14.25" hidden="1" x14ac:dyDescent="0.2">
      <c r="A129" s="38">
        <v>35521</v>
      </c>
      <c r="B129">
        <v>57.25</v>
      </c>
      <c r="C129" s="28">
        <f t="shared" si="3"/>
        <v>5.7703129342350973E-2</v>
      </c>
      <c r="G129" s="39">
        <v>35521</v>
      </c>
      <c r="H129" s="155">
        <v>57.25</v>
      </c>
      <c r="I129" s="147">
        <f t="shared" si="4"/>
        <v>5.7703129342350973E-2</v>
      </c>
      <c r="J129" s="158">
        <f>'3month_treasury (2)'!D123</f>
        <v>4.3973387948879833E-3</v>
      </c>
      <c r="K129" s="157">
        <f t="shared" si="5"/>
        <v>5.330579054746299E-2</v>
      </c>
      <c r="L129" s="151"/>
    </row>
    <row r="130" spans="1:12" ht="14.25" hidden="1" x14ac:dyDescent="0.2">
      <c r="A130" s="38">
        <v>35551</v>
      </c>
      <c r="B130">
        <v>60.74</v>
      </c>
      <c r="C130" s="28">
        <f t="shared" si="3"/>
        <v>5.9174817183253799E-2</v>
      </c>
      <c r="G130" s="39">
        <v>35551</v>
      </c>
      <c r="H130" s="155">
        <v>60.74</v>
      </c>
      <c r="I130" s="147">
        <f t="shared" si="4"/>
        <v>5.9174817183253799E-2</v>
      </c>
      <c r="J130" s="158">
        <f>'3month_treasury (2)'!D124</f>
        <v>4.4149103992405497E-3</v>
      </c>
      <c r="K130" s="157">
        <f t="shared" si="5"/>
        <v>5.4759906784013247E-2</v>
      </c>
      <c r="L130" s="151"/>
    </row>
    <row r="131" spans="1:12" ht="14.25" hidden="1" x14ac:dyDescent="0.2">
      <c r="A131" s="38">
        <v>35583</v>
      </c>
      <c r="B131">
        <v>63.44</v>
      </c>
      <c r="C131" s="28">
        <f t="shared" si="3"/>
        <v>4.3492117708989697E-2</v>
      </c>
      <c r="G131" s="39">
        <v>35583</v>
      </c>
      <c r="H131" s="155">
        <v>63.44</v>
      </c>
      <c r="I131" s="147">
        <f t="shared" si="4"/>
        <v>4.3492117708989697E-2</v>
      </c>
      <c r="J131" s="158">
        <f>'3month_treasury (2)'!D125</f>
        <v>4.3183123941497028E-3</v>
      </c>
      <c r="K131" s="157">
        <f t="shared" si="5"/>
        <v>3.9173805314839993E-2</v>
      </c>
      <c r="L131" s="151"/>
    </row>
    <row r="132" spans="1:12" ht="14.25" hidden="1" x14ac:dyDescent="0.2">
      <c r="A132" s="38">
        <v>35612</v>
      </c>
      <c r="B132">
        <v>68.5</v>
      </c>
      <c r="C132" s="28">
        <f t="shared" si="3"/>
        <v>7.6739167941587139E-2</v>
      </c>
      <c r="G132" s="39">
        <v>35612</v>
      </c>
      <c r="H132" s="155">
        <v>68.5</v>
      </c>
      <c r="I132" s="147">
        <f t="shared" si="4"/>
        <v>7.6739167941587139E-2</v>
      </c>
      <c r="J132" s="158">
        <f>'3month_treasury (2)'!D126</f>
        <v>4.2130603014293591E-3</v>
      </c>
      <c r="K132" s="157">
        <f t="shared" si="5"/>
        <v>7.252610764015778E-2</v>
      </c>
      <c r="L132" s="151"/>
    </row>
    <row r="133" spans="1:12" ht="14.25" hidden="1" x14ac:dyDescent="0.2">
      <c r="A133" s="38">
        <v>35643</v>
      </c>
      <c r="B133">
        <v>64.650000000000006</v>
      </c>
      <c r="C133" s="28">
        <f t="shared" si="3"/>
        <v>-5.7845640050313035E-2</v>
      </c>
      <c r="G133" s="39">
        <v>35643</v>
      </c>
      <c r="H133" s="155">
        <v>64.650000000000006</v>
      </c>
      <c r="I133" s="147">
        <f t="shared" si="4"/>
        <v>-5.7845640050313035E-2</v>
      </c>
      <c r="J133" s="158">
        <f>'3month_treasury (2)'!D127</f>
        <v>4.3183123941497028E-3</v>
      </c>
      <c r="K133" s="157">
        <f t="shared" si="5"/>
        <v>-6.2163952444462739E-2</v>
      </c>
      <c r="L133" s="151"/>
    </row>
    <row r="134" spans="1:12" ht="14.25" hidden="1" x14ac:dyDescent="0.2">
      <c r="A134" s="38">
        <v>35675</v>
      </c>
      <c r="B134">
        <v>68.19</v>
      </c>
      <c r="C134" s="28">
        <f t="shared" si="3"/>
        <v>5.3309821314694951E-2</v>
      </c>
      <c r="G134" s="39">
        <v>35675</v>
      </c>
      <c r="H134" s="155">
        <v>68.19</v>
      </c>
      <c r="I134" s="147">
        <f t="shared" si="4"/>
        <v>5.3309821314694951E-2</v>
      </c>
      <c r="J134" s="158">
        <f>'3month_treasury (2)'!D128</f>
        <v>4.3973387948879833E-3</v>
      </c>
      <c r="K134" s="157">
        <f t="shared" si="5"/>
        <v>4.8912482519806968E-2</v>
      </c>
      <c r="L134" s="151"/>
    </row>
    <row r="135" spans="1:12" ht="14.25" hidden="1" x14ac:dyDescent="0.2">
      <c r="A135" s="38">
        <v>35704</v>
      </c>
      <c r="B135">
        <v>65.900000000000006</v>
      </c>
      <c r="C135" s="28">
        <f t="shared" si="3"/>
        <v>-3.4159485024099878E-2</v>
      </c>
      <c r="G135" s="39">
        <v>35704</v>
      </c>
      <c r="H135" s="155">
        <v>65.900000000000006</v>
      </c>
      <c r="I135" s="147">
        <f t="shared" si="4"/>
        <v>-3.4159485024099878E-2</v>
      </c>
      <c r="J135" s="158">
        <f>'3month_treasury (2)'!D129</f>
        <v>4.2305930878044351E-3</v>
      </c>
      <c r="K135" s="157">
        <f t="shared" si="5"/>
        <v>-3.8390078111904313E-2</v>
      </c>
      <c r="L135" s="151"/>
    </row>
    <row r="136" spans="1:12" ht="14.25" hidden="1" x14ac:dyDescent="0.2">
      <c r="A136" s="38">
        <v>35737</v>
      </c>
      <c r="B136">
        <v>68.930000000000007</v>
      </c>
      <c r="C136" s="28">
        <f t="shared" si="3"/>
        <v>4.4953055389098932E-2</v>
      </c>
      <c r="G136" s="39">
        <v>35737</v>
      </c>
      <c r="H136" s="155">
        <v>68.930000000000007</v>
      </c>
      <c r="I136" s="147">
        <f t="shared" si="4"/>
        <v>4.4953055389098932E-2</v>
      </c>
      <c r="J136" s="158">
        <f>'3month_treasury (2)'!D130</f>
        <v>4.248129563738965E-3</v>
      </c>
      <c r="K136" s="157">
        <f t="shared" si="5"/>
        <v>4.0704925825359964E-2</v>
      </c>
      <c r="L136" s="151"/>
    </row>
    <row r="137" spans="1:12" ht="14.25" hidden="1" x14ac:dyDescent="0.2">
      <c r="A137" s="38">
        <v>35765</v>
      </c>
      <c r="B137">
        <v>70.11</v>
      </c>
      <c r="C137" s="28">
        <f t="shared" si="3"/>
        <v>1.6973940321315755E-2</v>
      </c>
      <c r="G137" s="39">
        <v>35765</v>
      </c>
      <c r="H137" s="155">
        <v>70.11</v>
      </c>
      <c r="I137" s="147">
        <f t="shared" si="4"/>
        <v>1.6973940321315755E-2</v>
      </c>
      <c r="J137" s="158">
        <f>'3month_treasury (2)'!D131</f>
        <v>4.3973387948879833E-3</v>
      </c>
      <c r="K137" s="157">
        <f t="shared" si="5"/>
        <v>1.2576601526427773E-2</v>
      </c>
      <c r="L137" s="151"/>
    </row>
    <row r="138" spans="1:12" ht="14.25" hidden="1" x14ac:dyDescent="0.2">
      <c r="A138" s="38">
        <v>35797</v>
      </c>
      <c r="B138">
        <v>70.89</v>
      </c>
      <c r="C138" s="28">
        <f t="shared" ref="C138:C201" si="6">LN(B138/B137)</f>
        <v>1.1063942648049885E-2</v>
      </c>
      <c r="G138" s="39">
        <v>35797</v>
      </c>
      <c r="H138" s="155">
        <v>70.89</v>
      </c>
      <c r="I138" s="147">
        <f t="shared" ref="I138:I201" si="7">LN(H138/H137)</f>
        <v>1.1063942648049885E-2</v>
      </c>
      <c r="J138" s="158">
        <f>'3month_treasury (2)'!D132</f>
        <v>4.4149103992405497E-3</v>
      </c>
      <c r="K138" s="157">
        <f t="shared" ref="K138:K201" si="8">I138-J138</f>
        <v>6.6490322488093351E-3</v>
      </c>
      <c r="L138" s="151"/>
    </row>
    <row r="139" spans="1:12" ht="14.25" hidden="1" x14ac:dyDescent="0.2">
      <c r="A139" s="38">
        <v>35828</v>
      </c>
      <c r="B139">
        <v>75.989999999999995</v>
      </c>
      <c r="C139" s="28">
        <f t="shared" si="6"/>
        <v>6.9472372814767383E-2</v>
      </c>
      <c r="G139" s="39">
        <v>35828</v>
      </c>
      <c r="H139" s="155">
        <v>75.989999999999995</v>
      </c>
      <c r="I139" s="147">
        <f t="shared" si="7"/>
        <v>6.9472372814767383E-2</v>
      </c>
      <c r="J139" s="158">
        <f>'3month_treasury (2)'!D133</f>
        <v>4.3095363072232409E-3</v>
      </c>
      <c r="K139" s="157">
        <f t="shared" si="8"/>
        <v>6.5162836507544147E-2</v>
      </c>
      <c r="L139" s="151"/>
    </row>
    <row r="140" spans="1:12" ht="14.25" hidden="1" x14ac:dyDescent="0.2">
      <c r="A140" s="38">
        <v>35856</v>
      </c>
      <c r="B140">
        <v>79.86</v>
      </c>
      <c r="C140" s="28">
        <f t="shared" si="6"/>
        <v>4.9673348953381678E-2</v>
      </c>
      <c r="G140" s="39">
        <v>35856</v>
      </c>
      <c r="H140" s="155">
        <v>79.86</v>
      </c>
      <c r="I140" s="147">
        <f t="shared" si="7"/>
        <v>4.9673348953381678E-2</v>
      </c>
      <c r="J140" s="158">
        <f>'3month_treasury (2)'!D134</f>
        <v>4.3534259871408796E-3</v>
      </c>
      <c r="K140" s="157">
        <f t="shared" si="8"/>
        <v>4.5319922966240801E-2</v>
      </c>
      <c r="L140" s="151"/>
    </row>
    <row r="141" spans="1:12" ht="14.25" hidden="1" x14ac:dyDescent="0.2">
      <c r="A141" s="38">
        <v>35886</v>
      </c>
      <c r="B141">
        <v>80.67</v>
      </c>
      <c r="C141" s="28">
        <f t="shared" si="6"/>
        <v>1.0091657313807765E-2</v>
      </c>
      <c r="G141" s="39">
        <v>35886</v>
      </c>
      <c r="H141" s="155">
        <v>80.67</v>
      </c>
      <c r="I141" s="147">
        <f t="shared" si="7"/>
        <v>1.0091657313807765E-2</v>
      </c>
      <c r="J141" s="158">
        <f>'3month_treasury (2)'!D135</f>
        <v>4.3007611444358515E-3</v>
      </c>
      <c r="K141" s="157">
        <f t="shared" si="8"/>
        <v>5.7908961693719134E-3</v>
      </c>
      <c r="L141" s="151"/>
    </row>
    <row r="142" spans="1:12" ht="14.25" hidden="1" x14ac:dyDescent="0.2">
      <c r="A142" s="38">
        <v>35916</v>
      </c>
      <c r="B142">
        <v>79.260000000000005</v>
      </c>
      <c r="C142" s="28">
        <f t="shared" si="6"/>
        <v>-1.7633171186593955E-2</v>
      </c>
      <c r="G142" s="39">
        <v>35916</v>
      </c>
      <c r="H142" s="155">
        <v>79.260000000000005</v>
      </c>
      <c r="I142" s="147">
        <f t="shared" si="7"/>
        <v>-1.7633171186593955E-2</v>
      </c>
      <c r="J142" s="158">
        <f>'3month_treasury (2)'!D136</f>
        <v>4.2305930878044351E-3</v>
      </c>
      <c r="K142" s="157">
        <f t="shared" si="8"/>
        <v>-2.186376427439839E-2</v>
      </c>
      <c r="L142" s="151"/>
    </row>
    <row r="143" spans="1:12" ht="14.25" hidden="1" x14ac:dyDescent="0.2">
      <c r="A143" s="38">
        <v>35947</v>
      </c>
      <c r="B143">
        <v>82.49</v>
      </c>
      <c r="C143" s="28">
        <f t="shared" si="6"/>
        <v>3.9943486110351256E-2</v>
      </c>
      <c r="G143" s="39">
        <v>35947</v>
      </c>
      <c r="H143" s="155">
        <v>82.49</v>
      </c>
      <c r="I143" s="147">
        <f t="shared" si="7"/>
        <v>3.9943486110351256E-2</v>
      </c>
      <c r="J143" s="158">
        <f>'3month_treasury (2)'!D137</f>
        <v>4.2744411989625404E-3</v>
      </c>
      <c r="K143" s="157">
        <f t="shared" si="8"/>
        <v>3.5669044911388718E-2</v>
      </c>
      <c r="L143" s="151"/>
    </row>
    <row r="144" spans="1:12" ht="14.25" hidden="1" x14ac:dyDescent="0.2">
      <c r="A144" s="38">
        <v>35977</v>
      </c>
      <c r="B144">
        <v>81.62</v>
      </c>
      <c r="C144" s="28">
        <f t="shared" si="6"/>
        <v>-1.0602743894980633E-2</v>
      </c>
      <c r="G144" s="39">
        <v>35977</v>
      </c>
      <c r="H144" s="155">
        <v>81.62</v>
      </c>
      <c r="I144" s="147">
        <f t="shared" si="7"/>
        <v>-1.0602743894980633E-2</v>
      </c>
      <c r="J144" s="158">
        <f>'3month_treasury (2)'!D138</f>
        <v>4.2568991857763533E-3</v>
      </c>
      <c r="K144" s="157">
        <f t="shared" si="8"/>
        <v>-1.4859643080756987E-2</v>
      </c>
      <c r="L144" s="151"/>
    </row>
    <row r="145" spans="1:12" ht="14.25" hidden="1" x14ac:dyDescent="0.2">
      <c r="A145" s="38">
        <v>36010</v>
      </c>
      <c r="B145">
        <v>69.81</v>
      </c>
      <c r="C145" s="28">
        <f t="shared" si="6"/>
        <v>-0.15629706399534959</v>
      </c>
      <c r="G145" s="39">
        <v>36010</v>
      </c>
      <c r="H145" s="155">
        <v>69.81</v>
      </c>
      <c r="I145" s="147">
        <f t="shared" si="7"/>
        <v>-0.15629706399534959</v>
      </c>
      <c r="J145" s="158">
        <f>'3month_treasury (2)'!D139</f>
        <v>4.2393608644797085E-3</v>
      </c>
      <c r="K145" s="157">
        <f t="shared" si="8"/>
        <v>-0.1605364248598293</v>
      </c>
      <c r="L145" s="151"/>
    </row>
    <row r="146" spans="1:12" ht="14.25" hidden="1" x14ac:dyDescent="0.2">
      <c r="A146" s="38">
        <v>36039</v>
      </c>
      <c r="B146">
        <v>74.28</v>
      </c>
      <c r="C146" s="28">
        <f t="shared" si="6"/>
        <v>6.2064470502195025E-2</v>
      </c>
      <c r="G146" s="39">
        <v>36039</v>
      </c>
      <c r="H146" s="155">
        <v>74.28</v>
      </c>
      <c r="I146" s="147">
        <f t="shared" si="7"/>
        <v>6.2064470502195025E-2</v>
      </c>
      <c r="J146" s="158">
        <f>'3month_treasury (2)'!D140</f>
        <v>4.1867680363955719E-3</v>
      </c>
      <c r="K146" s="157">
        <f t="shared" si="8"/>
        <v>5.7877702465799451E-2</v>
      </c>
      <c r="L146" s="151"/>
    </row>
    <row r="147" spans="1:12" ht="14.25" hidden="1" x14ac:dyDescent="0.2">
      <c r="A147" s="38">
        <v>36069</v>
      </c>
      <c r="B147">
        <v>80.349999999999994</v>
      </c>
      <c r="C147" s="28">
        <f t="shared" si="6"/>
        <v>7.8550355699016416E-2</v>
      </c>
      <c r="G147" s="39">
        <v>36069</v>
      </c>
      <c r="H147" s="155">
        <v>80.349999999999994</v>
      </c>
      <c r="I147" s="147">
        <f t="shared" si="7"/>
        <v>7.8550355699016416E-2</v>
      </c>
      <c r="J147" s="158">
        <f>'3month_treasury (2)'!D141</f>
        <v>3.9330362359145483E-3</v>
      </c>
      <c r="K147" s="157">
        <f t="shared" si="8"/>
        <v>7.4617319463101864E-2</v>
      </c>
      <c r="L147" s="151"/>
    </row>
    <row r="148" spans="1:12" ht="14.25" hidden="1" x14ac:dyDescent="0.2">
      <c r="A148" s="38">
        <v>36101</v>
      </c>
      <c r="B148">
        <v>85.23</v>
      </c>
      <c r="C148" s="28">
        <f t="shared" si="6"/>
        <v>5.8961392350684781E-2</v>
      </c>
      <c r="G148" s="39">
        <v>36101</v>
      </c>
      <c r="H148" s="155">
        <v>85.23</v>
      </c>
      <c r="I148" s="147">
        <f t="shared" si="7"/>
        <v>5.8961392350684781E-2</v>
      </c>
      <c r="J148" s="158">
        <f>'3month_treasury (2)'!D142</f>
        <v>3.3671178862532281E-3</v>
      </c>
      <c r="K148" s="157">
        <f t="shared" si="8"/>
        <v>5.5594274464431555E-2</v>
      </c>
      <c r="L148" s="151"/>
    </row>
    <row r="149" spans="1:12" ht="14.25" hidden="1" x14ac:dyDescent="0.2">
      <c r="A149" s="38">
        <v>36130</v>
      </c>
      <c r="B149">
        <v>90.17</v>
      </c>
      <c r="C149" s="28">
        <f t="shared" si="6"/>
        <v>5.6343292977609004E-2</v>
      </c>
      <c r="G149" s="39">
        <v>36130</v>
      </c>
      <c r="H149" s="155">
        <v>90.17</v>
      </c>
      <c r="I149" s="147">
        <f t="shared" si="7"/>
        <v>5.6343292977609004E-2</v>
      </c>
      <c r="J149" s="158">
        <f>'3month_treasury (2)'!D143</f>
        <v>3.7584978260350125E-3</v>
      </c>
      <c r="K149" s="157">
        <f t="shared" si="8"/>
        <v>5.2584795151573993E-2</v>
      </c>
      <c r="L149" s="151"/>
    </row>
    <row r="150" spans="1:12" ht="14.25" hidden="1" x14ac:dyDescent="0.2">
      <c r="A150" s="38">
        <v>36164</v>
      </c>
      <c r="B150">
        <v>93.97</v>
      </c>
      <c r="C150" s="28">
        <f t="shared" si="6"/>
        <v>4.1278804883158347E-2</v>
      </c>
      <c r="G150" s="39">
        <v>36164</v>
      </c>
      <c r="H150" s="155">
        <v>93.97</v>
      </c>
      <c r="I150" s="147">
        <f t="shared" si="7"/>
        <v>4.1278804883158347E-2</v>
      </c>
      <c r="J150" s="158">
        <f>'3month_treasury (2)'!D144</f>
        <v>3.7410640742280596E-3</v>
      </c>
      <c r="K150" s="157">
        <f t="shared" si="8"/>
        <v>3.7537740808930291E-2</v>
      </c>
      <c r="L150" s="151"/>
    </row>
    <row r="151" spans="1:12" ht="14.25" hidden="1" x14ac:dyDescent="0.2">
      <c r="A151" s="38">
        <v>36192</v>
      </c>
      <c r="B151">
        <v>91.03</v>
      </c>
      <c r="C151" s="28">
        <f t="shared" si="6"/>
        <v>-3.1786459877776146E-2</v>
      </c>
      <c r="G151" s="39">
        <v>36192</v>
      </c>
      <c r="H151" s="155">
        <v>91.03</v>
      </c>
      <c r="I151" s="147">
        <f t="shared" si="7"/>
        <v>-3.1786459877776146E-2</v>
      </c>
      <c r="J151" s="158">
        <f>'3month_treasury (2)'!D145</f>
        <v>3.6974956446617067E-3</v>
      </c>
      <c r="K151" s="157">
        <f t="shared" si="8"/>
        <v>-3.5483955522437854E-2</v>
      </c>
      <c r="L151" s="151"/>
    </row>
    <row r="152" spans="1:12" ht="14.25" hidden="1" x14ac:dyDescent="0.2">
      <c r="A152" s="38">
        <v>36220</v>
      </c>
      <c r="B152">
        <v>94.66</v>
      </c>
      <c r="C152" s="28">
        <f t="shared" si="6"/>
        <v>3.9102401960904434E-2</v>
      </c>
      <c r="G152" s="39">
        <v>36220</v>
      </c>
      <c r="H152" s="155">
        <v>94.66</v>
      </c>
      <c r="I152" s="147">
        <f t="shared" si="7"/>
        <v>3.9102401960904434E-2</v>
      </c>
      <c r="J152" s="158">
        <f>'3month_treasury (2)'!D146</f>
        <v>3.7846552942068842E-3</v>
      </c>
      <c r="K152" s="157">
        <f t="shared" si="8"/>
        <v>3.5317746666697548E-2</v>
      </c>
      <c r="L152" s="151"/>
    </row>
    <row r="153" spans="1:12" ht="14.25" hidden="1" x14ac:dyDescent="0.2">
      <c r="A153" s="38">
        <v>36251</v>
      </c>
      <c r="B153">
        <v>98.31</v>
      </c>
      <c r="C153" s="28">
        <f t="shared" si="6"/>
        <v>3.7834226900731009E-2</v>
      </c>
      <c r="G153" s="39">
        <v>36251</v>
      </c>
      <c r="H153" s="155">
        <v>98.31</v>
      </c>
      <c r="I153" s="147">
        <f t="shared" si="7"/>
        <v>3.7834226900731009E-2</v>
      </c>
      <c r="J153" s="158">
        <f>'3month_treasury (2)'!D147</f>
        <v>3.7846552942068842E-3</v>
      </c>
      <c r="K153" s="157">
        <f t="shared" si="8"/>
        <v>3.4049571606524123E-2</v>
      </c>
      <c r="L153" s="151"/>
    </row>
    <row r="154" spans="1:12" ht="14.25" hidden="1" x14ac:dyDescent="0.2">
      <c r="A154" s="38">
        <v>36283</v>
      </c>
      <c r="B154">
        <v>95.96</v>
      </c>
      <c r="C154" s="28">
        <f t="shared" si="6"/>
        <v>-2.4194313407339164E-2</v>
      </c>
      <c r="G154" s="39">
        <v>36283</v>
      </c>
      <c r="H154" s="155">
        <v>95.96</v>
      </c>
      <c r="I154" s="147">
        <f t="shared" si="7"/>
        <v>-2.4194313407339164E-2</v>
      </c>
      <c r="J154" s="158">
        <f>'3month_treasury (2)'!D148</f>
        <v>3.6539499816897014E-3</v>
      </c>
      <c r="K154" s="157">
        <f t="shared" si="8"/>
        <v>-2.7848263389028866E-2</v>
      </c>
      <c r="L154" s="151"/>
    </row>
    <row r="155" spans="1:12" ht="14.25" hidden="1" x14ac:dyDescent="0.2">
      <c r="A155" s="38">
        <v>36312</v>
      </c>
      <c r="B155">
        <v>101.29</v>
      </c>
      <c r="C155" s="28">
        <f t="shared" si="6"/>
        <v>5.4056251727212123E-2</v>
      </c>
      <c r="G155" s="39">
        <v>36312</v>
      </c>
      <c r="H155" s="155">
        <v>101.29</v>
      </c>
      <c r="I155" s="147">
        <f t="shared" si="7"/>
        <v>5.4056251727212123E-2</v>
      </c>
      <c r="J155" s="158">
        <f>'3month_treasury (2)'!D149</f>
        <v>3.8369948751172333E-3</v>
      </c>
      <c r="K155" s="157">
        <f t="shared" si="8"/>
        <v>5.0219256852094891E-2</v>
      </c>
      <c r="L155" s="151"/>
    </row>
    <row r="156" spans="1:12" ht="14.25" hidden="1" x14ac:dyDescent="0.2">
      <c r="A156" s="38">
        <v>36342</v>
      </c>
      <c r="B156">
        <v>98.12</v>
      </c>
      <c r="C156" s="28">
        <f t="shared" si="6"/>
        <v>-3.1796470308417223E-2</v>
      </c>
      <c r="G156" s="39">
        <v>36342</v>
      </c>
      <c r="H156" s="155">
        <v>98.12</v>
      </c>
      <c r="I156" s="147">
        <f t="shared" si="7"/>
        <v>-3.1796470308417223E-2</v>
      </c>
      <c r="J156" s="158">
        <f>'3month_treasury (2)'!D150</f>
        <v>3.8980992965773984E-3</v>
      </c>
      <c r="K156" s="157">
        <f t="shared" si="8"/>
        <v>-3.5694569604994619E-2</v>
      </c>
      <c r="L156" s="151"/>
    </row>
    <row r="157" spans="1:12" ht="14.25" hidden="1" x14ac:dyDescent="0.2">
      <c r="A157" s="38">
        <v>36374</v>
      </c>
      <c r="B157">
        <v>97.64</v>
      </c>
      <c r="C157" s="28">
        <f t="shared" si="6"/>
        <v>-4.9039738655293191E-3</v>
      </c>
      <c r="G157" s="39">
        <v>36374</v>
      </c>
      <c r="H157" s="155">
        <v>97.64</v>
      </c>
      <c r="I157" s="147">
        <f t="shared" si="7"/>
        <v>-4.9039738655293191E-3</v>
      </c>
      <c r="J157" s="158">
        <f>'3month_treasury (2)'!D151</f>
        <v>3.8806363180278868E-3</v>
      </c>
      <c r="K157" s="157">
        <f t="shared" si="8"/>
        <v>-8.7846101835572059E-3</v>
      </c>
      <c r="L157" s="151"/>
    </row>
    <row r="158" spans="1:12" ht="14.25" hidden="1" x14ac:dyDescent="0.2">
      <c r="A158" s="38">
        <v>36404</v>
      </c>
      <c r="B158">
        <v>94.96</v>
      </c>
      <c r="C158" s="28">
        <f t="shared" si="6"/>
        <v>-2.783149522334679E-2</v>
      </c>
      <c r="G158" s="39">
        <v>36404</v>
      </c>
      <c r="H158" s="155">
        <v>94.96</v>
      </c>
      <c r="I158" s="147">
        <f t="shared" si="7"/>
        <v>-2.783149522334679E-2</v>
      </c>
      <c r="J158" s="158">
        <f>'3month_treasury (2)'!D152</f>
        <v>4.029188411753897E-3</v>
      </c>
      <c r="K158" s="157">
        <f t="shared" si="8"/>
        <v>-3.1860683635100688E-2</v>
      </c>
      <c r="L158" s="151"/>
    </row>
    <row r="159" spans="1:12" ht="14.25" hidden="1" x14ac:dyDescent="0.2">
      <c r="A159" s="38">
        <v>36434</v>
      </c>
      <c r="B159">
        <v>100.97</v>
      </c>
      <c r="C159" s="28">
        <f t="shared" si="6"/>
        <v>6.1367692714817186E-2</v>
      </c>
      <c r="G159" s="39">
        <v>36434</v>
      </c>
      <c r="H159" s="155">
        <v>100.97</v>
      </c>
      <c r="I159" s="147">
        <f t="shared" si="7"/>
        <v>6.1367692714817186E-2</v>
      </c>
      <c r="J159" s="158">
        <f>'3month_treasury (2)'!D153</f>
        <v>3.9942111464625054E-3</v>
      </c>
      <c r="K159" s="157">
        <f t="shared" si="8"/>
        <v>5.737348156835468E-2</v>
      </c>
      <c r="L159" s="151"/>
    </row>
    <row r="160" spans="1:12" ht="14.25" hidden="1" x14ac:dyDescent="0.2">
      <c r="A160" s="38">
        <v>36465</v>
      </c>
      <c r="B160">
        <v>103.01</v>
      </c>
      <c r="C160" s="28">
        <f t="shared" si="6"/>
        <v>2.0002627879372476E-2</v>
      </c>
      <c r="G160" s="39">
        <v>36465</v>
      </c>
      <c r="H160" s="155">
        <v>103.01</v>
      </c>
      <c r="I160" s="147">
        <f t="shared" si="7"/>
        <v>2.0002627879372476E-2</v>
      </c>
      <c r="J160" s="158">
        <f>'3month_treasury (2)'!D154</f>
        <v>4.1517245819963321E-3</v>
      </c>
      <c r="K160" s="157">
        <f t="shared" si="8"/>
        <v>1.5850903297376144E-2</v>
      </c>
      <c r="L160" s="151"/>
    </row>
    <row r="161" spans="1:12" ht="14.25" hidden="1" x14ac:dyDescent="0.2">
      <c r="A161" s="38">
        <v>36495</v>
      </c>
      <c r="B161">
        <v>109.18</v>
      </c>
      <c r="C161" s="28">
        <f t="shared" si="6"/>
        <v>5.817182545800953E-2</v>
      </c>
      <c r="G161" s="39">
        <v>36495</v>
      </c>
      <c r="H161" s="155">
        <v>109.18</v>
      </c>
      <c r="I161" s="147">
        <f t="shared" si="7"/>
        <v>5.817182545800953E-2</v>
      </c>
      <c r="J161" s="158">
        <f>'3month_treasury (2)'!D155</f>
        <v>4.3358673411986902E-3</v>
      </c>
      <c r="K161" s="157">
        <f t="shared" si="8"/>
        <v>5.3835958116810842E-2</v>
      </c>
      <c r="L161" s="151"/>
    </row>
    <row r="162" spans="1:12" ht="14.25" hidden="1" x14ac:dyDescent="0.2">
      <c r="A162" s="38">
        <v>36528</v>
      </c>
      <c r="B162">
        <v>103.69</v>
      </c>
      <c r="C162" s="28">
        <f t="shared" si="6"/>
        <v>-5.15922177834248E-2</v>
      </c>
      <c r="G162" s="39">
        <v>36528</v>
      </c>
      <c r="H162" s="155">
        <v>103.69</v>
      </c>
      <c r="I162" s="147">
        <f t="shared" si="7"/>
        <v>-5.15922177834248E-2</v>
      </c>
      <c r="J162" s="158">
        <f>'3month_treasury (2)'!D156</f>
        <v>4.4500647272596042E-3</v>
      </c>
      <c r="K162" s="157">
        <f t="shared" si="8"/>
        <v>-5.6042282510684403E-2</v>
      </c>
      <c r="L162" s="151"/>
    </row>
    <row r="163" spans="1:12" ht="14.25" hidden="1" x14ac:dyDescent="0.2">
      <c r="A163" s="38">
        <v>36557</v>
      </c>
      <c r="B163">
        <v>101.71</v>
      </c>
      <c r="C163" s="28">
        <f t="shared" si="6"/>
        <v>-1.9280051932682039E-2</v>
      </c>
      <c r="G163" s="39">
        <v>36557</v>
      </c>
      <c r="H163" s="155">
        <v>101.71</v>
      </c>
      <c r="I163" s="147">
        <f t="shared" si="7"/>
        <v>-1.9280051932682039E-2</v>
      </c>
      <c r="J163" s="158">
        <f>'3month_treasury (2)'!D157</f>
        <v>4.5556167785256686E-3</v>
      </c>
      <c r="K163" s="157">
        <f t="shared" si="8"/>
        <v>-2.3835668711207708E-2</v>
      </c>
      <c r="L163" s="151"/>
    </row>
    <row r="164" spans="1:12" ht="14.25" hidden="1" x14ac:dyDescent="0.2">
      <c r="A164" s="38">
        <v>36586</v>
      </c>
      <c r="B164">
        <v>111.64</v>
      </c>
      <c r="C164" s="28">
        <f t="shared" si="6"/>
        <v>9.3153782030616694E-2</v>
      </c>
      <c r="G164" s="39">
        <v>36586</v>
      </c>
      <c r="H164" s="155">
        <v>111.64</v>
      </c>
      <c r="I164" s="147">
        <f t="shared" si="7"/>
        <v>9.3153782030616694E-2</v>
      </c>
      <c r="J164" s="158">
        <f>'3month_treasury (2)'!D158</f>
        <v>4.7582993367143904E-3</v>
      </c>
      <c r="K164" s="157">
        <f t="shared" si="8"/>
        <v>8.8395482693902308E-2</v>
      </c>
      <c r="L164" s="151"/>
    </row>
    <row r="165" spans="1:12" ht="14.25" hidden="1" x14ac:dyDescent="0.2">
      <c r="A165" s="38">
        <v>36619</v>
      </c>
      <c r="B165">
        <v>108.28</v>
      </c>
      <c r="C165" s="28">
        <f t="shared" si="6"/>
        <v>-3.0558943922020982E-2</v>
      </c>
      <c r="G165" s="39">
        <v>36619</v>
      </c>
      <c r="H165" s="155">
        <v>108.28</v>
      </c>
      <c r="I165" s="147">
        <f t="shared" si="7"/>
        <v>-3.0558943922020982E-2</v>
      </c>
      <c r="J165" s="158">
        <f>'3month_treasury (2)'!D159</f>
        <v>4.881913119358163E-3</v>
      </c>
      <c r="K165" s="157">
        <f t="shared" si="8"/>
        <v>-3.5440857041379142E-2</v>
      </c>
      <c r="L165" s="151"/>
    </row>
    <row r="166" spans="1:12" ht="14.25" hidden="1" x14ac:dyDescent="0.2">
      <c r="A166" s="38">
        <v>36647</v>
      </c>
      <c r="B166">
        <v>106.07</v>
      </c>
      <c r="C166" s="28">
        <f t="shared" si="6"/>
        <v>-2.0621211228721605E-2</v>
      </c>
      <c r="G166" s="39">
        <v>36647</v>
      </c>
      <c r="H166" s="155">
        <v>106.07</v>
      </c>
      <c r="I166" s="147">
        <f t="shared" si="7"/>
        <v>-2.0621211228721605E-2</v>
      </c>
      <c r="J166" s="158">
        <f>'3month_treasury (2)'!D160</f>
        <v>4.8554090109979714E-3</v>
      </c>
      <c r="K166" s="157">
        <f t="shared" si="8"/>
        <v>-2.5476620239719576E-2</v>
      </c>
      <c r="L166" s="151"/>
    </row>
    <row r="167" spans="1:12" ht="14.25" hidden="1" x14ac:dyDescent="0.2">
      <c r="A167" s="38">
        <v>36678</v>
      </c>
      <c r="B167">
        <v>108.71</v>
      </c>
      <c r="C167" s="28">
        <f t="shared" si="6"/>
        <v>2.4584532698530125E-2</v>
      </c>
      <c r="G167" s="39">
        <v>36678</v>
      </c>
      <c r="H167" s="155">
        <v>108.71</v>
      </c>
      <c r="I167" s="147">
        <f t="shared" si="7"/>
        <v>2.4584532698530125E-2</v>
      </c>
      <c r="J167" s="158">
        <f>'3month_treasury (2)'!D161</f>
        <v>4.9703210772929149E-3</v>
      </c>
      <c r="K167" s="157">
        <f t="shared" si="8"/>
        <v>1.961421162123721E-2</v>
      </c>
      <c r="L167" s="151"/>
    </row>
    <row r="168" spans="1:12" ht="14.25" hidden="1" x14ac:dyDescent="0.2">
      <c r="A168" s="38">
        <v>36710</v>
      </c>
      <c r="B168">
        <v>107.09</v>
      </c>
      <c r="C168" s="28">
        <f t="shared" si="6"/>
        <v>-1.5014183803125254E-2</v>
      </c>
      <c r="G168" s="39">
        <v>36710</v>
      </c>
      <c r="H168" s="155">
        <v>107.09</v>
      </c>
      <c r="I168" s="147">
        <f t="shared" si="7"/>
        <v>-1.5014183803125254E-2</v>
      </c>
      <c r="J168" s="158">
        <f>'3month_treasury (2)'!D162</f>
        <v>4.881913119358163E-3</v>
      </c>
      <c r="K168" s="157">
        <f t="shared" si="8"/>
        <v>-1.9896096922483418E-2</v>
      </c>
      <c r="L168" s="151"/>
    </row>
    <row r="169" spans="1:12" ht="14.25" hidden="1" x14ac:dyDescent="0.2">
      <c r="A169" s="38">
        <v>36739</v>
      </c>
      <c r="B169">
        <v>113.72</v>
      </c>
      <c r="C169" s="28">
        <f t="shared" si="6"/>
        <v>6.0069684370015378E-2</v>
      </c>
      <c r="G169" s="39">
        <v>36739</v>
      </c>
      <c r="H169" s="155">
        <v>113.72</v>
      </c>
      <c r="I169" s="147">
        <f t="shared" si="7"/>
        <v>6.0069684370015378E-2</v>
      </c>
      <c r="J169" s="158">
        <f>'3month_treasury (2)'!D163</f>
        <v>5.1208301930185498E-3</v>
      </c>
      <c r="K169" s="157">
        <f t="shared" si="8"/>
        <v>5.4948854176996825E-2</v>
      </c>
      <c r="L169" s="151"/>
    </row>
    <row r="170" spans="1:12" ht="14.25" hidden="1" x14ac:dyDescent="0.2">
      <c r="A170" s="38">
        <v>36770</v>
      </c>
      <c r="B170">
        <v>107.7</v>
      </c>
      <c r="C170" s="28">
        <f t="shared" si="6"/>
        <v>-5.438970262045615E-2</v>
      </c>
      <c r="G170" s="39">
        <v>36770</v>
      </c>
      <c r="H170" s="155">
        <v>107.7</v>
      </c>
      <c r="I170" s="147">
        <f t="shared" si="7"/>
        <v>-5.438970262045615E-2</v>
      </c>
      <c r="J170" s="158">
        <f>'3month_treasury (2)'!D164</f>
        <v>5.2361090976307577E-3</v>
      </c>
      <c r="K170" s="157">
        <f t="shared" si="8"/>
        <v>-5.962581171808691E-2</v>
      </c>
      <c r="L170" s="151"/>
    </row>
    <row r="171" spans="1:12" ht="14.25" hidden="1" x14ac:dyDescent="0.2">
      <c r="A171" s="38">
        <v>36801</v>
      </c>
      <c r="B171">
        <v>107.24</v>
      </c>
      <c r="C171" s="28">
        <f t="shared" si="6"/>
        <v>-4.2802707945844409E-3</v>
      </c>
      <c r="G171" s="39">
        <v>36801</v>
      </c>
      <c r="H171" s="155">
        <v>107.24</v>
      </c>
      <c r="I171" s="147">
        <f t="shared" si="7"/>
        <v>-4.2802707945844409E-3</v>
      </c>
      <c r="J171" s="158">
        <f>'3month_treasury (2)'!D165</f>
        <v>5.1562836431739544E-3</v>
      </c>
      <c r="K171" s="157">
        <f t="shared" si="8"/>
        <v>-9.4365544377583953E-3</v>
      </c>
      <c r="L171" s="151"/>
    </row>
    <row r="172" spans="1:12" ht="14.25" hidden="1" x14ac:dyDescent="0.2">
      <c r="A172" s="38">
        <v>36831</v>
      </c>
      <c r="B172">
        <v>98.79</v>
      </c>
      <c r="C172" s="28">
        <f t="shared" si="6"/>
        <v>-8.2072928311375859E-2</v>
      </c>
      <c r="G172" s="39">
        <v>36831</v>
      </c>
      <c r="H172" s="155">
        <v>98.79</v>
      </c>
      <c r="I172" s="147">
        <f t="shared" si="7"/>
        <v>-8.2072928311375859E-2</v>
      </c>
      <c r="J172" s="158">
        <f>'3month_treasury (2)'!D166</f>
        <v>5.2538584764696035E-3</v>
      </c>
      <c r="K172" s="157">
        <f t="shared" si="8"/>
        <v>-8.7326786787845459E-2</v>
      </c>
      <c r="L172" s="151"/>
    </row>
    <row r="173" spans="1:12" ht="14.25" hidden="1" x14ac:dyDescent="0.2">
      <c r="A173" s="38">
        <v>36861</v>
      </c>
      <c r="B173">
        <v>99.3</v>
      </c>
      <c r="C173" s="28">
        <f t="shared" si="6"/>
        <v>5.1491859947441054E-3</v>
      </c>
      <c r="G173" s="39">
        <v>36861</v>
      </c>
      <c r="H173" s="155">
        <v>99.3</v>
      </c>
      <c r="I173" s="147">
        <f t="shared" si="7"/>
        <v>5.1491859947441054E-3</v>
      </c>
      <c r="J173" s="158">
        <f>'3month_treasury (2)'!D167</f>
        <v>5.3071293071777518E-3</v>
      </c>
      <c r="K173" s="157">
        <f t="shared" si="8"/>
        <v>-1.5794331243364646E-4</v>
      </c>
      <c r="L173" s="151"/>
    </row>
    <row r="174" spans="1:12" ht="14.25" hidden="1" x14ac:dyDescent="0.2">
      <c r="A174" s="38">
        <v>36893</v>
      </c>
      <c r="B174">
        <v>102.82</v>
      </c>
      <c r="C174" s="28">
        <f t="shared" si="6"/>
        <v>3.4834315576231678E-2</v>
      </c>
      <c r="G174" s="39">
        <v>36893</v>
      </c>
      <c r="H174" s="155">
        <v>102.82</v>
      </c>
      <c r="I174" s="147">
        <f t="shared" si="7"/>
        <v>3.4834315576231678E-2</v>
      </c>
      <c r="J174" s="158">
        <f>'3month_treasury (2)'!D168</f>
        <v>4.9526319807855429E-3</v>
      </c>
      <c r="K174" s="157">
        <f t="shared" si="8"/>
        <v>2.9881683595446136E-2</v>
      </c>
      <c r="L174" s="151"/>
    </row>
    <row r="175" spans="1:12" ht="14.25" hidden="1" x14ac:dyDescent="0.2">
      <c r="A175" s="38">
        <v>36923</v>
      </c>
      <c r="B175">
        <v>93.42</v>
      </c>
      <c r="C175" s="28">
        <f t="shared" si="6"/>
        <v>-9.5874431553396491E-2</v>
      </c>
      <c r="G175" s="39">
        <v>36923</v>
      </c>
      <c r="H175" s="155">
        <v>93.42</v>
      </c>
      <c r="I175" s="147">
        <f t="shared" si="7"/>
        <v>-9.5874431553396491E-2</v>
      </c>
      <c r="J175" s="158">
        <f>'3month_treasury (2)'!D169</f>
        <v>4.4061241339223489E-3</v>
      </c>
      <c r="K175" s="157">
        <f t="shared" si="8"/>
        <v>-0.10028055568731883</v>
      </c>
      <c r="L175" s="151"/>
    </row>
    <row r="176" spans="1:12" ht="14.25" hidden="1" x14ac:dyDescent="0.2">
      <c r="A176" s="38">
        <v>36951</v>
      </c>
      <c r="B176">
        <v>87.48</v>
      </c>
      <c r="C176" s="28">
        <f t="shared" si="6"/>
        <v>-6.5695259265394892E-2</v>
      </c>
      <c r="G176" s="39">
        <v>36951</v>
      </c>
      <c r="H176" s="155">
        <v>87.48</v>
      </c>
      <c r="I176" s="147">
        <f t="shared" si="7"/>
        <v>-6.5695259265394892E-2</v>
      </c>
      <c r="J176" s="158">
        <f>'3month_treasury (2)'!D170</f>
        <v>4.169244467130415E-3</v>
      </c>
      <c r="K176" s="157">
        <f t="shared" si="8"/>
        <v>-6.9864503732525313E-2</v>
      </c>
      <c r="L176" s="151"/>
    </row>
    <row r="177" spans="1:12" ht="14.25" hidden="1" x14ac:dyDescent="0.2">
      <c r="A177" s="38">
        <v>36983</v>
      </c>
      <c r="B177">
        <v>94.28</v>
      </c>
      <c r="C177" s="28">
        <f t="shared" si="6"/>
        <v>7.4858882259363338E-2</v>
      </c>
      <c r="G177" s="39">
        <v>36983</v>
      </c>
      <c r="H177" s="155">
        <v>94.28</v>
      </c>
      <c r="I177" s="147">
        <f t="shared" si="7"/>
        <v>7.4858882259363338E-2</v>
      </c>
      <c r="J177" s="158">
        <f>'3month_treasury (2)'!D171</f>
        <v>3.7672160698399315E-3</v>
      </c>
      <c r="K177" s="157">
        <f t="shared" si="8"/>
        <v>7.1091666189523409E-2</v>
      </c>
      <c r="L177" s="151"/>
    </row>
    <row r="178" spans="1:12" ht="14.25" hidden="1" x14ac:dyDescent="0.2">
      <c r="A178" s="38">
        <v>37012</v>
      </c>
      <c r="B178">
        <v>94.89</v>
      </c>
      <c r="C178" s="28">
        <f t="shared" si="6"/>
        <v>6.4492479177366835E-3</v>
      </c>
      <c r="G178" s="39">
        <v>37012</v>
      </c>
      <c r="H178" s="155">
        <v>94.89</v>
      </c>
      <c r="I178" s="147">
        <f t="shared" si="7"/>
        <v>6.4492479177366835E-3</v>
      </c>
      <c r="J178" s="158">
        <f>'3month_treasury (2)'!D172</f>
        <v>3.2890619925305437E-3</v>
      </c>
      <c r="K178" s="157">
        <f t="shared" si="8"/>
        <v>3.1601859252061398E-3</v>
      </c>
      <c r="L178" s="151"/>
    </row>
    <row r="179" spans="1:12" ht="14.25" hidden="1" x14ac:dyDescent="0.2">
      <c r="A179" s="38">
        <v>37043</v>
      </c>
      <c r="B179">
        <v>92.57</v>
      </c>
      <c r="C179" s="28">
        <f t="shared" si="6"/>
        <v>-2.475321090654738E-2</v>
      </c>
      <c r="G179" s="39">
        <v>37043</v>
      </c>
      <c r="H179" s="155">
        <v>92.57</v>
      </c>
      <c r="I179" s="147">
        <f t="shared" si="7"/>
        <v>-2.475321090654738E-2</v>
      </c>
      <c r="J179" s="158">
        <f>'3month_treasury (2)'!D173</f>
        <v>3.0726228979920654E-3</v>
      </c>
      <c r="K179" s="157">
        <f t="shared" si="8"/>
        <v>-2.7825833804539447E-2</v>
      </c>
      <c r="L179" s="151"/>
    </row>
    <row r="180" spans="1:12" ht="14.25" hidden="1" x14ac:dyDescent="0.2">
      <c r="A180" s="38">
        <v>37074</v>
      </c>
      <c r="B180">
        <v>91.64</v>
      </c>
      <c r="C180" s="28">
        <f t="shared" si="6"/>
        <v>-1.0097257493825002E-2</v>
      </c>
      <c r="G180" s="39">
        <v>37074</v>
      </c>
      <c r="H180" s="155">
        <v>91.64</v>
      </c>
      <c r="I180" s="147">
        <f t="shared" si="7"/>
        <v>-1.0097257493825002E-2</v>
      </c>
      <c r="J180" s="158">
        <f>'3month_treasury (2)'!D174</f>
        <v>2.9602963390872126E-3</v>
      </c>
      <c r="K180" s="157">
        <f t="shared" si="8"/>
        <v>-1.3057553832912214E-2</v>
      </c>
      <c r="L180" s="151"/>
    </row>
    <row r="181" spans="1:12" ht="14.25" hidden="1" x14ac:dyDescent="0.2">
      <c r="A181" s="38">
        <v>37104</v>
      </c>
      <c r="B181">
        <v>85.89</v>
      </c>
      <c r="C181" s="28">
        <f t="shared" si="6"/>
        <v>-6.4800449807161431E-2</v>
      </c>
      <c r="G181" s="39">
        <v>37104</v>
      </c>
      <c r="H181" s="155">
        <v>85.89</v>
      </c>
      <c r="I181" s="147">
        <f t="shared" si="7"/>
        <v>-6.4800449807161431E-2</v>
      </c>
      <c r="J181" s="158">
        <f>'3month_treasury (2)'!D175</f>
        <v>2.9775674963165738E-3</v>
      </c>
      <c r="K181" s="157">
        <f t="shared" si="8"/>
        <v>-6.7778017303478003E-2</v>
      </c>
      <c r="L181" s="151"/>
    </row>
    <row r="182" spans="1:12" ht="14.25" hidden="1" x14ac:dyDescent="0.2">
      <c r="A182" s="38">
        <v>37138</v>
      </c>
      <c r="B182">
        <v>78.94</v>
      </c>
      <c r="C182" s="28">
        <f t="shared" si="6"/>
        <v>-8.4379337543432298E-2</v>
      </c>
      <c r="G182" s="39">
        <v>37138</v>
      </c>
      <c r="H182" s="155">
        <v>78.94</v>
      </c>
      <c r="I182" s="147">
        <f t="shared" si="7"/>
        <v>-8.4379337543432298E-2</v>
      </c>
      <c r="J182" s="158">
        <f>'3month_treasury (2)'!D176</f>
        <v>2.8481209834655377E-3</v>
      </c>
      <c r="K182" s="157">
        <f t="shared" si="8"/>
        <v>-8.7227458526897839E-2</v>
      </c>
      <c r="L182" s="151"/>
    </row>
    <row r="183" spans="1:12" ht="14.25" hidden="1" x14ac:dyDescent="0.2">
      <c r="A183" s="38">
        <v>37165</v>
      </c>
      <c r="B183">
        <v>80.430000000000007</v>
      </c>
      <c r="C183" s="28">
        <f t="shared" si="6"/>
        <v>1.8699170681276706E-2</v>
      </c>
      <c r="G183" s="39">
        <v>37165</v>
      </c>
      <c r="H183" s="155">
        <v>80.430000000000007</v>
      </c>
      <c r="I183" s="147">
        <f t="shared" si="7"/>
        <v>1.8699170681276706E-2</v>
      </c>
      <c r="J183" s="158">
        <f>'3month_treasury (2)'!D177</f>
        <v>2.229561442401632E-3</v>
      </c>
      <c r="K183" s="157">
        <f t="shared" si="8"/>
        <v>1.6469609238875076E-2</v>
      </c>
      <c r="L183" s="151"/>
    </row>
    <row r="184" spans="1:12" ht="14.25" hidden="1" x14ac:dyDescent="0.2">
      <c r="A184" s="38">
        <v>37196</v>
      </c>
      <c r="B184">
        <v>86.59</v>
      </c>
      <c r="C184" s="28">
        <f t="shared" si="6"/>
        <v>7.3797094543732233E-2</v>
      </c>
      <c r="G184" s="39">
        <v>37196</v>
      </c>
      <c r="H184" s="155">
        <v>86.59</v>
      </c>
      <c r="I184" s="147">
        <f t="shared" si="7"/>
        <v>7.3797094543732233E-2</v>
      </c>
      <c r="J184" s="158">
        <f>'3month_treasury (2)'!D178</f>
        <v>1.8197245507645375E-3</v>
      </c>
      <c r="K184" s="157">
        <f t="shared" si="8"/>
        <v>7.1977369992967694E-2</v>
      </c>
      <c r="L184" s="151"/>
    </row>
    <row r="185" spans="1:12" ht="14.25" hidden="1" x14ac:dyDescent="0.2">
      <c r="A185" s="38">
        <v>37228</v>
      </c>
      <c r="B185">
        <v>87.35</v>
      </c>
      <c r="C185" s="28">
        <f t="shared" si="6"/>
        <v>8.7387011203557269E-3</v>
      </c>
      <c r="G185" s="39">
        <v>37228</v>
      </c>
      <c r="H185" s="155">
        <v>87.35</v>
      </c>
      <c r="I185" s="147">
        <f t="shared" si="7"/>
        <v>8.7387011203557269E-3</v>
      </c>
      <c r="J185" s="158">
        <f>'3month_treasury (2)'!D179</f>
        <v>1.5730879808074378E-3</v>
      </c>
      <c r="K185" s="157">
        <f t="shared" si="8"/>
        <v>7.1656131395482891E-3</v>
      </c>
      <c r="L185" s="151"/>
    </row>
    <row r="186" spans="1:12" ht="14.25" hidden="1" x14ac:dyDescent="0.2">
      <c r="A186" s="38">
        <v>37258</v>
      </c>
      <c r="B186">
        <v>86.06</v>
      </c>
      <c r="C186" s="28">
        <f t="shared" si="6"/>
        <v>-1.4878309169611869E-2</v>
      </c>
      <c r="G186" s="39">
        <v>37258</v>
      </c>
      <c r="H186" s="155">
        <v>86.06</v>
      </c>
      <c r="I186" s="147">
        <f t="shared" si="7"/>
        <v>-1.4878309169611869E-2</v>
      </c>
      <c r="J186" s="158">
        <f>'3month_treasury (2)'!D180</f>
        <v>1.4203695507715363E-3</v>
      </c>
      <c r="K186" s="157">
        <f t="shared" si="8"/>
        <v>-1.6298678720383406E-2</v>
      </c>
      <c r="L186" s="151"/>
    </row>
    <row r="187" spans="1:12" ht="14.25" hidden="1" x14ac:dyDescent="0.2">
      <c r="A187" s="38">
        <v>37288</v>
      </c>
      <c r="B187">
        <v>84.4</v>
      </c>
      <c r="C187" s="28">
        <f t="shared" si="6"/>
        <v>-1.9477325808542088E-2</v>
      </c>
      <c r="G187" s="39">
        <v>37288</v>
      </c>
      <c r="H187" s="155">
        <v>84.4</v>
      </c>
      <c r="I187" s="147">
        <f t="shared" si="7"/>
        <v>-1.9477325808542088E-2</v>
      </c>
      <c r="J187" s="158">
        <f>'3month_treasury (2)'!D181</f>
        <v>1.3864700960852865E-3</v>
      </c>
      <c r="K187" s="157">
        <f t="shared" si="8"/>
        <v>-2.0863795904627374E-2</v>
      </c>
      <c r="L187" s="151"/>
    </row>
    <row r="188" spans="1:12" ht="14.25" hidden="1" x14ac:dyDescent="0.2">
      <c r="A188" s="38">
        <v>37316</v>
      </c>
      <c r="B188">
        <v>87.55</v>
      </c>
      <c r="C188" s="28">
        <f t="shared" si="6"/>
        <v>3.6642657129949359E-2</v>
      </c>
      <c r="G188" s="39">
        <v>37316</v>
      </c>
      <c r="H188" s="155">
        <v>87.55</v>
      </c>
      <c r="I188" s="147">
        <f t="shared" si="7"/>
        <v>3.6642657129949359E-2</v>
      </c>
      <c r="J188" s="158">
        <f>'3month_treasury (2)'!D182</f>
        <v>1.4542828011463217E-3</v>
      </c>
      <c r="K188" s="157">
        <f t="shared" si="8"/>
        <v>3.5188374328803035E-2</v>
      </c>
      <c r="L188" s="151"/>
    </row>
    <row r="189" spans="1:12" ht="14.25" hidden="1" x14ac:dyDescent="0.2">
      <c r="A189" s="38">
        <v>37347</v>
      </c>
      <c r="B189">
        <v>82.23</v>
      </c>
      <c r="C189" s="28">
        <f t="shared" si="6"/>
        <v>-6.2689859749056609E-2</v>
      </c>
      <c r="G189" s="39">
        <v>37347</v>
      </c>
      <c r="H189" s="155">
        <v>82.23</v>
      </c>
      <c r="I189" s="147">
        <f t="shared" si="7"/>
        <v>-6.2689859749056609E-2</v>
      </c>
      <c r="J189" s="158">
        <f>'3month_treasury (2)'!D183</f>
        <v>1.5051785682007061E-3</v>
      </c>
      <c r="K189" s="157">
        <f t="shared" si="8"/>
        <v>-6.4195038317257314E-2</v>
      </c>
      <c r="L189" s="151"/>
    </row>
    <row r="190" spans="1:12" ht="14.25" hidden="1" x14ac:dyDescent="0.2">
      <c r="A190" s="38">
        <v>37377</v>
      </c>
      <c r="B190">
        <v>81.61</v>
      </c>
      <c r="C190" s="28">
        <f t="shared" si="6"/>
        <v>-7.568395501652685E-3</v>
      </c>
      <c r="G190" s="39">
        <v>37377</v>
      </c>
      <c r="H190" s="155">
        <v>81.61</v>
      </c>
      <c r="I190" s="147">
        <f t="shared" si="7"/>
        <v>-7.568395501652685E-3</v>
      </c>
      <c r="J190" s="158">
        <f>'3month_treasury (2)'!D184</f>
        <v>1.4458031945927513E-3</v>
      </c>
      <c r="K190" s="157">
        <f t="shared" si="8"/>
        <v>-9.0141986962454356E-3</v>
      </c>
      <c r="L190" s="151"/>
    </row>
    <row r="191" spans="1:12" ht="14.25" hidden="1" x14ac:dyDescent="0.2">
      <c r="A191" s="38">
        <v>37410</v>
      </c>
      <c r="B191">
        <v>75.790000000000006</v>
      </c>
      <c r="C191" s="28">
        <f t="shared" si="6"/>
        <v>-7.3985445657213711E-2</v>
      </c>
      <c r="G191" s="39">
        <v>37410</v>
      </c>
      <c r="H191" s="155">
        <v>75.790000000000006</v>
      </c>
      <c r="I191" s="147">
        <f t="shared" si="7"/>
        <v>-7.3985445657213711E-2</v>
      </c>
      <c r="J191" s="158">
        <f>'3month_treasury (2)'!D185</f>
        <v>1.4542828011463217E-3</v>
      </c>
      <c r="K191" s="157">
        <f t="shared" si="8"/>
        <v>-7.5439728458360028E-2</v>
      </c>
      <c r="L191" s="151"/>
    </row>
    <row r="192" spans="1:12" ht="14.25" hidden="1" x14ac:dyDescent="0.2">
      <c r="A192" s="38">
        <v>37438</v>
      </c>
      <c r="B192">
        <v>69.94</v>
      </c>
      <c r="C192" s="28">
        <f t="shared" si="6"/>
        <v>-8.0328626188708091E-2</v>
      </c>
      <c r="G192" s="39">
        <v>37438</v>
      </c>
      <c r="H192" s="155">
        <v>69.94</v>
      </c>
      <c r="I192" s="147">
        <f t="shared" si="7"/>
        <v>-8.0328626188708091E-2</v>
      </c>
      <c r="J192" s="158">
        <f>'3month_treasury (2)'!D186</f>
        <v>1.4288465695808819E-3</v>
      </c>
      <c r="K192" s="157">
        <f t="shared" si="8"/>
        <v>-8.1757472758288971E-2</v>
      </c>
      <c r="L192" s="151"/>
    </row>
    <row r="193" spans="1:12" ht="14.25" hidden="1" x14ac:dyDescent="0.2">
      <c r="A193" s="38">
        <v>37469</v>
      </c>
      <c r="B193">
        <v>70.39</v>
      </c>
      <c r="C193" s="28">
        <f t="shared" si="6"/>
        <v>6.4134759848105023E-3</v>
      </c>
      <c r="G193" s="39">
        <v>37469</v>
      </c>
      <c r="H193" s="155">
        <v>70.39</v>
      </c>
      <c r="I193" s="147">
        <f t="shared" si="7"/>
        <v>6.4134759848105023E-3</v>
      </c>
      <c r="J193" s="158">
        <f>'3month_treasury (2)'!D187</f>
        <v>1.4118933941926779E-3</v>
      </c>
      <c r="K193" s="157">
        <f t="shared" si="8"/>
        <v>5.0015825906178247E-3</v>
      </c>
      <c r="L193" s="151"/>
    </row>
    <row r="194" spans="1:12" ht="14.25" hidden="1" x14ac:dyDescent="0.2">
      <c r="A194" s="38">
        <v>37502</v>
      </c>
      <c r="B194">
        <v>62.73</v>
      </c>
      <c r="C194" s="28">
        <f t="shared" si="6"/>
        <v>-0.11521140551138835</v>
      </c>
      <c r="G194" s="39">
        <v>37502</v>
      </c>
      <c r="H194" s="155">
        <v>62.73</v>
      </c>
      <c r="I194" s="147">
        <f t="shared" si="7"/>
        <v>-0.11521140551138835</v>
      </c>
      <c r="J194" s="158">
        <f>'3month_treasury (2)'!D188</f>
        <v>1.3610545517414774E-3</v>
      </c>
      <c r="K194" s="157">
        <f t="shared" si="8"/>
        <v>-0.11657246006312982</v>
      </c>
      <c r="L194" s="151"/>
    </row>
    <row r="195" spans="1:12" ht="14.25" hidden="1" x14ac:dyDescent="0.2">
      <c r="A195" s="38">
        <v>37530</v>
      </c>
      <c r="B195">
        <v>68.239999999999995</v>
      </c>
      <c r="C195" s="28">
        <f t="shared" si="6"/>
        <v>8.4191101074771763E-2</v>
      </c>
      <c r="G195" s="39">
        <v>37530</v>
      </c>
      <c r="H195" s="155">
        <v>68.239999999999995</v>
      </c>
      <c r="I195" s="147">
        <f t="shared" si="7"/>
        <v>8.4191101074771763E-2</v>
      </c>
      <c r="J195" s="158">
        <f>'3month_treasury (2)'!D189</f>
        <v>1.3695255386187346E-3</v>
      </c>
      <c r="K195" s="157">
        <f t="shared" si="8"/>
        <v>8.2821575536153033E-2</v>
      </c>
      <c r="L195" s="151"/>
    </row>
    <row r="196" spans="1:12" ht="14.25" hidden="1" x14ac:dyDescent="0.2">
      <c r="A196" s="38">
        <v>37561</v>
      </c>
      <c r="B196">
        <v>72.44</v>
      </c>
      <c r="C196" s="28">
        <f t="shared" si="6"/>
        <v>5.9727729831788944E-2</v>
      </c>
      <c r="G196" s="39">
        <v>37561</v>
      </c>
      <c r="H196" s="155">
        <v>72.44</v>
      </c>
      <c r="I196" s="147">
        <f t="shared" si="7"/>
        <v>5.9727729831788944E-2</v>
      </c>
      <c r="J196" s="158">
        <f>'3month_treasury (2)'!D190</f>
        <v>1.3271792125215997E-3</v>
      </c>
      <c r="K196" s="157">
        <f t="shared" si="8"/>
        <v>5.8400550619267341E-2</v>
      </c>
      <c r="L196" s="151"/>
    </row>
    <row r="197" spans="1:12" ht="14.25" hidden="1" x14ac:dyDescent="0.2">
      <c r="A197" s="38">
        <v>37592</v>
      </c>
      <c r="B197">
        <v>67.98</v>
      </c>
      <c r="C197" s="28">
        <f t="shared" si="6"/>
        <v>-6.3545088747242573E-2</v>
      </c>
      <c r="G197" s="39">
        <v>37592</v>
      </c>
      <c r="H197" s="155">
        <v>67.98</v>
      </c>
      <c r="I197" s="147">
        <f t="shared" si="7"/>
        <v>-6.3545088747242573E-2</v>
      </c>
      <c r="J197" s="158">
        <f>'3month_treasury (2)'!D191</f>
        <v>1.0313559223379478E-3</v>
      </c>
      <c r="K197" s="157">
        <f t="shared" si="8"/>
        <v>-6.4576444669580527E-2</v>
      </c>
      <c r="L197" s="151"/>
    </row>
    <row r="198" spans="1:12" ht="14.25" hidden="1" x14ac:dyDescent="0.2">
      <c r="A198" s="38">
        <v>37623</v>
      </c>
      <c r="B198">
        <v>66.2</v>
      </c>
      <c r="C198" s="28">
        <f t="shared" si="6"/>
        <v>-2.6533081325007445E-2</v>
      </c>
      <c r="G198" s="39">
        <v>37623</v>
      </c>
      <c r="H198" s="155">
        <v>66.2</v>
      </c>
      <c r="I198" s="147">
        <f t="shared" si="7"/>
        <v>-2.6533081325007445E-2</v>
      </c>
      <c r="J198" s="158">
        <f>'3month_treasury (2)'!D192</f>
        <v>9.97614315101665E-4</v>
      </c>
      <c r="K198" s="157">
        <f t="shared" si="8"/>
        <v>-2.7530695640109109E-2</v>
      </c>
      <c r="L198" s="151"/>
    </row>
    <row r="199" spans="1:12" ht="14.25" hidden="1" x14ac:dyDescent="0.2">
      <c r="A199" s="38">
        <v>37655</v>
      </c>
      <c r="B199">
        <v>65.2</v>
      </c>
      <c r="C199" s="28">
        <f t="shared" si="6"/>
        <v>-1.5220994010355243E-2</v>
      </c>
      <c r="G199" s="39">
        <v>37655</v>
      </c>
      <c r="H199" s="155">
        <v>65.2</v>
      </c>
      <c r="I199" s="147">
        <f t="shared" si="7"/>
        <v>-1.5220994010355243E-2</v>
      </c>
      <c r="J199" s="158">
        <f>'3month_treasury (2)'!D193</f>
        <v>9.8074863333323702E-4</v>
      </c>
      <c r="K199" s="157">
        <f t="shared" si="8"/>
        <v>-1.6201742643688479E-2</v>
      </c>
      <c r="L199" s="151"/>
    </row>
    <row r="200" spans="1:12" ht="14.25" hidden="1" x14ac:dyDescent="0.2">
      <c r="A200" s="38">
        <v>37683</v>
      </c>
      <c r="B200">
        <v>65.819999999999993</v>
      </c>
      <c r="C200" s="28">
        <f t="shared" si="6"/>
        <v>9.464274582586446E-3</v>
      </c>
      <c r="G200" s="39">
        <v>37683</v>
      </c>
      <c r="H200" s="155">
        <v>65.819999999999993</v>
      </c>
      <c r="I200" s="147">
        <f t="shared" si="7"/>
        <v>9.464274582586446E-3</v>
      </c>
      <c r="J200" s="158">
        <f>'3month_treasury (2)'!D194</f>
        <v>9.8074863333323702E-4</v>
      </c>
      <c r="K200" s="157">
        <f t="shared" si="8"/>
        <v>8.4835259492532095E-3</v>
      </c>
      <c r="L200" s="151"/>
    </row>
    <row r="201" spans="1:12" ht="14.25" hidden="1" x14ac:dyDescent="0.2">
      <c r="A201" s="38">
        <v>37712</v>
      </c>
      <c r="B201">
        <v>71.25</v>
      </c>
      <c r="C201" s="28">
        <f t="shared" si="6"/>
        <v>7.9271075633566043E-2</v>
      </c>
      <c r="G201" s="39">
        <v>37712</v>
      </c>
      <c r="H201" s="155">
        <v>71.25</v>
      </c>
      <c r="I201" s="147">
        <f t="shared" si="7"/>
        <v>7.9271075633566043E-2</v>
      </c>
      <c r="J201" s="158">
        <f>'3month_treasury (2)'!D195</f>
        <v>9.4702750658748217E-4</v>
      </c>
      <c r="K201" s="157">
        <f t="shared" si="8"/>
        <v>7.832404812697856E-2</v>
      </c>
      <c r="L201" s="151"/>
    </row>
    <row r="202" spans="1:12" ht="14.25" hidden="1" x14ac:dyDescent="0.2">
      <c r="A202" s="38">
        <v>37742</v>
      </c>
      <c r="B202">
        <v>75</v>
      </c>
      <c r="C202" s="28">
        <f t="shared" ref="C202:C241" si="9">LN(B202/B201)</f>
        <v>5.1293294387550481E-2</v>
      </c>
      <c r="G202" s="39">
        <v>37742</v>
      </c>
      <c r="H202" s="155">
        <v>75</v>
      </c>
      <c r="I202" s="147">
        <f t="shared" ref="I202:I265" si="10">LN(H202/H201)</f>
        <v>5.1293294387550481E-2</v>
      </c>
      <c r="J202" s="158">
        <f>'3month_treasury (2)'!D196</f>
        <v>9.4702750658748217E-4</v>
      </c>
      <c r="K202" s="157">
        <f t="shared" ref="K202:K265" si="11">I202-J202</f>
        <v>5.0346266880962998E-2</v>
      </c>
      <c r="L202" s="151"/>
    </row>
    <row r="203" spans="1:12" ht="14.25" hidden="1" x14ac:dyDescent="0.2">
      <c r="A203" s="38">
        <v>37774</v>
      </c>
      <c r="B203">
        <v>75.95</v>
      </c>
      <c r="C203" s="28">
        <f t="shared" si="9"/>
        <v>1.258711550547136E-2</v>
      </c>
      <c r="G203" s="39">
        <v>37774</v>
      </c>
      <c r="H203" s="155">
        <v>75.95</v>
      </c>
      <c r="I203" s="147">
        <f t="shared" si="10"/>
        <v>1.258711550547136E-2</v>
      </c>
      <c r="J203" s="158">
        <f>'3month_treasury (2)'!D197</f>
        <v>8.9647138774667258E-4</v>
      </c>
      <c r="K203" s="157">
        <f t="shared" si="11"/>
        <v>1.1690644117724688E-2</v>
      </c>
      <c r="L203" s="151"/>
    </row>
    <row r="204" spans="1:12" ht="14.25" hidden="1" x14ac:dyDescent="0.2">
      <c r="A204" s="38">
        <v>37803</v>
      </c>
      <c r="B204">
        <v>77.27</v>
      </c>
      <c r="C204" s="28">
        <f t="shared" si="9"/>
        <v>1.7230552903710488E-2</v>
      </c>
      <c r="G204" s="39">
        <v>37803</v>
      </c>
      <c r="H204" s="155">
        <v>77.27</v>
      </c>
      <c r="I204" s="147">
        <f t="shared" si="10"/>
        <v>1.7230552903710488E-2</v>
      </c>
      <c r="J204" s="158">
        <f>'3month_treasury (2)'!D198</f>
        <v>7.7021511391105418E-4</v>
      </c>
      <c r="K204" s="157">
        <f t="shared" si="11"/>
        <v>1.6460337789799433E-2</v>
      </c>
      <c r="L204" s="151"/>
    </row>
    <row r="205" spans="1:12" ht="14.25" hidden="1" x14ac:dyDescent="0.2">
      <c r="A205" s="38">
        <v>37834</v>
      </c>
      <c r="B205">
        <v>78.760000000000005</v>
      </c>
      <c r="C205" s="28">
        <f t="shared" si="9"/>
        <v>1.9099471825432299E-2</v>
      </c>
      <c r="G205" s="39">
        <v>37834</v>
      </c>
      <c r="H205" s="155">
        <v>78.760000000000005</v>
      </c>
      <c r="I205" s="147">
        <f t="shared" si="10"/>
        <v>1.9099471825432299E-2</v>
      </c>
      <c r="J205" s="158">
        <f>'3month_treasury (2)'!D199</f>
        <v>7.5339538767908536E-4</v>
      </c>
      <c r="K205" s="157">
        <f t="shared" si="11"/>
        <v>1.8346076437753215E-2</v>
      </c>
      <c r="L205" s="151"/>
    </row>
    <row r="206" spans="1:12" ht="14.25" hidden="1" x14ac:dyDescent="0.2">
      <c r="A206" s="38">
        <v>37866</v>
      </c>
      <c r="B206">
        <v>77.92</v>
      </c>
      <c r="C206" s="28">
        <f t="shared" si="9"/>
        <v>-1.0722594436645227E-2</v>
      </c>
      <c r="G206" s="39">
        <v>37866</v>
      </c>
      <c r="H206" s="155">
        <v>77.92</v>
      </c>
      <c r="I206" s="147">
        <f t="shared" si="10"/>
        <v>-1.0722594436645227E-2</v>
      </c>
      <c r="J206" s="158">
        <f>'3month_treasury (2)'!D200</f>
        <v>7.9545107029428382E-4</v>
      </c>
      <c r="K206" s="157">
        <f t="shared" si="11"/>
        <v>-1.1518045506939511E-2</v>
      </c>
      <c r="L206" s="151"/>
    </row>
    <row r="207" spans="1:12" ht="14.25" hidden="1" x14ac:dyDescent="0.2">
      <c r="A207" s="38">
        <v>37895</v>
      </c>
      <c r="B207">
        <v>82.31</v>
      </c>
      <c r="C207" s="28">
        <f t="shared" si="9"/>
        <v>5.4809947650273021E-2</v>
      </c>
      <c r="G207" s="39">
        <v>37895</v>
      </c>
      <c r="H207" s="155">
        <v>82.31</v>
      </c>
      <c r="I207" s="147">
        <f t="shared" si="10"/>
        <v>5.4809947650273021E-2</v>
      </c>
      <c r="J207" s="158">
        <f>'3month_treasury (2)'!D201</f>
        <v>7.8703823566665047E-4</v>
      </c>
      <c r="K207" s="157">
        <f t="shared" si="11"/>
        <v>5.4022909414606371E-2</v>
      </c>
      <c r="L207" s="151"/>
    </row>
    <row r="208" spans="1:12" ht="14.25" hidden="1" x14ac:dyDescent="0.2">
      <c r="A208" s="38">
        <v>37928</v>
      </c>
      <c r="B208">
        <v>83.02</v>
      </c>
      <c r="C208" s="28">
        <f t="shared" si="9"/>
        <v>8.5889356403399623E-3</v>
      </c>
      <c r="G208" s="39">
        <v>37928</v>
      </c>
      <c r="H208" s="155">
        <v>83.02</v>
      </c>
      <c r="I208" s="147">
        <f t="shared" si="10"/>
        <v>8.5889356403399623E-3</v>
      </c>
      <c r="J208" s="158">
        <f>'3month_treasury (2)'!D202</f>
        <v>7.7021511391105418E-4</v>
      </c>
      <c r="K208" s="157">
        <f t="shared" si="11"/>
        <v>7.8187205264289086E-3</v>
      </c>
      <c r="L208" s="151"/>
    </row>
    <row r="209" spans="1:12" ht="14.25" hidden="1" x14ac:dyDescent="0.2">
      <c r="A209" s="38">
        <v>37956</v>
      </c>
      <c r="B209">
        <v>87.36</v>
      </c>
      <c r="C209" s="28">
        <f t="shared" si="9"/>
        <v>5.0955969371702187E-2</v>
      </c>
      <c r="G209" s="39">
        <v>37956</v>
      </c>
      <c r="H209" s="155">
        <v>87.36</v>
      </c>
      <c r="I209" s="147">
        <f t="shared" si="10"/>
        <v>5.0955969371702187E-2</v>
      </c>
      <c r="J209" s="158">
        <f>'3month_treasury (2)'!D203</f>
        <v>7.7862625026272182E-4</v>
      </c>
      <c r="K209" s="157">
        <f t="shared" si="11"/>
        <v>5.0177343121439462E-2</v>
      </c>
      <c r="L209" s="151"/>
    </row>
    <row r="210" spans="1:12" ht="14.25" hidden="1" x14ac:dyDescent="0.2">
      <c r="A210" s="38">
        <v>37988</v>
      </c>
      <c r="B210">
        <v>88.95</v>
      </c>
      <c r="C210" s="28">
        <f t="shared" si="9"/>
        <v>1.8036902115249283E-2</v>
      </c>
      <c r="G210" s="39">
        <v>37988</v>
      </c>
      <c r="H210" s="155">
        <v>88.95</v>
      </c>
      <c r="I210" s="147">
        <f t="shared" si="10"/>
        <v>1.8036902115249283E-2</v>
      </c>
      <c r="J210" s="158">
        <f>'3month_treasury (2)'!D204</f>
        <v>7.5339538767908536E-4</v>
      </c>
      <c r="K210" s="157">
        <f t="shared" si="11"/>
        <v>1.7283506727570199E-2</v>
      </c>
      <c r="L210" s="151"/>
    </row>
    <row r="211" spans="1:12" ht="14.25" hidden="1" x14ac:dyDescent="0.2">
      <c r="A211" s="38">
        <v>38019</v>
      </c>
      <c r="B211">
        <v>90.18</v>
      </c>
      <c r="C211" s="28">
        <f t="shared" si="9"/>
        <v>1.3733258881093996E-2</v>
      </c>
      <c r="G211" s="39">
        <v>38019</v>
      </c>
      <c r="H211" s="155">
        <v>90.18</v>
      </c>
      <c r="I211" s="147">
        <f t="shared" si="10"/>
        <v>1.3733258881093996E-2</v>
      </c>
      <c r="J211" s="158">
        <f>'3month_treasury (2)'!D205</f>
        <v>7.3657905560035267E-4</v>
      </c>
      <c r="K211" s="157">
        <f t="shared" si="11"/>
        <v>1.2996679825493643E-2</v>
      </c>
      <c r="L211" s="151"/>
    </row>
    <row r="212" spans="1:12" ht="14.25" hidden="1" x14ac:dyDescent="0.2">
      <c r="A212" s="38">
        <v>38047</v>
      </c>
      <c r="B212">
        <v>88.81</v>
      </c>
      <c r="C212" s="28">
        <f t="shared" si="9"/>
        <v>-1.5308416722525389E-2</v>
      </c>
      <c r="G212" s="39">
        <v>38047</v>
      </c>
      <c r="H212" s="155">
        <v>88.81</v>
      </c>
      <c r="I212" s="147">
        <f t="shared" si="10"/>
        <v>-1.5308416722525389E-2</v>
      </c>
      <c r="J212" s="158">
        <f>'3month_treasury (2)'!D206</f>
        <v>7.7862625026272182E-4</v>
      </c>
      <c r="K212" s="157">
        <f t="shared" si="11"/>
        <v>-1.608704297278811E-2</v>
      </c>
      <c r="L212" s="151"/>
    </row>
    <row r="213" spans="1:12" ht="14.25" hidden="1" x14ac:dyDescent="0.2">
      <c r="A213" s="38">
        <v>38078</v>
      </c>
      <c r="B213">
        <v>87.41</v>
      </c>
      <c r="C213" s="28">
        <f t="shared" si="9"/>
        <v>-1.5889563678016198E-2</v>
      </c>
      <c r="G213" s="39">
        <v>38078</v>
      </c>
      <c r="H213" s="155">
        <v>87.41</v>
      </c>
      <c r="I213" s="147">
        <f t="shared" si="10"/>
        <v>-1.5889563678016198E-2</v>
      </c>
      <c r="J213" s="158">
        <f>'3month_treasury (2)'!D207</f>
        <v>7.8703823566665047E-4</v>
      </c>
      <c r="K213" s="157">
        <f t="shared" si="11"/>
        <v>-1.6676601913682847E-2</v>
      </c>
      <c r="L213" s="151"/>
    </row>
    <row r="214" spans="1:12" ht="14.25" hidden="1" x14ac:dyDescent="0.2">
      <c r="A214" s="38">
        <v>38110</v>
      </c>
      <c r="B214">
        <v>88.6</v>
      </c>
      <c r="C214" s="28">
        <f t="shared" si="9"/>
        <v>1.3522165018638658E-2</v>
      </c>
      <c r="G214" s="39">
        <v>38110</v>
      </c>
      <c r="H214" s="155">
        <v>88.6</v>
      </c>
      <c r="I214" s="147">
        <f t="shared" si="10"/>
        <v>1.3522165018638658E-2</v>
      </c>
      <c r="J214" s="158">
        <f>'3month_treasury (2)'!D208</f>
        <v>7.8703823566665047E-4</v>
      </c>
      <c r="K214" s="157">
        <f t="shared" si="11"/>
        <v>1.2735126782972008E-2</v>
      </c>
      <c r="L214" s="151"/>
    </row>
    <row r="215" spans="1:12" ht="14.25" hidden="1" x14ac:dyDescent="0.2">
      <c r="A215" s="38">
        <v>38139</v>
      </c>
      <c r="B215">
        <v>90.3</v>
      </c>
      <c r="C215" s="28">
        <f t="shared" si="9"/>
        <v>1.9005602811904519E-2</v>
      </c>
      <c r="G215" s="39">
        <v>38139</v>
      </c>
      <c r="H215" s="155">
        <v>90.3</v>
      </c>
      <c r="I215" s="147">
        <f t="shared" si="10"/>
        <v>1.9005602811904519E-2</v>
      </c>
      <c r="J215" s="158">
        <f>'3month_treasury (2)'!D209</f>
        <v>8.5436470536260267E-4</v>
      </c>
      <c r="K215" s="157">
        <f t="shared" si="11"/>
        <v>1.8151238106541918E-2</v>
      </c>
      <c r="L215" s="151"/>
    </row>
    <row r="216" spans="1:12" ht="14.25" hidden="1" x14ac:dyDescent="0.2">
      <c r="A216" s="38">
        <v>38169</v>
      </c>
      <c r="B216">
        <v>87.31</v>
      </c>
      <c r="C216" s="28">
        <f t="shared" si="9"/>
        <v>-3.3672456600223451E-2</v>
      </c>
      <c r="G216" s="39">
        <v>38169</v>
      </c>
      <c r="H216" s="155">
        <v>87.31</v>
      </c>
      <c r="I216" s="147">
        <f t="shared" si="10"/>
        <v>-3.3672456600223451E-2</v>
      </c>
      <c r="J216" s="158">
        <f>'3month_treasury (2)'!D210</f>
        <v>1.0651111970610976E-3</v>
      </c>
      <c r="K216" s="157">
        <f t="shared" si="11"/>
        <v>-3.4737567797284548E-2</v>
      </c>
      <c r="L216" s="151"/>
    </row>
    <row r="217" spans="1:12" ht="14.25" hidden="1" x14ac:dyDescent="0.2">
      <c r="A217" s="38">
        <v>38201</v>
      </c>
      <c r="B217">
        <v>87.65</v>
      </c>
      <c r="C217" s="28">
        <f t="shared" si="9"/>
        <v>3.8866075445272105E-3</v>
      </c>
      <c r="G217" s="39">
        <v>38201</v>
      </c>
      <c r="H217" s="155">
        <v>87.65</v>
      </c>
      <c r="I217" s="147">
        <f t="shared" si="10"/>
        <v>3.8866075445272105E-3</v>
      </c>
      <c r="J217" s="158">
        <f>'3month_treasury (2)'!D211</f>
        <v>1.1157697599179959E-3</v>
      </c>
      <c r="K217" s="157">
        <f t="shared" si="11"/>
        <v>2.7708377846092144E-3</v>
      </c>
      <c r="L217" s="151"/>
    </row>
    <row r="218" spans="1:12" ht="14.25" hidden="1" x14ac:dyDescent="0.2">
      <c r="A218" s="38">
        <v>38231</v>
      </c>
      <c r="B218">
        <v>88.58</v>
      </c>
      <c r="C218" s="28">
        <f t="shared" si="9"/>
        <v>1.0554487127808538E-2</v>
      </c>
      <c r="G218" s="39">
        <v>38231</v>
      </c>
      <c r="H218" s="155">
        <v>88.58</v>
      </c>
      <c r="I218" s="147">
        <f t="shared" si="10"/>
        <v>1.0554487127808538E-2</v>
      </c>
      <c r="J218" s="158">
        <f>'3month_treasury (2)'!D212</f>
        <v>1.2425510613128566E-3</v>
      </c>
      <c r="K218" s="157">
        <f t="shared" si="11"/>
        <v>9.3119360664956803E-3</v>
      </c>
      <c r="L218" s="151"/>
    </row>
    <row r="219" spans="1:12" ht="14.25" hidden="1" x14ac:dyDescent="0.2">
      <c r="A219" s="38">
        <v>38261</v>
      </c>
      <c r="B219">
        <v>89.93</v>
      </c>
      <c r="C219" s="28">
        <f t="shared" si="9"/>
        <v>1.5125491431372063E-2</v>
      </c>
      <c r="G219" s="39">
        <v>38261</v>
      </c>
      <c r="H219" s="155">
        <v>89.93</v>
      </c>
      <c r="I219" s="147">
        <f t="shared" si="10"/>
        <v>1.5125491431372063E-2</v>
      </c>
      <c r="J219" s="158">
        <f>'3month_treasury (2)'!D213</f>
        <v>1.3864700960852865E-3</v>
      </c>
      <c r="K219" s="157">
        <f t="shared" si="11"/>
        <v>1.3739021335286776E-2</v>
      </c>
      <c r="L219" s="151"/>
    </row>
    <row r="220" spans="1:12" ht="14.25" hidden="1" x14ac:dyDescent="0.2">
      <c r="A220" s="38">
        <v>38292</v>
      </c>
      <c r="B220">
        <v>93.56</v>
      </c>
      <c r="C220" s="28">
        <f t="shared" si="9"/>
        <v>3.9571351789554038E-2</v>
      </c>
      <c r="G220" s="39">
        <v>38292</v>
      </c>
      <c r="H220" s="155">
        <v>93.56</v>
      </c>
      <c r="I220" s="147">
        <f t="shared" si="10"/>
        <v>3.9571351789554038E-2</v>
      </c>
      <c r="J220" s="158">
        <f>'3month_treasury (2)'!D214</f>
        <v>1.4797267991049203E-3</v>
      </c>
      <c r="K220" s="157">
        <f t="shared" si="11"/>
        <v>3.8091624990449116E-2</v>
      </c>
      <c r="L220" s="151"/>
    </row>
    <row r="221" spans="1:12" ht="14.25" hidden="1" x14ac:dyDescent="0.2">
      <c r="A221" s="38">
        <v>38322</v>
      </c>
      <c r="B221">
        <v>96.74</v>
      </c>
      <c r="C221" s="28">
        <f t="shared" si="9"/>
        <v>3.3424025678858875E-2</v>
      </c>
      <c r="G221" s="39">
        <v>38322</v>
      </c>
      <c r="H221" s="155">
        <v>96.74</v>
      </c>
      <c r="I221" s="147">
        <f t="shared" si="10"/>
        <v>3.3424025678858875E-2</v>
      </c>
      <c r="J221" s="158">
        <f>'3month_treasury (2)'!D215</f>
        <v>1.7431040212823425E-3</v>
      </c>
      <c r="K221" s="157">
        <f t="shared" si="11"/>
        <v>3.1680921657576536E-2</v>
      </c>
      <c r="L221" s="151"/>
    </row>
    <row r="222" spans="1:12" ht="14.25" hidden="1" x14ac:dyDescent="0.2">
      <c r="A222" s="38">
        <v>38355</v>
      </c>
      <c r="B222">
        <v>94.37</v>
      </c>
      <c r="C222" s="28">
        <f t="shared" si="9"/>
        <v>-2.4803741361595348E-2</v>
      </c>
      <c r="G222" s="39">
        <v>38355</v>
      </c>
      <c r="H222" s="155">
        <v>94.37</v>
      </c>
      <c r="I222" s="147">
        <f t="shared" si="10"/>
        <v>-2.4803741361595348E-2</v>
      </c>
      <c r="J222" s="158">
        <f>'3month_treasury (2)'!D216</f>
        <v>1.8452803904741545E-3</v>
      </c>
      <c r="K222" s="157">
        <f t="shared" si="11"/>
        <v>-2.6649021752069502E-2</v>
      </c>
      <c r="L222" s="151"/>
    </row>
    <row r="223" spans="1:12" ht="14.25" hidden="1" x14ac:dyDescent="0.2">
      <c r="A223" s="38">
        <v>38384</v>
      </c>
      <c r="B223">
        <v>96.34</v>
      </c>
      <c r="C223" s="28">
        <f t="shared" si="9"/>
        <v>2.066037516883296E-2</v>
      </c>
      <c r="G223" s="39">
        <v>38384</v>
      </c>
      <c r="H223" s="155">
        <v>96.34</v>
      </c>
      <c r="I223" s="147">
        <f t="shared" si="10"/>
        <v>2.066037516883296E-2</v>
      </c>
      <c r="J223" s="158">
        <f>'3month_treasury (2)'!D217</f>
        <v>1.9646447107254826E-3</v>
      </c>
      <c r="K223" s="157">
        <f t="shared" si="11"/>
        <v>1.8695730458107476E-2</v>
      </c>
      <c r="L223" s="151"/>
    </row>
    <row r="224" spans="1:12" ht="14.25" hidden="1" x14ac:dyDescent="0.2">
      <c r="A224" s="38">
        <v>38412</v>
      </c>
      <c r="B224">
        <v>94.65</v>
      </c>
      <c r="C224" s="28">
        <f t="shared" si="9"/>
        <v>-1.7697723546742889E-2</v>
      </c>
      <c r="G224" s="39">
        <v>38412</v>
      </c>
      <c r="H224" s="155">
        <v>94.65</v>
      </c>
      <c r="I224" s="147">
        <f t="shared" si="10"/>
        <v>-1.7697723546742889E-2</v>
      </c>
      <c r="J224" s="158">
        <f>'3month_treasury (2)'!D218</f>
        <v>2.1440123810609495E-3</v>
      </c>
      <c r="K224" s="157">
        <f t="shared" si="11"/>
        <v>-1.984173592780384E-2</v>
      </c>
      <c r="L224" s="151"/>
    </row>
    <row r="225" spans="1:12" ht="14.25" hidden="1" x14ac:dyDescent="0.2">
      <c r="A225" s="38">
        <v>38443</v>
      </c>
      <c r="B225">
        <v>92.84</v>
      </c>
      <c r="C225" s="28">
        <f t="shared" si="9"/>
        <v>-1.930829624909557E-2</v>
      </c>
      <c r="G225" s="39">
        <v>38443</v>
      </c>
      <c r="H225" s="155">
        <v>92.84</v>
      </c>
      <c r="I225" s="147">
        <f t="shared" si="10"/>
        <v>-1.930829624909557E-2</v>
      </c>
      <c r="J225" s="158">
        <f>'3month_treasury (2)'!D219</f>
        <v>2.3151984177042905E-3</v>
      </c>
      <c r="K225" s="157">
        <f t="shared" si="11"/>
        <v>-2.1623494666799858E-2</v>
      </c>
      <c r="L225" s="151"/>
    </row>
    <row r="226" spans="1:12" ht="14.25" hidden="1" x14ac:dyDescent="0.2">
      <c r="A226" s="38">
        <v>38474</v>
      </c>
      <c r="B226">
        <v>95.78</v>
      </c>
      <c r="C226" s="28">
        <f t="shared" si="9"/>
        <v>3.1176313508226937E-2</v>
      </c>
      <c r="G226" s="39">
        <v>38474</v>
      </c>
      <c r="H226" s="155">
        <v>95.78</v>
      </c>
      <c r="I226" s="147">
        <f t="shared" si="10"/>
        <v>3.1176313508226937E-2</v>
      </c>
      <c r="J226" s="158">
        <f>'3month_treasury (2)'!D220</f>
        <v>2.349477864231828E-3</v>
      </c>
      <c r="K226" s="157">
        <f t="shared" si="11"/>
        <v>2.8826835643995109E-2</v>
      </c>
      <c r="L226" s="151"/>
    </row>
    <row r="227" spans="1:12" ht="14.25" hidden="1" x14ac:dyDescent="0.2">
      <c r="A227" s="38">
        <v>38504</v>
      </c>
      <c r="B227">
        <v>95.9</v>
      </c>
      <c r="C227" s="28">
        <f t="shared" si="9"/>
        <v>1.2520869749293156E-3</v>
      </c>
      <c r="G227" s="39">
        <v>38504</v>
      </c>
      <c r="H227" s="155">
        <v>95.9</v>
      </c>
      <c r="I227" s="147">
        <f t="shared" si="10"/>
        <v>1.2520869749293156E-3</v>
      </c>
      <c r="J227" s="158">
        <f>'3month_treasury (2)'!D221</f>
        <v>2.4009234878433045E-3</v>
      </c>
      <c r="K227" s="157">
        <f t="shared" si="11"/>
        <v>-1.1488365129139889E-3</v>
      </c>
      <c r="L227" s="151"/>
    </row>
    <row r="228" spans="1:12" ht="14.25" hidden="1" x14ac:dyDescent="0.2">
      <c r="A228" s="38">
        <v>38534</v>
      </c>
      <c r="B228">
        <v>99.45</v>
      </c>
      <c r="C228" s="28">
        <f t="shared" si="9"/>
        <v>3.6349023410588571E-2</v>
      </c>
      <c r="G228" s="39">
        <v>38534</v>
      </c>
      <c r="H228" s="155">
        <v>99.45</v>
      </c>
      <c r="I228" s="147">
        <f t="shared" si="10"/>
        <v>3.6349023410588571E-2</v>
      </c>
      <c r="J228" s="158">
        <f>'3month_treasury (2)'!D222</f>
        <v>2.5124980792402764E-3</v>
      </c>
      <c r="K228" s="157">
        <f t="shared" si="11"/>
        <v>3.3836525331348295E-2</v>
      </c>
      <c r="L228" s="151"/>
    </row>
    <row r="229" spans="1:12" ht="14.25" hidden="1" x14ac:dyDescent="0.2">
      <c r="A229" s="38">
        <v>38565</v>
      </c>
      <c r="B229">
        <v>98.54</v>
      </c>
      <c r="C229" s="28">
        <f t="shared" si="9"/>
        <v>-9.1924481841641481E-3</v>
      </c>
      <c r="G229" s="39">
        <v>38565</v>
      </c>
      <c r="H229" s="155">
        <v>98.54</v>
      </c>
      <c r="I229" s="147">
        <f t="shared" si="10"/>
        <v>-9.1924481841641481E-3</v>
      </c>
      <c r="J229" s="158">
        <f>'3month_treasury (2)'!D223</f>
        <v>2.7274853852432388E-3</v>
      </c>
      <c r="K229" s="157">
        <f t="shared" si="11"/>
        <v>-1.1919933569407386E-2</v>
      </c>
      <c r="L229" s="151"/>
    </row>
    <row r="230" spans="1:12" ht="14.25" hidden="1" x14ac:dyDescent="0.2">
      <c r="A230" s="38">
        <v>38596</v>
      </c>
      <c r="B230">
        <v>99.32</v>
      </c>
      <c r="C230" s="28">
        <f t="shared" si="9"/>
        <v>7.884403524148615E-3</v>
      </c>
      <c r="G230" s="39">
        <v>38596</v>
      </c>
      <c r="H230" s="155">
        <v>99.32</v>
      </c>
      <c r="I230" s="147">
        <f t="shared" si="10"/>
        <v>7.884403524148615E-3</v>
      </c>
      <c r="J230" s="158">
        <f>'3month_treasury (2)'!D224</f>
        <v>2.9171340999012761E-3</v>
      </c>
      <c r="K230" s="157">
        <f t="shared" si="11"/>
        <v>4.9672694242473385E-3</v>
      </c>
      <c r="L230" s="151"/>
    </row>
    <row r="231" spans="1:12" ht="14.25" hidden="1" x14ac:dyDescent="0.2">
      <c r="A231" s="38">
        <v>38628</v>
      </c>
      <c r="B231">
        <v>97.66</v>
      </c>
      <c r="C231" s="28">
        <f t="shared" si="9"/>
        <v>-1.6854902006451629E-2</v>
      </c>
      <c r="G231" s="39">
        <v>38628</v>
      </c>
      <c r="H231" s="155">
        <v>97.66</v>
      </c>
      <c r="I231" s="147">
        <f t="shared" si="10"/>
        <v>-1.6854902006451629E-2</v>
      </c>
      <c r="J231" s="158">
        <f>'3month_treasury (2)'!D225</f>
        <v>2.8998754618912957E-3</v>
      </c>
      <c r="K231" s="157">
        <f t="shared" si="11"/>
        <v>-1.9754777468342925E-2</v>
      </c>
      <c r="L231" s="151"/>
    </row>
    <row r="232" spans="1:12" ht="14.25" hidden="1" x14ac:dyDescent="0.2">
      <c r="A232" s="38">
        <v>38657</v>
      </c>
      <c r="B232">
        <v>101.33</v>
      </c>
      <c r="C232" s="28">
        <f t="shared" si="9"/>
        <v>3.689045882671195E-2</v>
      </c>
      <c r="G232" s="39">
        <v>38657</v>
      </c>
      <c r="H232" s="155">
        <v>101.33</v>
      </c>
      <c r="I232" s="147">
        <f t="shared" si="10"/>
        <v>3.689045882671195E-2</v>
      </c>
      <c r="J232" s="158">
        <f>'3month_treasury (2)'!D226</f>
        <v>3.1504762279915555E-3</v>
      </c>
      <c r="K232" s="157">
        <f t="shared" si="11"/>
        <v>3.3739982598720394E-2</v>
      </c>
      <c r="L232" s="151"/>
    </row>
    <row r="233" spans="1:12" ht="14.25" hidden="1" x14ac:dyDescent="0.2">
      <c r="A233" s="38">
        <v>38687</v>
      </c>
      <c r="B233">
        <v>101.36</v>
      </c>
      <c r="C233" s="28">
        <f t="shared" si="9"/>
        <v>2.9601855265735759E-4</v>
      </c>
      <c r="G233" s="39">
        <v>38687</v>
      </c>
      <c r="H233" s="155">
        <v>101.36</v>
      </c>
      <c r="I233" s="147">
        <f t="shared" si="10"/>
        <v>2.9601855265735759E-4</v>
      </c>
      <c r="J233" s="158">
        <f>'3month_treasury (2)'!D227</f>
        <v>3.2977312599852689E-3</v>
      </c>
      <c r="K233" s="157">
        <f t="shared" si="11"/>
        <v>-3.0017127073279112E-3</v>
      </c>
      <c r="L233" s="151"/>
    </row>
    <row r="234" spans="1:12" ht="14.25" hidden="1" x14ac:dyDescent="0.2">
      <c r="A234" s="38">
        <v>38720</v>
      </c>
      <c r="B234">
        <v>104.04</v>
      </c>
      <c r="C234" s="28">
        <f t="shared" si="9"/>
        <v>2.6096904567567341E-2</v>
      </c>
      <c r="G234" s="39">
        <v>38720</v>
      </c>
      <c r="H234" s="155">
        <v>104.04</v>
      </c>
      <c r="I234" s="147">
        <f t="shared" si="10"/>
        <v>2.6096904567567341E-2</v>
      </c>
      <c r="J234" s="158">
        <f>'3month_treasury (2)'!D228</f>
        <v>3.3064014294081905E-3</v>
      </c>
      <c r="K234" s="157">
        <f t="shared" si="11"/>
        <v>2.2790503138159151E-2</v>
      </c>
      <c r="L234" s="151"/>
    </row>
    <row r="235" spans="1:12" ht="14.25" hidden="1" x14ac:dyDescent="0.2">
      <c r="A235" s="38">
        <v>38749</v>
      </c>
      <c r="B235">
        <v>104.3</v>
      </c>
      <c r="C235" s="28">
        <f t="shared" si="9"/>
        <v>2.4959214262759198E-3</v>
      </c>
      <c r="G235" s="39">
        <v>38749</v>
      </c>
      <c r="H235" s="155">
        <v>104.3</v>
      </c>
      <c r="I235" s="147">
        <f t="shared" si="10"/>
        <v>2.4959214262759198E-3</v>
      </c>
      <c r="J235" s="158">
        <f>'3month_treasury (2)'!D229</f>
        <v>3.6104270615311424E-3</v>
      </c>
      <c r="K235" s="157">
        <f t="shared" si="11"/>
        <v>-1.1145056352552226E-3</v>
      </c>
      <c r="L235" s="151"/>
    </row>
    <row r="236" spans="1:12" ht="14.25" hidden="1" x14ac:dyDescent="0.2">
      <c r="A236" s="38">
        <v>38777</v>
      </c>
      <c r="B236">
        <v>105.6</v>
      </c>
      <c r="C236" s="28">
        <f t="shared" si="9"/>
        <v>1.2387009265434302E-2</v>
      </c>
      <c r="G236" s="39">
        <v>38777</v>
      </c>
      <c r="H236" s="155">
        <v>105.6</v>
      </c>
      <c r="I236" s="147">
        <f t="shared" si="10"/>
        <v>1.2387009265434302E-2</v>
      </c>
      <c r="J236" s="158">
        <f>'3month_treasury (2)'!D230</f>
        <v>3.7759352258336007E-3</v>
      </c>
      <c r="K236" s="157">
        <f t="shared" si="11"/>
        <v>8.611074039600701E-3</v>
      </c>
      <c r="L236" s="151"/>
    </row>
    <row r="237" spans="1:12" ht="14.25" hidden="1" x14ac:dyDescent="0.2">
      <c r="A237" s="38">
        <v>38810</v>
      </c>
      <c r="B237">
        <v>107</v>
      </c>
      <c r="C237" s="28">
        <f t="shared" si="9"/>
        <v>1.3170463189745227E-2</v>
      </c>
      <c r="G237" s="39">
        <v>38810</v>
      </c>
      <c r="H237" s="155">
        <v>107</v>
      </c>
      <c r="I237" s="147">
        <f t="shared" si="10"/>
        <v>1.3170463189745227E-2</v>
      </c>
      <c r="J237" s="158">
        <f>'3month_treasury (2)'!D231</f>
        <v>3.8457213354983477E-3</v>
      </c>
      <c r="K237" s="157">
        <f t="shared" si="11"/>
        <v>9.3247418542468791E-3</v>
      </c>
      <c r="L237" s="151"/>
    </row>
    <row r="238" spans="1:12" ht="14.25" hidden="1" x14ac:dyDescent="0.2">
      <c r="A238" s="38">
        <v>38838</v>
      </c>
      <c r="B238">
        <v>103.9</v>
      </c>
      <c r="C238" s="28">
        <f t="shared" si="9"/>
        <v>-2.9399936356724363E-2</v>
      </c>
      <c r="G238" s="39">
        <v>38838</v>
      </c>
      <c r="H238" s="155">
        <v>103.9</v>
      </c>
      <c r="I238" s="147">
        <f t="shared" si="10"/>
        <v>-2.9399936356724363E-2</v>
      </c>
      <c r="J238" s="158">
        <f>'3month_treasury (2)'!D232</f>
        <v>3.9243006278208642E-3</v>
      </c>
      <c r="K238" s="157">
        <f t="shared" si="11"/>
        <v>-3.332423698454523E-2</v>
      </c>
      <c r="L238" s="151"/>
    </row>
    <row r="239" spans="1:12" ht="14.25" hidden="1" x14ac:dyDescent="0.2">
      <c r="A239" s="38">
        <v>38869</v>
      </c>
      <c r="B239">
        <v>104.04</v>
      </c>
      <c r="C239" s="28">
        <f t="shared" si="9"/>
        <v>1.346542475269147E-3</v>
      </c>
      <c r="G239" s="39">
        <v>38869</v>
      </c>
      <c r="H239" s="155">
        <v>104.04</v>
      </c>
      <c r="I239" s="147">
        <f t="shared" si="10"/>
        <v>1.346542475269147E-3</v>
      </c>
      <c r="J239" s="158">
        <f>'3month_treasury (2)'!D233</f>
        <v>4.029188411753897E-3</v>
      </c>
      <c r="K239" s="157">
        <f t="shared" si="11"/>
        <v>-2.68264593648475E-3</v>
      </c>
      <c r="L239" s="151"/>
    </row>
    <row r="240" spans="1:12" ht="14.25" hidden="1" x14ac:dyDescent="0.2">
      <c r="A240" s="38">
        <v>38901</v>
      </c>
      <c r="B240">
        <v>104.67</v>
      </c>
      <c r="C240" s="28">
        <f t="shared" si="9"/>
        <v>6.0371032863415722E-3</v>
      </c>
      <c r="G240" s="39">
        <v>38901</v>
      </c>
      <c r="H240" s="155">
        <v>104.67</v>
      </c>
      <c r="I240" s="147">
        <f t="shared" si="10"/>
        <v>6.0371032863415722E-3</v>
      </c>
      <c r="J240" s="158">
        <f>'3month_treasury (2)'!D234</f>
        <v>4.0904339742076114E-3</v>
      </c>
      <c r="K240" s="157">
        <f t="shared" si="11"/>
        <v>1.9466693121339609E-3</v>
      </c>
      <c r="L240" s="151"/>
    </row>
    <row r="241" spans="1:12" ht="14.25" hidden="1" x14ac:dyDescent="0.2">
      <c r="A241" s="38">
        <v>38930</v>
      </c>
      <c r="B241">
        <v>107.14</v>
      </c>
      <c r="C241" s="28">
        <f t="shared" si="9"/>
        <v>2.3323846586021924E-2</v>
      </c>
      <c r="G241" s="39">
        <v>38930</v>
      </c>
      <c r="H241" s="155">
        <v>107.14</v>
      </c>
      <c r="I241" s="147">
        <f t="shared" si="10"/>
        <v>2.3323846586021924E-2</v>
      </c>
      <c r="J241" s="158">
        <f>'3month_treasury (2)'!D235</f>
        <v>4.2305930878044351E-3</v>
      </c>
      <c r="K241" s="157">
        <f t="shared" si="11"/>
        <v>1.9093253498217489E-2</v>
      </c>
      <c r="L241" s="151"/>
    </row>
    <row r="242" spans="1:12" ht="14.25" hidden="1" x14ac:dyDescent="0.2">
      <c r="A242" s="38">
        <v>38961</v>
      </c>
      <c r="B242">
        <v>109.89</v>
      </c>
      <c r="C242" s="28">
        <f t="shared" ref="C242:C305" si="12">LN(B242/B241)</f>
        <v>2.5343475006018436E-2</v>
      </c>
      <c r="G242" s="39">
        <v>38961</v>
      </c>
      <c r="H242" s="155">
        <v>109.89</v>
      </c>
      <c r="I242" s="147">
        <f t="shared" si="10"/>
        <v>2.5343475006018436E-2</v>
      </c>
      <c r="J242" s="158">
        <f>'3month_treasury (2)'!D236</f>
        <v>4.2393608644797085E-3</v>
      </c>
      <c r="K242" s="157">
        <f t="shared" si="11"/>
        <v>2.1104114141538729E-2</v>
      </c>
      <c r="L242" s="151"/>
    </row>
    <row r="243" spans="1:12" ht="14.25" hidden="1" x14ac:dyDescent="0.2">
      <c r="A243" s="38">
        <v>38992</v>
      </c>
      <c r="B243">
        <v>113.46</v>
      </c>
      <c r="C243" s="28">
        <f t="shared" si="12"/>
        <v>3.1970486439588282E-2</v>
      </c>
      <c r="G243" s="39">
        <v>38992</v>
      </c>
      <c r="H243" s="155">
        <v>113.46</v>
      </c>
      <c r="I243" s="147">
        <f t="shared" si="10"/>
        <v>3.1970486439588282E-2</v>
      </c>
      <c r="J243" s="158">
        <f>'3month_treasury (2)'!D237</f>
        <v>4.1079409770731282E-3</v>
      </c>
      <c r="K243" s="157">
        <f t="shared" si="11"/>
        <v>2.7862545462515154E-2</v>
      </c>
      <c r="L243" s="151"/>
    </row>
    <row r="244" spans="1:12" ht="14.25" hidden="1" x14ac:dyDescent="0.2">
      <c r="A244" s="38">
        <v>39022</v>
      </c>
      <c r="B244">
        <v>115.59</v>
      </c>
      <c r="C244" s="28">
        <f t="shared" si="12"/>
        <v>1.8599095407754871E-2</v>
      </c>
      <c r="G244" s="39">
        <v>39022</v>
      </c>
      <c r="H244" s="155">
        <v>115.59</v>
      </c>
      <c r="I244" s="147">
        <f t="shared" si="10"/>
        <v>1.8599095407754871E-2</v>
      </c>
      <c r="J244" s="158">
        <f>'3month_treasury (2)'!D238</f>
        <v>4.2042952913415163E-3</v>
      </c>
      <c r="K244" s="157">
        <f t="shared" si="11"/>
        <v>1.4394800116413354E-2</v>
      </c>
      <c r="L244" s="151"/>
    </row>
    <row r="245" spans="1:12" ht="14.25" hidden="1" x14ac:dyDescent="0.2">
      <c r="A245" s="38">
        <v>39052</v>
      </c>
      <c r="B245">
        <v>117.21</v>
      </c>
      <c r="C245" s="28">
        <f t="shared" si="12"/>
        <v>1.3917750428912927E-2</v>
      </c>
      <c r="G245" s="39">
        <v>39052</v>
      </c>
      <c r="H245" s="155">
        <v>117.21</v>
      </c>
      <c r="I245" s="147">
        <f t="shared" si="10"/>
        <v>1.3917750428912927E-2</v>
      </c>
      <c r="J245" s="158">
        <f>'3month_treasury (2)'!D239</f>
        <v>4.2218262335190051E-3</v>
      </c>
      <c r="K245" s="157">
        <f t="shared" si="11"/>
        <v>9.6959241953939214E-3</v>
      </c>
      <c r="L245" s="151"/>
    </row>
    <row r="246" spans="1:12" ht="14.25" hidden="1" x14ac:dyDescent="0.2">
      <c r="A246" s="38">
        <v>39085</v>
      </c>
      <c r="B246">
        <v>118.96</v>
      </c>
      <c r="C246" s="28">
        <f t="shared" si="12"/>
        <v>1.4820104416810661E-2</v>
      </c>
      <c r="G246" s="39">
        <v>39085</v>
      </c>
      <c r="H246" s="155">
        <v>118.96</v>
      </c>
      <c r="I246" s="147">
        <f t="shared" si="10"/>
        <v>1.4820104416810661E-2</v>
      </c>
      <c r="J246" s="158">
        <f>'3month_treasury (2)'!D240</f>
        <v>4.1429660204943949E-3</v>
      </c>
      <c r="K246" s="157">
        <f t="shared" si="11"/>
        <v>1.0677138396316267E-2</v>
      </c>
      <c r="L246" s="151"/>
    </row>
    <row r="247" spans="1:12" ht="14.25" hidden="1" x14ac:dyDescent="0.2">
      <c r="A247" s="38">
        <v>39114</v>
      </c>
      <c r="B247">
        <v>116.62</v>
      </c>
      <c r="C247" s="28">
        <f t="shared" si="12"/>
        <v>-1.9866516357889656E-2</v>
      </c>
      <c r="G247" s="39">
        <v>39114</v>
      </c>
      <c r="H247" s="155">
        <v>116.62</v>
      </c>
      <c r="I247" s="147">
        <f t="shared" si="10"/>
        <v>-1.9866516357889656E-2</v>
      </c>
      <c r="J247" s="158">
        <f>'3month_treasury (2)'!D241</f>
        <v>4.2568991857763533E-3</v>
      </c>
      <c r="K247" s="157">
        <f t="shared" si="11"/>
        <v>-2.412341554366601E-2</v>
      </c>
      <c r="L247" s="151"/>
    </row>
    <row r="248" spans="1:12" ht="14.25" hidden="1" x14ac:dyDescent="0.2">
      <c r="A248" s="38">
        <v>39142</v>
      </c>
      <c r="B248">
        <v>117.92</v>
      </c>
      <c r="C248" s="28">
        <f t="shared" si="12"/>
        <v>1.1085642647016444E-2</v>
      </c>
      <c r="G248" s="39">
        <v>39142</v>
      </c>
      <c r="H248" s="155">
        <v>117.92</v>
      </c>
      <c r="I248" s="147">
        <f t="shared" si="10"/>
        <v>1.1085642647016444E-2</v>
      </c>
      <c r="J248" s="158">
        <f>'3month_treasury (2)'!D242</f>
        <v>4.3007611444358515E-3</v>
      </c>
      <c r="K248" s="157">
        <f t="shared" si="11"/>
        <v>6.7848815025805921E-3</v>
      </c>
      <c r="L248" s="151"/>
    </row>
    <row r="249" spans="1:12" ht="14.25" hidden="1" x14ac:dyDescent="0.2">
      <c r="A249" s="38">
        <v>39174</v>
      </c>
      <c r="B249">
        <v>123.13</v>
      </c>
      <c r="C249" s="28">
        <f t="shared" si="12"/>
        <v>4.3234279363753556E-2</v>
      </c>
      <c r="G249" s="39">
        <v>39174</v>
      </c>
      <c r="H249" s="155">
        <v>123.13</v>
      </c>
      <c r="I249" s="147">
        <f t="shared" si="10"/>
        <v>4.3234279363753556E-2</v>
      </c>
      <c r="J249" s="158">
        <f>'3month_treasury (2)'!D243</f>
        <v>4.2218262335190051E-3</v>
      </c>
      <c r="K249" s="157">
        <f t="shared" si="11"/>
        <v>3.9012453130234548E-2</v>
      </c>
      <c r="L249" s="151"/>
    </row>
    <row r="250" spans="1:12" ht="14.25" hidden="1" x14ac:dyDescent="0.2">
      <c r="A250" s="38">
        <v>39203</v>
      </c>
      <c r="B250">
        <v>127.41</v>
      </c>
      <c r="C250" s="28">
        <f t="shared" si="12"/>
        <v>3.4169525188509436E-2</v>
      </c>
      <c r="G250" s="39">
        <v>39203</v>
      </c>
      <c r="H250" s="155">
        <v>127.41</v>
      </c>
      <c r="I250" s="147">
        <f t="shared" si="10"/>
        <v>3.4169525188509436E-2</v>
      </c>
      <c r="J250" s="158">
        <f>'3month_treasury (2)'!D244</f>
        <v>4.1604840641438203E-3</v>
      </c>
      <c r="K250" s="157">
        <f t="shared" si="11"/>
        <v>3.0009041124365615E-2</v>
      </c>
      <c r="L250" s="151"/>
    </row>
    <row r="251" spans="1:12" ht="14.25" hidden="1" x14ac:dyDescent="0.2">
      <c r="A251" s="38">
        <v>39234</v>
      </c>
      <c r="B251">
        <v>125.27</v>
      </c>
      <c r="C251" s="28">
        <f t="shared" si="12"/>
        <v>-1.693882513718889E-2</v>
      </c>
      <c r="G251" s="39">
        <v>39234</v>
      </c>
      <c r="H251" s="155">
        <v>125.27</v>
      </c>
      <c r="I251" s="147">
        <f t="shared" si="10"/>
        <v>-1.693882513718889E-2</v>
      </c>
      <c r="J251" s="158">
        <f>'3month_treasury (2)'!D245</f>
        <v>4.0379350224502781E-3</v>
      </c>
      <c r="K251" s="157">
        <f t="shared" si="11"/>
        <v>-2.0976760159639167E-2</v>
      </c>
      <c r="L251" s="151"/>
    </row>
    <row r="252" spans="1:12" ht="14.25" hidden="1" x14ac:dyDescent="0.2">
      <c r="A252" s="38">
        <v>39265</v>
      </c>
      <c r="B252">
        <v>121.4</v>
      </c>
      <c r="C252" s="28">
        <f t="shared" si="12"/>
        <v>-3.13805292307026E-2</v>
      </c>
      <c r="G252" s="39">
        <v>39265</v>
      </c>
      <c r="H252" s="155">
        <v>121.4</v>
      </c>
      <c r="I252" s="147">
        <f t="shared" si="10"/>
        <v>-3.13805292307026E-2</v>
      </c>
      <c r="J252" s="158">
        <f>'3month_treasury (2)'!D246</f>
        <v>3.9330362359145483E-3</v>
      </c>
      <c r="K252" s="157">
        <f t="shared" si="11"/>
        <v>-3.5313565466617146E-2</v>
      </c>
      <c r="L252" s="151"/>
    </row>
    <row r="253" spans="1:12" ht="14.25" hidden="1" x14ac:dyDescent="0.2">
      <c r="A253" s="38">
        <v>39295</v>
      </c>
      <c r="B253">
        <v>123.22</v>
      </c>
      <c r="C253" s="28">
        <f t="shared" si="12"/>
        <v>1.4880496961026786E-2</v>
      </c>
      <c r="G253" s="39">
        <v>39295</v>
      </c>
      <c r="H253" s="155">
        <v>123.22</v>
      </c>
      <c r="I253" s="147">
        <f t="shared" si="10"/>
        <v>1.4880496961026786E-2</v>
      </c>
      <c r="J253" s="158">
        <f>'3month_treasury (2)'!D247</f>
        <v>4.1166958579272423E-3</v>
      </c>
      <c r="K253" s="157">
        <f t="shared" si="11"/>
        <v>1.0763801103099543E-2</v>
      </c>
      <c r="L253" s="151"/>
    </row>
    <row r="254" spans="1:12" ht="14.25" hidden="1" x14ac:dyDescent="0.2">
      <c r="A254" s="38">
        <v>39329</v>
      </c>
      <c r="B254">
        <v>127.81</v>
      </c>
      <c r="C254" s="28">
        <f t="shared" si="12"/>
        <v>3.6573410557198316E-2</v>
      </c>
      <c r="G254" s="39">
        <v>39329</v>
      </c>
      <c r="H254" s="155">
        <v>127.81</v>
      </c>
      <c r="I254" s="147">
        <f t="shared" si="10"/>
        <v>3.6573410557198316E-2</v>
      </c>
      <c r="J254" s="158">
        <f>'3month_treasury (2)'!D248</f>
        <v>3.5756250842730497E-3</v>
      </c>
      <c r="K254" s="157">
        <f t="shared" si="11"/>
        <v>3.2997785472925263E-2</v>
      </c>
      <c r="L254" s="151"/>
    </row>
    <row r="255" spans="1:12" ht="14.25" hidden="1" x14ac:dyDescent="0.2">
      <c r="A255" s="38">
        <v>39356</v>
      </c>
      <c r="B255">
        <v>129.83000000000001</v>
      </c>
      <c r="C255" s="28">
        <f t="shared" si="12"/>
        <v>1.5681116228539221E-2</v>
      </c>
      <c r="G255" s="39">
        <v>39356</v>
      </c>
      <c r="H255" s="155">
        <v>129.83000000000001</v>
      </c>
      <c r="I255" s="147">
        <f t="shared" si="10"/>
        <v>1.5681116228539221E-2</v>
      </c>
      <c r="J255" s="158">
        <f>'3month_treasury (2)'!D249</f>
        <v>3.3064014294081905E-3</v>
      </c>
      <c r="K255" s="157">
        <f t="shared" si="11"/>
        <v>1.2374714799131031E-2</v>
      </c>
      <c r="L255" s="151"/>
    </row>
    <row r="256" spans="1:12" ht="14.25" hidden="1" x14ac:dyDescent="0.2">
      <c r="A256" s="38">
        <v>39387</v>
      </c>
      <c r="B256">
        <v>124.39</v>
      </c>
      <c r="C256" s="28">
        <f t="shared" si="12"/>
        <v>-4.280411115028885E-2</v>
      </c>
      <c r="G256" s="39">
        <v>39387</v>
      </c>
      <c r="H256" s="155">
        <v>124.39</v>
      </c>
      <c r="I256" s="147">
        <f t="shared" si="10"/>
        <v>-4.280411115028885E-2</v>
      </c>
      <c r="J256" s="158">
        <f>'3month_treasury (2)'!D250</f>
        <v>3.3150725009870557E-3</v>
      </c>
      <c r="K256" s="157">
        <f t="shared" si="11"/>
        <v>-4.6119183651275902E-2</v>
      </c>
      <c r="L256" s="151"/>
    </row>
    <row r="257" spans="1:12" ht="14.25" hidden="1" x14ac:dyDescent="0.2">
      <c r="A257" s="38">
        <v>39419</v>
      </c>
      <c r="B257">
        <v>123.53</v>
      </c>
      <c r="C257" s="28">
        <f t="shared" si="12"/>
        <v>-6.9377496731508927E-3</v>
      </c>
      <c r="G257" s="39">
        <v>39419</v>
      </c>
      <c r="H257" s="155">
        <v>123.53</v>
      </c>
      <c r="I257" s="147">
        <f t="shared" si="10"/>
        <v>-6.9377496731508927E-3</v>
      </c>
      <c r="J257" s="158">
        <f>'3month_treasury (2)'!D251</f>
        <v>2.7705494828029714E-3</v>
      </c>
      <c r="K257" s="157">
        <f t="shared" si="11"/>
        <v>-9.7082991559538645E-3</v>
      </c>
      <c r="L257" s="151"/>
    </row>
    <row r="258" spans="1:12" ht="14.25" hidden="1" x14ac:dyDescent="0.2">
      <c r="A258" s="38">
        <v>39449</v>
      </c>
      <c r="B258">
        <v>116.1</v>
      </c>
      <c r="C258" s="28">
        <f t="shared" si="12"/>
        <v>-6.2032152844876599E-2</v>
      </c>
      <c r="G258" s="39">
        <v>39449</v>
      </c>
      <c r="H258" s="155">
        <v>116.1</v>
      </c>
      <c r="I258" s="147">
        <f t="shared" si="10"/>
        <v>-6.2032152844876599E-2</v>
      </c>
      <c r="J258" s="158">
        <f>'3month_treasury (2)'!D252</f>
        <v>2.5382672903923697E-3</v>
      </c>
      <c r="K258" s="157">
        <f t="shared" si="11"/>
        <v>-6.4570420135268966E-2</v>
      </c>
      <c r="L258" s="151"/>
    </row>
    <row r="259" spans="1:12" ht="14.25" hidden="1" x14ac:dyDescent="0.2">
      <c r="A259" s="38">
        <v>39479</v>
      </c>
      <c r="B259">
        <v>112.33</v>
      </c>
      <c r="C259" s="28">
        <f t="shared" si="12"/>
        <v>-3.3010921050367854E-2</v>
      </c>
      <c r="G259" s="39">
        <v>39479</v>
      </c>
      <c r="H259" s="155">
        <v>112.33</v>
      </c>
      <c r="I259" s="147">
        <f t="shared" si="10"/>
        <v>-3.3010921050367854E-2</v>
      </c>
      <c r="J259" s="158">
        <f>'3month_treasury (2)'!D253</f>
        <v>2.3237669574613035E-3</v>
      </c>
      <c r="K259" s="157">
        <f t="shared" si="11"/>
        <v>-3.5334688007829157E-2</v>
      </c>
      <c r="L259" s="151"/>
    </row>
    <row r="260" spans="1:12" ht="14.25" hidden="1" x14ac:dyDescent="0.2">
      <c r="A260" s="38">
        <v>39510</v>
      </c>
      <c r="B260">
        <v>111.83</v>
      </c>
      <c r="C260" s="28">
        <f t="shared" si="12"/>
        <v>-4.4611066133809305E-3</v>
      </c>
      <c r="G260" s="39">
        <v>39510</v>
      </c>
      <c r="H260" s="155">
        <v>111.83</v>
      </c>
      <c r="I260" s="147">
        <f t="shared" si="10"/>
        <v>-4.4611066133809305E-3</v>
      </c>
      <c r="J260" s="158">
        <f>'3month_treasury (2)'!D254</f>
        <v>1.7856622844683737E-3</v>
      </c>
      <c r="K260" s="157">
        <f t="shared" si="11"/>
        <v>-6.2467688978493042E-3</v>
      </c>
      <c r="L260" s="151"/>
    </row>
    <row r="261" spans="1:12" ht="14.25" hidden="1" x14ac:dyDescent="0.2">
      <c r="A261" s="38">
        <v>39539</v>
      </c>
      <c r="B261">
        <v>117.26</v>
      </c>
      <c r="C261" s="28">
        <f t="shared" si="12"/>
        <v>4.7413830495972045E-2</v>
      </c>
      <c r="G261" s="39">
        <v>39539</v>
      </c>
      <c r="H261" s="155">
        <v>117.26</v>
      </c>
      <c r="I261" s="147">
        <f t="shared" si="10"/>
        <v>4.7413830495972045E-2</v>
      </c>
      <c r="J261" s="158">
        <f>'3month_treasury (2)'!D255</f>
        <v>1.0566710964478858E-3</v>
      </c>
      <c r="K261" s="157">
        <f t="shared" si="11"/>
        <v>4.6357159399524159E-2</v>
      </c>
      <c r="L261" s="151"/>
    </row>
    <row r="262" spans="1:12" ht="14.25" hidden="1" x14ac:dyDescent="0.2">
      <c r="A262" s="38">
        <v>39569</v>
      </c>
      <c r="B262">
        <v>118.77</v>
      </c>
      <c r="C262" s="28">
        <f t="shared" si="12"/>
        <v>1.2795158250079786E-2</v>
      </c>
      <c r="G262" s="39">
        <v>39569</v>
      </c>
      <c r="H262" s="155">
        <v>118.77</v>
      </c>
      <c r="I262" s="147">
        <f t="shared" si="10"/>
        <v>1.2795158250079786E-2</v>
      </c>
      <c r="J262" s="158">
        <f>'3month_treasury (2)'!D256</f>
        <v>1.0819939631912443E-3</v>
      </c>
      <c r="K262" s="157">
        <f t="shared" si="11"/>
        <v>1.1713164286888542E-2</v>
      </c>
      <c r="L262" s="151"/>
    </row>
    <row r="263" spans="1:12" ht="14.25" hidden="1" x14ac:dyDescent="0.2">
      <c r="A263" s="38">
        <v>39601</v>
      </c>
      <c r="B263">
        <v>108.73</v>
      </c>
      <c r="C263" s="28">
        <f t="shared" si="12"/>
        <v>-8.8321104776490772E-2</v>
      </c>
      <c r="G263" s="39">
        <v>39601</v>
      </c>
      <c r="H263" s="155">
        <v>108.73</v>
      </c>
      <c r="I263" s="147">
        <f t="shared" si="10"/>
        <v>-8.8321104776490772E-2</v>
      </c>
      <c r="J263" s="158">
        <f>'3month_treasury (2)'!D257</f>
        <v>1.4542828011463217E-3</v>
      </c>
      <c r="K263" s="157">
        <f t="shared" si="11"/>
        <v>-8.9775387577637089E-2</v>
      </c>
      <c r="L263" s="151"/>
    </row>
    <row r="264" spans="1:12" ht="14.25" hidden="1" x14ac:dyDescent="0.2">
      <c r="A264" s="38">
        <v>39630</v>
      </c>
      <c r="B264">
        <v>107.83</v>
      </c>
      <c r="C264" s="28">
        <f t="shared" si="12"/>
        <v>-8.3118321156771899E-3</v>
      </c>
      <c r="G264" s="39">
        <v>39630</v>
      </c>
      <c r="H264" s="155">
        <v>107.83</v>
      </c>
      <c r="I264" s="147">
        <f t="shared" si="10"/>
        <v>-8.3118321156771899E-3</v>
      </c>
      <c r="J264" s="158">
        <f>'3month_treasury (2)'!D258</f>
        <v>1.5645962771944988E-3</v>
      </c>
      <c r="K264" s="157">
        <f t="shared" si="11"/>
        <v>-9.8764283928716896E-3</v>
      </c>
      <c r="L264" s="151"/>
    </row>
    <row r="265" spans="1:12" ht="14.25" hidden="1" x14ac:dyDescent="0.2">
      <c r="A265" s="38">
        <v>39661</v>
      </c>
      <c r="B265">
        <v>109.39</v>
      </c>
      <c r="C265" s="28">
        <f t="shared" si="12"/>
        <v>1.4363565237718402E-2</v>
      </c>
      <c r="G265" s="39">
        <v>39661</v>
      </c>
      <c r="H265" s="155">
        <v>109.39</v>
      </c>
      <c r="I265" s="147">
        <f t="shared" si="10"/>
        <v>1.4363565237718402E-2</v>
      </c>
      <c r="J265" s="158">
        <f>'3month_treasury (2)'!D259</f>
        <v>1.3695255386187346E-3</v>
      </c>
      <c r="K265" s="157">
        <f t="shared" si="11"/>
        <v>1.2994039699099668E-2</v>
      </c>
      <c r="L265" s="151"/>
    </row>
    <row r="266" spans="1:12" ht="14.25" hidden="1" x14ac:dyDescent="0.2">
      <c r="A266" s="38">
        <v>39693</v>
      </c>
      <c r="B266">
        <v>99.66</v>
      </c>
      <c r="C266" s="28">
        <f t="shared" si="12"/>
        <v>-9.3155085278441019E-2</v>
      </c>
      <c r="G266" s="39">
        <v>39693</v>
      </c>
      <c r="H266" s="155">
        <v>99.66</v>
      </c>
      <c r="I266" s="147">
        <f t="shared" ref="I266:I311" si="13">LN(H266/H265)</f>
        <v>-9.3155085278441019E-2</v>
      </c>
      <c r="J266" s="158">
        <f>'3month_treasury (2)'!D260</f>
        <v>1.4458031945927513E-3</v>
      </c>
      <c r="K266" s="157">
        <f t="shared" ref="K266:K311" si="14">I266-J266</f>
        <v>-9.4600888473033773E-2</v>
      </c>
      <c r="L266" s="151"/>
    </row>
    <row r="267" spans="1:12" ht="14.25" hidden="1" x14ac:dyDescent="0.2">
      <c r="A267" s="38">
        <v>39722</v>
      </c>
      <c r="B267">
        <v>82.92</v>
      </c>
      <c r="C267" s="28">
        <f t="shared" si="12"/>
        <v>-0.18388810528567956</v>
      </c>
      <c r="G267" s="39">
        <v>39722</v>
      </c>
      <c r="H267" s="155">
        <v>82.92</v>
      </c>
      <c r="I267" s="147">
        <f t="shared" si="13"/>
        <v>-0.18388810528567956</v>
      </c>
      <c r="J267" s="158">
        <f>'3month_treasury (2)'!D261</f>
        <v>9.4702750658748217E-4</v>
      </c>
      <c r="K267" s="157">
        <f t="shared" si="14"/>
        <v>-0.18483513279226704</v>
      </c>
      <c r="L267" s="151"/>
    </row>
    <row r="268" spans="1:12" ht="14.25" hidden="1" x14ac:dyDescent="0.2">
      <c r="A268" s="38">
        <v>39755</v>
      </c>
      <c r="B268">
        <v>76.97</v>
      </c>
      <c r="C268" s="28">
        <f t="shared" si="12"/>
        <v>-7.4460552021352808E-2</v>
      </c>
      <c r="G268" s="39">
        <v>39755</v>
      </c>
      <c r="H268" s="155">
        <v>76.97</v>
      </c>
      <c r="I268" s="147">
        <f t="shared" si="13"/>
        <v>-7.4460552021352808E-2</v>
      </c>
      <c r="J268" s="158">
        <f>'3month_treasury (2)'!D262</f>
        <v>5.6021214673556102E-4</v>
      </c>
      <c r="K268" s="157">
        <f t="shared" si="14"/>
        <v>-7.5020764168088366E-2</v>
      </c>
      <c r="L268" s="151"/>
    </row>
    <row r="269" spans="1:12" ht="14.25" hidden="1" x14ac:dyDescent="0.2">
      <c r="A269" s="38">
        <v>39783</v>
      </c>
      <c r="B269">
        <v>77.8</v>
      </c>
      <c r="C269" s="28">
        <f t="shared" si="12"/>
        <v>1.0725695638119875E-2</v>
      </c>
      <c r="G269" s="39">
        <v>39783</v>
      </c>
      <c r="H269" s="155">
        <v>77.8</v>
      </c>
      <c r="I269" s="147">
        <f t="shared" si="13"/>
        <v>1.0725695638119875E-2</v>
      </c>
      <c r="J269" s="158">
        <f>'3month_treasury (2)'!D263</f>
        <v>1.5848394079969908E-4</v>
      </c>
      <c r="K269" s="157">
        <f t="shared" si="14"/>
        <v>1.0567211697320176E-2</v>
      </c>
      <c r="L269" s="151"/>
    </row>
    <row r="270" spans="1:12" ht="14.25" hidden="1" x14ac:dyDescent="0.2">
      <c r="A270" s="38">
        <v>39815</v>
      </c>
      <c r="B270">
        <v>71.25</v>
      </c>
      <c r="C270" s="28">
        <f t="shared" si="12"/>
        <v>-8.7946612035585986E-2</v>
      </c>
      <c r="G270" s="39">
        <v>39815</v>
      </c>
      <c r="H270" s="155">
        <v>71.25</v>
      </c>
      <c r="I270" s="147">
        <f t="shared" si="13"/>
        <v>-8.7946612035585986E-2</v>
      </c>
      <c r="J270" s="158">
        <f>'3month_treasury (2)'!D264</f>
        <v>2.5003750750163386E-5</v>
      </c>
      <c r="K270" s="157">
        <f t="shared" si="14"/>
        <v>-8.7971615786336152E-2</v>
      </c>
      <c r="L270" s="151"/>
    </row>
    <row r="271" spans="1:12" ht="14.25" hidden="1" x14ac:dyDescent="0.2">
      <c r="A271" s="38">
        <v>39846</v>
      </c>
      <c r="B271">
        <v>63.66</v>
      </c>
      <c r="C271" s="28">
        <f t="shared" si="12"/>
        <v>-0.11263839729481315</v>
      </c>
      <c r="G271" s="39">
        <v>39846</v>
      </c>
      <c r="H271" s="155">
        <v>63.66</v>
      </c>
      <c r="I271" s="147">
        <f t="shared" si="13"/>
        <v>-0.11263839729481315</v>
      </c>
      <c r="J271" s="158">
        <f>'3month_treasury (2)'!D265</f>
        <v>1.0840381108734631E-4</v>
      </c>
      <c r="K271" s="157">
        <f t="shared" si="14"/>
        <v>-0.11274680110590049</v>
      </c>
      <c r="L271" s="151"/>
    </row>
    <row r="272" spans="1:12" ht="14.25" hidden="1" x14ac:dyDescent="0.2">
      <c r="A272" s="38">
        <v>39874</v>
      </c>
      <c r="B272">
        <v>69.25</v>
      </c>
      <c r="C272" s="28">
        <f t="shared" si="12"/>
        <v>8.4166723213501091E-2</v>
      </c>
      <c r="G272" s="39">
        <v>39874</v>
      </c>
      <c r="H272" s="155">
        <v>69.25</v>
      </c>
      <c r="I272" s="147">
        <f t="shared" si="13"/>
        <v>8.4166723213501091E-2</v>
      </c>
      <c r="J272" s="158">
        <f>'3month_treasury (2)'!D266</f>
        <v>2.5037575169156018E-4</v>
      </c>
      <c r="K272" s="157">
        <f t="shared" si="14"/>
        <v>8.3916347461809537E-2</v>
      </c>
      <c r="L272" s="151"/>
    </row>
    <row r="273" spans="1:12" ht="14.25" hidden="1" x14ac:dyDescent="0.2">
      <c r="A273" s="38">
        <v>39904</v>
      </c>
      <c r="B273">
        <v>75.87</v>
      </c>
      <c r="C273" s="28">
        <f t="shared" si="12"/>
        <v>9.1298204282535739E-2</v>
      </c>
      <c r="G273" s="39">
        <v>39904</v>
      </c>
      <c r="H273" s="155">
        <v>75.87</v>
      </c>
      <c r="I273" s="147">
        <f t="shared" si="13"/>
        <v>9.1298204282535739E-2</v>
      </c>
      <c r="J273" s="158">
        <f>'3month_treasury (2)'!D267</f>
        <v>1.7518400765583828E-4</v>
      </c>
      <c r="K273" s="157">
        <f t="shared" si="14"/>
        <v>9.1123020274879896E-2</v>
      </c>
      <c r="L273" s="151"/>
    </row>
    <row r="274" spans="1:12" ht="14.25" hidden="1" x14ac:dyDescent="0.2">
      <c r="A274" s="38">
        <v>39934</v>
      </c>
      <c r="B274">
        <v>80.13</v>
      </c>
      <c r="C274" s="28">
        <f t="shared" si="12"/>
        <v>5.4628966439995687E-2</v>
      </c>
      <c r="G274" s="39">
        <v>39934</v>
      </c>
      <c r="H274" s="155">
        <v>80.13</v>
      </c>
      <c r="I274" s="147">
        <f t="shared" si="13"/>
        <v>5.4628966439995687E-2</v>
      </c>
      <c r="J274" s="158">
        <f>'3month_treasury (2)'!D268</f>
        <v>1.3344011391448564E-4</v>
      </c>
      <c r="K274" s="157">
        <f t="shared" si="14"/>
        <v>5.4495526326081199E-2</v>
      </c>
      <c r="L274" s="151"/>
    </row>
    <row r="275" spans="1:12" ht="14.25" hidden="1" x14ac:dyDescent="0.2">
      <c r="A275" s="38">
        <v>39965</v>
      </c>
      <c r="B275">
        <v>80.31</v>
      </c>
      <c r="C275" s="28">
        <f t="shared" si="12"/>
        <v>2.2438304103918009E-3</v>
      </c>
      <c r="G275" s="39">
        <v>39965</v>
      </c>
      <c r="H275" s="155">
        <v>80.31</v>
      </c>
      <c r="I275" s="147">
        <f t="shared" si="13"/>
        <v>2.2438304103918009E-3</v>
      </c>
      <c r="J275" s="158">
        <f>'3month_treasury (2)'!D269</f>
        <v>1.5013516221901838E-4</v>
      </c>
      <c r="K275" s="157">
        <f t="shared" si="14"/>
        <v>2.0936952481727827E-3</v>
      </c>
      <c r="L275" s="151"/>
    </row>
    <row r="276" spans="1:12" ht="14.25" hidden="1" x14ac:dyDescent="0.2">
      <c r="A276" s="38">
        <v>39995</v>
      </c>
      <c r="B276">
        <v>86.39</v>
      </c>
      <c r="C276" s="28">
        <f t="shared" si="12"/>
        <v>7.2977782170421945E-2</v>
      </c>
      <c r="G276" s="39">
        <v>39995</v>
      </c>
      <c r="H276" s="155">
        <v>86.39</v>
      </c>
      <c r="I276" s="147">
        <f t="shared" si="13"/>
        <v>7.2977782170421945E-2</v>
      </c>
      <c r="J276" s="158">
        <f>'3month_treasury (2)'!D270</f>
        <v>1.5013516221901838E-4</v>
      </c>
      <c r="K276" s="157">
        <f t="shared" si="14"/>
        <v>7.2827647008202934E-2</v>
      </c>
      <c r="L276" s="151"/>
    </row>
    <row r="277" spans="1:12" ht="14.25" hidden="1" x14ac:dyDescent="0.2">
      <c r="A277" s="38">
        <v>40028</v>
      </c>
      <c r="B277">
        <v>89.5</v>
      </c>
      <c r="C277" s="28">
        <f t="shared" si="12"/>
        <v>3.5366696910016884E-2</v>
      </c>
      <c r="G277" s="39">
        <v>40028</v>
      </c>
      <c r="H277" s="155">
        <v>89.5</v>
      </c>
      <c r="I277" s="147">
        <f t="shared" si="13"/>
        <v>3.5366696910016884E-2</v>
      </c>
      <c r="J277" s="158">
        <f>'3month_treasury (2)'!D271</f>
        <v>1.5013516221901838E-4</v>
      </c>
      <c r="K277" s="157">
        <f t="shared" si="14"/>
        <v>3.5216561747797866E-2</v>
      </c>
      <c r="L277" s="151"/>
    </row>
    <row r="278" spans="1:12" ht="14.25" hidden="1" x14ac:dyDescent="0.2">
      <c r="A278" s="38">
        <v>40057</v>
      </c>
      <c r="B278">
        <v>92.84</v>
      </c>
      <c r="C278" s="28">
        <f t="shared" si="12"/>
        <v>3.6638956125426683E-2</v>
      </c>
      <c r="G278" s="39">
        <v>40057</v>
      </c>
      <c r="H278" s="155">
        <v>92.84</v>
      </c>
      <c r="I278" s="147">
        <f t="shared" si="13"/>
        <v>3.6638956125426683E-2</v>
      </c>
      <c r="J278" s="158">
        <f>'3month_treasury (2)'!D272</f>
        <v>1.4178721997980419E-4</v>
      </c>
      <c r="K278" s="157">
        <f t="shared" si="14"/>
        <v>3.6497168905446881E-2</v>
      </c>
      <c r="L278" s="151"/>
    </row>
    <row r="279" spans="1:12" ht="14.25" hidden="1" x14ac:dyDescent="0.2">
      <c r="A279" s="38">
        <v>40087</v>
      </c>
      <c r="B279">
        <v>91.1</v>
      </c>
      <c r="C279" s="28">
        <f t="shared" si="12"/>
        <v>-1.8919777140323744E-2</v>
      </c>
      <c r="G279" s="39">
        <v>40087</v>
      </c>
      <c r="H279" s="155">
        <v>91.1</v>
      </c>
      <c r="I279" s="147">
        <f t="shared" si="13"/>
        <v>-1.8919777140323744E-2</v>
      </c>
      <c r="J279" s="158">
        <f>'3month_treasury (2)'!D273</f>
        <v>1.0006004804324061E-4</v>
      </c>
      <c r="K279" s="157">
        <f t="shared" si="14"/>
        <v>-1.9019837188366986E-2</v>
      </c>
      <c r="L279" s="151"/>
    </row>
    <row r="280" spans="1:12" ht="14.25" hidden="1" x14ac:dyDescent="0.2">
      <c r="A280" s="38">
        <v>40119</v>
      </c>
      <c r="B280">
        <v>96.55</v>
      </c>
      <c r="C280" s="28">
        <f t="shared" si="12"/>
        <v>5.8103204608610785E-2</v>
      </c>
      <c r="G280" s="39">
        <v>40119</v>
      </c>
      <c r="H280" s="155">
        <v>96.55</v>
      </c>
      <c r="I280" s="147">
        <f t="shared" si="13"/>
        <v>5.8103204608610785E-2</v>
      </c>
      <c r="J280" s="158">
        <f>'3month_treasury (2)'!D274</f>
        <v>5.8353759532773368E-5</v>
      </c>
      <c r="K280" s="157">
        <f t="shared" si="14"/>
        <v>5.8044850849078011E-2</v>
      </c>
      <c r="L280" s="151"/>
    </row>
    <row r="281" spans="1:12" ht="14.25" hidden="1" x14ac:dyDescent="0.2">
      <c r="A281" s="38">
        <v>40148</v>
      </c>
      <c r="B281">
        <v>98.43</v>
      </c>
      <c r="C281" s="28">
        <f t="shared" si="12"/>
        <v>1.9284626766596556E-2</v>
      </c>
      <c r="G281" s="39">
        <v>40148</v>
      </c>
      <c r="H281" s="155">
        <v>98.43</v>
      </c>
      <c r="I281" s="147">
        <f t="shared" si="13"/>
        <v>1.9284626766596556E-2</v>
      </c>
      <c r="J281" s="158">
        <f>'3month_treasury (2)'!D275</f>
        <v>4.1677086806864452E-5</v>
      </c>
      <c r="K281" s="157">
        <f t="shared" si="14"/>
        <v>1.9242949679789692E-2</v>
      </c>
      <c r="L281" s="151"/>
    </row>
    <row r="282" spans="1:12" ht="14.25" hidden="1" x14ac:dyDescent="0.2">
      <c r="A282" s="38">
        <v>40182</v>
      </c>
      <c r="B282">
        <v>94.88</v>
      </c>
      <c r="C282" s="28">
        <f t="shared" si="12"/>
        <v>-3.6732700391704752E-2</v>
      </c>
      <c r="G282" s="39">
        <v>40182</v>
      </c>
      <c r="H282" s="155">
        <v>94.88</v>
      </c>
      <c r="I282" s="147">
        <f t="shared" si="13"/>
        <v>-3.6732700391704752E-2</v>
      </c>
      <c r="J282" s="158">
        <f>'3month_treasury (2)'!D276</f>
        <v>4.1677086806864452E-5</v>
      </c>
      <c r="K282" s="157">
        <f t="shared" si="14"/>
        <v>-3.6774377478511616E-2</v>
      </c>
      <c r="L282" s="151"/>
    </row>
    <row r="283" spans="1:12" ht="14.25" hidden="1" x14ac:dyDescent="0.2">
      <c r="A283" s="38">
        <v>40210</v>
      </c>
      <c r="B283">
        <v>97.82</v>
      </c>
      <c r="C283" s="28">
        <f t="shared" si="12"/>
        <v>3.0516119861795848E-2</v>
      </c>
      <c r="G283" s="39">
        <v>40210</v>
      </c>
      <c r="H283" s="155">
        <v>97.82</v>
      </c>
      <c r="I283" s="147">
        <f t="shared" si="13"/>
        <v>3.0516119861795848E-2</v>
      </c>
      <c r="J283" s="158">
        <f>'3month_treasury (2)'!D277</f>
        <v>5.0015006002707081E-5</v>
      </c>
      <c r="K283" s="157">
        <f t="shared" si="14"/>
        <v>3.0466104855793142E-2</v>
      </c>
      <c r="L283" s="151"/>
    </row>
    <row r="284" spans="1:12" ht="14.25" hidden="1" x14ac:dyDescent="0.2">
      <c r="A284" s="38">
        <v>40238</v>
      </c>
      <c r="B284">
        <v>103.7</v>
      </c>
      <c r="C284" s="28">
        <f t="shared" si="12"/>
        <v>5.8373060124270605E-2</v>
      </c>
      <c r="G284" s="39">
        <v>40238</v>
      </c>
      <c r="H284" s="155">
        <v>103.7</v>
      </c>
      <c r="I284" s="147">
        <f t="shared" si="13"/>
        <v>5.8373060124270605E-2</v>
      </c>
      <c r="J284" s="158">
        <f>'3month_treasury (2)'!D278</f>
        <v>9.1717120336089132E-5</v>
      </c>
      <c r="K284" s="157">
        <f t="shared" si="14"/>
        <v>5.8281343003934519E-2</v>
      </c>
      <c r="L284" s="151"/>
    </row>
    <row r="285" spans="1:12" ht="14.25" hidden="1" x14ac:dyDescent="0.2">
      <c r="A285" s="38">
        <v>40269</v>
      </c>
      <c r="B285">
        <v>105.34</v>
      </c>
      <c r="C285" s="28">
        <f t="shared" si="12"/>
        <v>1.5691098819761672E-2</v>
      </c>
      <c r="G285" s="39">
        <v>40269</v>
      </c>
      <c r="H285" s="155">
        <v>105.34</v>
      </c>
      <c r="I285" s="147">
        <f t="shared" si="13"/>
        <v>1.5691098819761672E-2</v>
      </c>
      <c r="J285" s="158">
        <f>'3month_treasury (2)'!D279</f>
        <v>1.2509384385559928E-4</v>
      </c>
      <c r="K285" s="157">
        <f t="shared" si="14"/>
        <v>1.5566004975906073E-2</v>
      </c>
      <c r="L285" s="151"/>
    </row>
    <row r="286" spans="1:12" ht="14.25" hidden="1" x14ac:dyDescent="0.2">
      <c r="A286" s="38">
        <v>40301</v>
      </c>
      <c r="B286">
        <v>96.91</v>
      </c>
      <c r="C286" s="28">
        <f t="shared" si="12"/>
        <v>-8.3410501308784649E-2</v>
      </c>
      <c r="G286" s="39">
        <v>40301</v>
      </c>
      <c r="H286" s="155">
        <v>96.91</v>
      </c>
      <c r="I286" s="147">
        <f t="shared" si="13"/>
        <v>-8.3410501308784649E-2</v>
      </c>
      <c r="J286" s="158">
        <f>'3month_treasury (2)'!D280</f>
        <v>1.3344011391448564E-4</v>
      </c>
      <c r="K286" s="157">
        <f t="shared" si="14"/>
        <v>-8.3543941422699136E-2</v>
      </c>
      <c r="L286" s="151"/>
    </row>
    <row r="287" spans="1:12" ht="14.25" hidden="1" x14ac:dyDescent="0.2">
      <c r="A287" s="38">
        <v>40330</v>
      </c>
      <c r="B287">
        <v>91.83</v>
      </c>
      <c r="C287" s="28">
        <f t="shared" si="12"/>
        <v>-5.3843671121027864E-2</v>
      </c>
      <c r="G287" s="39">
        <v>40330</v>
      </c>
      <c r="H287" s="155">
        <v>91.83</v>
      </c>
      <c r="I287" s="147">
        <f t="shared" si="13"/>
        <v>-5.3843671121027864E-2</v>
      </c>
      <c r="J287" s="158">
        <f>'3month_treasury (2)'!D281</f>
        <v>1.3344011391448564E-4</v>
      </c>
      <c r="K287" s="157">
        <f t="shared" si="14"/>
        <v>-5.3977111234942352E-2</v>
      </c>
      <c r="L287" s="151"/>
    </row>
    <row r="288" spans="1:12" ht="14.25" hidden="1" x14ac:dyDescent="0.2">
      <c r="A288" s="38">
        <v>40360</v>
      </c>
      <c r="B288">
        <v>98.25</v>
      </c>
      <c r="C288" s="28">
        <f t="shared" si="12"/>
        <v>6.7576209123939801E-2</v>
      </c>
      <c r="G288" s="39">
        <v>40360</v>
      </c>
      <c r="H288" s="155">
        <v>98.25</v>
      </c>
      <c r="I288" s="147">
        <f t="shared" si="13"/>
        <v>6.7576209123939801E-2</v>
      </c>
      <c r="J288" s="158">
        <f>'3month_treasury (2)'!D282</f>
        <v>1.0006004804324061E-4</v>
      </c>
      <c r="K288" s="157">
        <f t="shared" si="14"/>
        <v>6.7476149075896566E-2</v>
      </c>
      <c r="L288" s="151"/>
    </row>
    <row r="289" spans="1:12" ht="14.25" hidden="1" x14ac:dyDescent="0.2">
      <c r="A289" s="38">
        <v>40392</v>
      </c>
      <c r="B289">
        <v>93.8</v>
      </c>
      <c r="C289" s="28">
        <f t="shared" si="12"/>
        <v>-4.6350394737191644E-2</v>
      </c>
      <c r="G289" s="39">
        <v>40392</v>
      </c>
      <c r="H289" s="155">
        <v>93.8</v>
      </c>
      <c r="I289" s="147">
        <f t="shared" si="13"/>
        <v>-4.6350394737191644E-2</v>
      </c>
      <c r="J289" s="158">
        <f>'3month_treasury (2)'!D283</f>
        <v>1.3344011391448564E-4</v>
      </c>
      <c r="K289" s="157">
        <f t="shared" si="14"/>
        <v>-4.6483834851106132E-2</v>
      </c>
      <c r="L289" s="151"/>
    </row>
    <row r="290" spans="1:12" ht="14.25" hidden="1" x14ac:dyDescent="0.2">
      <c r="A290" s="38">
        <v>40422</v>
      </c>
      <c r="B290">
        <v>102.16</v>
      </c>
      <c r="C290" s="28">
        <f t="shared" si="12"/>
        <v>8.5375355712104903E-2</v>
      </c>
      <c r="G290" s="39">
        <v>40422</v>
      </c>
      <c r="H290" s="155">
        <v>102.16</v>
      </c>
      <c r="I290" s="147">
        <f t="shared" si="13"/>
        <v>8.5375355712104903E-2</v>
      </c>
      <c r="J290" s="158">
        <f>'3month_treasury (2)'!D284</f>
        <v>1.3344011391448564E-4</v>
      </c>
      <c r="K290" s="157">
        <f t="shared" si="14"/>
        <v>8.5241915598190415E-2</v>
      </c>
      <c r="L290" s="151"/>
    </row>
    <row r="291" spans="1:12" ht="14.25" hidden="1" x14ac:dyDescent="0.2">
      <c r="A291" s="38">
        <v>40452</v>
      </c>
      <c r="B291">
        <v>106.03</v>
      </c>
      <c r="C291" s="28">
        <f t="shared" si="12"/>
        <v>3.7181861213423074E-2</v>
      </c>
      <c r="G291" s="39">
        <v>40452</v>
      </c>
      <c r="H291" s="155">
        <v>106.03</v>
      </c>
      <c r="I291" s="147">
        <f t="shared" si="13"/>
        <v>3.7181861213423074E-2</v>
      </c>
      <c r="J291" s="158">
        <f>'3month_treasury (2)'!D285</f>
        <v>1.2509384385559928E-4</v>
      </c>
      <c r="K291" s="157">
        <f t="shared" si="14"/>
        <v>3.7056767369567478E-2</v>
      </c>
      <c r="L291" s="151"/>
    </row>
    <row r="292" spans="1:12" ht="14.25" hidden="1" x14ac:dyDescent="0.2">
      <c r="A292" s="38">
        <v>40483</v>
      </c>
      <c r="B292">
        <v>106.03</v>
      </c>
      <c r="C292" s="28">
        <f t="shared" si="12"/>
        <v>0</v>
      </c>
      <c r="G292" s="39">
        <v>40483</v>
      </c>
      <c r="H292" s="155">
        <v>106.03</v>
      </c>
      <c r="I292" s="147">
        <f t="shared" si="13"/>
        <v>0</v>
      </c>
      <c r="J292" s="158">
        <f>'3month_treasury (2)'!D286</f>
        <v>1.0840381108734631E-4</v>
      </c>
      <c r="K292" s="157">
        <f t="shared" si="14"/>
        <v>-1.0840381108734631E-4</v>
      </c>
      <c r="L292" s="151"/>
    </row>
    <row r="293" spans="1:12" ht="14.25" x14ac:dyDescent="0.2">
      <c r="A293" s="38">
        <v>40513</v>
      </c>
      <c r="B293">
        <v>113.11</v>
      </c>
      <c r="C293" s="28">
        <f t="shared" si="12"/>
        <v>6.4638723605582843E-2</v>
      </c>
      <c r="G293" s="39">
        <v>40513</v>
      </c>
      <c r="H293" s="155">
        <v>113.11</v>
      </c>
      <c r="I293" s="147">
        <f t="shared" si="13"/>
        <v>6.4638723605582843E-2</v>
      </c>
      <c r="J293" s="158">
        <f>'3month_treasury (2)'!D8</f>
        <v>5.1917521831149555E-3</v>
      </c>
      <c r="K293" s="157">
        <f t="shared" si="14"/>
        <v>5.9446971422467888E-2</v>
      </c>
      <c r="L293" s="151"/>
    </row>
    <row r="294" spans="1:12" ht="14.25" x14ac:dyDescent="0.2">
      <c r="A294" s="38">
        <v>40546</v>
      </c>
      <c r="B294">
        <v>115.77</v>
      </c>
      <c r="C294" s="28">
        <f t="shared" si="12"/>
        <v>2.3244667674347332E-2</v>
      </c>
      <c r="G294" s="39">
        <v>40546</v>
      </c>
      <c r="H294" s="155">
        <v>115.77</v>
      </c>
      <c r="I294" s="147">
        <f t="shared" si="13"/>
        <v>2.3244667674347332E-2</v>
      </c>
      <c r="J294" s="158">
        <f>'3month_treasury (2)'!D9</f>
        <v>5.5116502087120822E-3</v>
      </c>
      <c r="K294" s="157">
        <f t="shared" si="14"/>
        <v>1.7733017465635249E-2</v>
      </c>
      <c r="L294" s="151"/>
    </row>
    <row r="295" spans="1:12" ht="14.25" x14ac:dyDescent="0.2">
      <c r="A295" s="38">
        <v>40575</v>
      </c>
      <c r="B295">
        <v>119.73</v>
      </c>
      <c r="C295" s="28">
        <f t="shared" si="12"/>
        <v>3.3633743511115179E-2</v>
      </c>
      <c r="G295" s="39">
        <v>40575</v>
      </c>
      <c r="H295" s="155">
        <v>119.73</v>
      </c>
      <c r="I295" s="147">
        <f t="shared" si="13"/>
        <v>3.3633743511115179E-2</v>
      </c>
      <c r="J295" s="158">
        <f>'3month_treasury (2)'!D10</f>
        <v>5.2716116365992384E-3</v>
      </c>
      <c r="K295" s="157">
        <f t="shared" si="14"/>
        <v>2.8362131874515941E-2</v>
      </c>
      <c r="L295" s="151"/>
    </row>
    <row r="296" spans="1:12" ht="14.25" x14ac:dyDescent="0.2">
      <c r="A296" s="38">
        <v>40603</v>
      </c>
      <c r="B296">
        <v>119.76</v>
      </c>
      <c r="C296" s="28">
        <f t="shared" si="12"/>
        <v>2.5053238262072106E-4</v>
      </c>
      <c r="G296" s="39">
        <v>40603</v>
      </c>
      <c r="H296" s="155">
        <v>119.76</v>
      </c>
      <c r="I296" s="147">
        <f t="shared" si="13"/>
        <v>2.5053238262072106E-4</v>
      </c>
      <c r="J296" s="158">
        <f>'3month_treasury (2)'!D11</f>
        <v>4.881913119358163E-3</v>
      </c>
      <c r="K296" s="157">
        <f t="shared" si="14"/>
        <v>-4.6313807367374419E-3</v>
      </c>
      <c r="L296" s="151"/>
    </row>
    <row r="297" spans="1:12" ht="14.25" x14ac:dyDescent="0.2">
      <c r="A297" s="38">
        <v>40634</v>
      </c>
      <c r="B297">
        <v>123.29</v>
      </c>
      <c r="C297" s="28">
        <f t="shared" si="12"/>
        <v>2.9049563769088405E-2</v>
      </c>
      <c r="G297" s="39">
        <v>40634</v>
      </c>
      <c r="H297" s="155">
        <v>123.29</v>
      </c>
      <c r="I297" s="147">
        <f t="shared" si="13"/>
        <v>2.9049563769088405E-2</v>
      </c>
      <c r="J297" s="158">
        <f>'3month_treasury (2)'!D12</f>
        <v>4.9526319807855429E-3</v>
      </c>
      <c r="K297" s="157">
        <f t="shared" si="14"/>
        <v>2.4096931788302862E-2</v>
      </c>
      <c r="L297" s="151"/>
    </row>
    <row r="298" spans="1:12" ht="14.25" x14ac:dyDescent="0.2">
      <c r="A298" s="38">
        <v>40665</v>
      </c>
      <c r="B298">
        <v>121.88</v>
      </c>
      <c r="C298" s="28">
        <f t="shared" si="12"/>
        <v>-1.1502349762953171E-2</v>
      </c>
      <c r="G298" s="39">
        <v>40665</v>
      </c>
      <c r="H298" s="155">
        <v>121.88</v>
      </c>
      <c r="I298" s="147">
        <f t="shared" si="13"/>
        <v>-1.1502349762953171E-2</v>
      </c>
      <c r="J298" s="158">
        <f>'3month_treasury (2)'!D13</f>
        <v>4.9880139294471403E-3</v>
      </c>
      <c r="K298" s="157">
        <f t="shared" si="14"/>
        <v>-1.6490363692400312E-2</v>
      </c>
      <c r="L298" s="151"/>
    </row>
    <row r="299" spans="1:12" ht="14.25" x14ac:dyDescent="0.2">
      <c r="A299" s="38">
        <v>40695</v>
      </c>
      <c r="B299">
        <v>119.84</v>
      </c>
      <c r="C299" s="28">
        <f t="shared" si="12"/>
        <v>-1.6879434348598933E-2</v>
      </c>
      <c r="G299" s="39">
        <v>40695</v>
      </c>
      <c r="H299" s="155">
        <v>119.84</v>
      </c>
      <c r="I299" s="147">
        <f t="shared" si="13"/>
        <v>-1.6879434348598933E-2</v>
      </c>
      <c r="J299" s="158">
        <f>'3month_treasury (2)'!D14</f>
        <v>4.8554090109979714E-3</v>
      </c>
      <c r="K299" s="157">
        <f t="shared" si="14"/>
        <v>-2.1734843359596905E-2</v>
      </c>
      <c r="L299" s="151"/>
    </row>
    <row r="300" spans="1:12" ht="14.25" x14ac:dyDescent="0.2">
      <c r="A300" s="38">
        <v>40725</v>
      </c>
      <c r="B300">
        <v>117.39</v>
      </c>
      <c r="C300" s="28">
        <f t="shared" si="12"/>
        <v>-2.0655794878478611E-2</v>
      </c>
      <c r="G300" s="39">
        <v>40725</v>
      </c>
      <c r="H300" s="155">
        <v>117.39</v>
      </c>
      <c r="I300" s="147">
        <f t="shared" si="13"/>
        <v>-2.0655794878478611E-2</v>
      </c>
      <c r="J300" s="158">
        <f>'3month_treasury (2)'!D15</f>
        <v>4.8907496957232982E-3</v>
      </c>
      <c r="K300" s="157">
        <f t="shared" si="14"/>
        <v>-2.5546544574201909E-2</v>
      </c>
      <c r="L300" s="151"/>
    </row>
    <row r="301" spans="1:12" ht="14.25" x14ac:dyDescent="0.2">
      <c r="A301" s="38">
        <v>40756</v>
      </c>
      <c r="B301">
        <v>110.99</v>
      </c>
      <c r="C301" s="28">
        <f t="shared" si="12"/>
        <v>-5.6061617726542758E-2</v>
      </c>
      <c r="G301" s="39">
        <v>40756</v>
      </c>
      <c r="H301" s="155">
        <v>110.99</v>
      </c>
      <c r="I301" s="147">
        <f t="shared" si="13"/>
        <v>-5.6061617726542758E-2</v>
      </c>
      <c r="J301" s="158">
        <f>'3month_treasury (2)'!D16</f>
        <v>5.0765345807847516E-3</v>
      </c>
      <c r="K301" s="157">
        <f t="shared" si="14"/>
        <v>-6.1138152307327512E-2</v>
      </c>
      <c r="L301" s="151"/>
    </row>
    <row r="302" spans="1:12" ht="14.25" x14ac:dyDescent="0.2">
      <c r="A302" s="38">
        <v>40787</v>
      </c>
      <c r="B302">
        <v>103.16</v>
      </c>
      <c r="C302" s="28">
        <f t="shared" si="12"/>
        <v>-7.3158926150744055E-2</v>
      </c>
      <c r="G302" s="39">
        <v>40787</v>
      </c>
      <c r="H302" s="155">
        <v>103.16</v>
      </c>
      <c r="I302" s="147">
        <f t="shared" si="13"/>
        <v>-7.3158926150744055E-2</v>
      </c>
      <c r="J302" s="158">
        <f>'3month_treasury (2)'!D17</f>
        <v>5.3870994577942879E-3</v>
      </c>
      <c r="K302" s="157">
        <f t="shared" si="14"/>
        <v>-7.854602560853835E-2</v>
      </c>
      <c r="L302" s="151"/>
    </row>
    <row r="303" spans="1:12" ht="14.25" x14ac:dyDescent="0.2">
      <c r="A303" s="38">
        <v>40819</v>
      </c>
      <c r="B303">
        <v>114.42</v>
      </c>
      <c r="C303" s="28">
        <f t="shared" si="12"/>
        <v>0.10359470782723863</v>
      </c>
      <c r="G303" s="39">
        <v>40819</v>
      </c>
      <c r="H303" s="155">
        <v>114.42</v>
      </c>
      <c r="I303" s="147">
        <f t="shared" si="13"/>
        <v>0.10359470782723863</v>
      </c>
      <c r="J303" s="158">
        <f>'3month_treasury (2)'!D18</f>
        <v>5.5650861408625971E-3</v>
      </c>
      <c r="K303" s="157">
        <f t="shared" si="14"/>
        <v>9.8029621686376037E-2</v>
      </c>
      <c r="L303" s="151"/>
    </row>
    <row r="304" spans="1:12" ht="14.25" x14ac:dyDescent="0.2">
      <c r="A304" s="38">
        <v>40848</v>
      </c>
      <c r="B304">
        <v>114.15</v>
      </c>
      <c r="C304" s="28">
        <f t="shared" si="12"/>
        <v>-2.3625158645780965E-3</v>
      </c>
      <c r="G304" s="39">
        <v>40848</v>
      </c>
      <c r="H304" s="155">
        <v>114.15</v>
      </c>
      <c r="I304" s="147">
        <f t="shared" si="13"/>
        <v>-2.3625158645780965E-3</v>
      </c>
      <c r="J304" s="158">
        <f>'3month_treasury (2)'!D19</f>
        <v>5.8059727707765992E-3</v>
      </c>
      <c r="K304" s="157">
        <f t="shared" si="14"/>
        <v>-8.1684886353546957E-3</v>
      </c>
      <c r="L304" s="151"/>
    </row>
    <row r="305" spans="1:12" ht="14.25" x14ac:dyDescent="0.2">
      <c r="A305" s="38">
        <v>40878</v>
      </c>
      <c r="B305">
        <v>115.32</v>
      </c>
      <c r="C305" s="28">
        <f t="shared" si="12"/>
        <v>1.0197499794396686E-2</v>
      </c>
      <c r="G305" s="39">
        <v>40878</v>
      </c>
      <c r="H305" s="155">
        <v>115.32</v>
      </c>
      <c r="I305" s="147">
        <f t="shared" si="13"/>
        <v>1.0197499794396686E-2</v>
      </c>
      <c r="J305" s="158">
        <f>'3month_treasury (2)'!D20</f>
        <v>6.1013385276049324E-3</v>
      </c>
      <c r="K305" s="157">
        <f t="shared" si="14"/>
        <v>4.0961612667917537E-3</v>
      </c>
      <c r="L305" s="151"/>
    </row>
    <row r="306" spans="1:12" ht="14.25" x14ac:dyDescent="0.2">
      <c r="A306" s="38">
        <v>40911</v>
      </c>
      <c r="B306">
        <v>120.47</v>
      </c>
      <c r="C306" s="28">
        <f t="shared" ref="C306:C311" si="15">LN(B306/B305)</f>
        <v>4.3689886508559948E-2</v>
      </c>
      <c r="G306" s="39">
        <v>40911</v>
      </c>
      <c r="H306" s="155">
        <v>120.47</v>
      </c>
      <c r="I306" s="147">
        <f t="shared" si="13"/>
        <v>4.3689886508559948E-2</v>
      </c>
      <c r="J306" s="158">
        <f>'3month_treasury (2)'!D21</f>
        <v>6.2628894667300398E-3</v>
      </c>
      <c r="K306" s="157">
        <f t="shared" si="14"/>
        <v>3.7426997041829911E-2</v>
      </c>
      <c r="L306" s="151"/>
    </row>
    <row r="307" spans="1:12" ht="14.25" x14ac:dyDescent="0.2">
      <c r="A307" s="38">
        <v>40940</v>
      </c>
      <c r="B307">
        <v>125.66</v>
      </c>
      <c r="C307" s="28">
        <f t="shared" si="15"/>
        <v>4.2179087696039584E-2</v>
      </c>
      <c r="G307" s="39">
        <v>40940</v>
      </c>
      <c r="H307" s="155">
        <v>125.66</v>
      </c>
      <c r="I307" s="147">
        <f t="shared" si="13"/>
        <v>4.2179087696039584E-2</v>
      </c>
      <c r="J307" s="158">
        <f>'3month_treasury (2)'!D22</f>
        <v>6.3617694380602059E-3</v>
      </c>
      <c r="K307" s="157">
        <f t="shared" si="14"/>
        <v>3.5817318257979375E-2</v>
      </c>
      <c r="L307" s="151"/>
    </row>
    <row r="308" spans="1:12" ht="14.25" x14ac:dyDescent="0.2">
      <c r="A308" s="38">
        <v>40969</v>
      </c>
      <c r="B308">
        <v>129.78</v>
      </c>
      <c r="C308" s="28">
        <f t="shared" si="15"/>
        <v>3.2260862218221477E-2</v>
      </c>
      <c r="G308" s="39">
        <v>40969</v>
      </c>
      <c r="H308" s="155">
        <v>129.78</v>
      </c>
      <c r="I308" s="147">
        <f t="shared" si="13"/>
        <v>3.2260862218221477E-2</v>
      </c>
      <c r="J308" s="158">
        <f>'3month_treasury (2)'!D23</f>
        <v>6.7313591689406602E-3</v>
      </c>
      <c r="K308" s="157">
        <f t="shared" si="14"/>
        <v>2.5529503049280818E-2</v>
      </c>
      <c r="L308" s="151"/>
    </row>
    <row r="309" spans="1:12" ht="14.25" x14ac:dyDescent="0.2">
      <c r="A309" s="38">
        <v>41001</v>
      </c>
      <c r="B309">
        <v>128.94999999999999</v>
      </c>
      <c r="C309" s="28">
        <f t="shared" si="15"/>
        <v>-6.4159768656687124E-3</v>
      </c>
      <c r="G309" s="39">
        <v>41001</v>
      </c>
      <c r="H309" s="155">
        <v>128.94999999999999</v>
      </c>
      <c r="I309" s="147">
        <f t="shared" si="13"/>
        <v>-6.4159768656687124E-3</v>
      </c>
      <c r="J309" s="158">
        <f>'3month_treasury (2)'!D24</f>
        <v>7.0118973427023279E-3</v>
      </c>
      <c r="K309" s="157">
        <f t="shared" si="14"/>
        <v>-1.342787420837104E-2</v>
      </c>
      <c r="L309" s="151"/>
    </row>
    <row r="310" spans="1:12" ht="14.25" x14ac:dyDescent="0.2">
      <c r="A310" s="38">
        <v>41030</v>
      </c>
      <c r="B310">
        <v>121.19</v>
      </c>
      <c r="C310" s="28">
        <f t="shared" si="15"/>
        <v>-6.2065170346957653E-2</v>
      </c>
      <c r="G310" s="39">
        <v>41030</v>
      </c>
      <c r="H310" s="155">
        <v>121.19</v>
      </c>
      <c r="I310" s="147">
        <f t="shared" si="13"/>
        <v>-6.2065170346957653E-2</v>
      </c>
      <c r="J310" s="158">
        <f>'3month_treasury (2)'!D25</f>
        <v>7.1933922055439281E-3</v>
      </c>
      <c r="K310" s="157">
        <f t="shared" si="14"/>
        <v>-6.9258562552501582E-2</v>
      </c>
      <c r="L310" s="151"/>
    </row>
    <row r="311" spans="1:12" ht="14.25" x14ac:dyDescent="0.2">
      <c r="A311" s="38">
        <v>41061</v>
      </c>
      <c r="B311">
        <v>125.55</v>
      </c>
      <c r="C311" s="28">
        <f t="shared" si="15"/>
        <v>3.5344523623197982E-2</v>
      </c>
      <c r="G311" s="39">
        <v>41061</v>
      </c>
      <c r="H311" s="155">
        <v>125.55</v>
      </c>
      <c r="I311" s="147">
        <f t="shared" si="13"/>
        <v>3.5344523623197982E-2</v>
      </c>
      <c r="J311" s="158">
        <f>'3month_treasury (2)'!D26</f>
        <v>7.4299280266515201E-3</v>
      </c>
      <c r="K311" s="157">
        <f t="shared" si="14"/>
        <v>2.7914595596546462E-2</v>
      </c>
      <c r="L311" s="151"/>
    </row>
    <row r="312" spans="1:12" x14ac:dyDescent="0.2">
      <c r="C312" s="26"/>
    </row>
    <row r="313" spans="1:12" x14ac:dyDescent="0.2">
      <c r="C313" s="26"/>
    </row>
    <row r="314" spans="1:12" x14ac:dyDescent="0.2">
      <c r="C314" s="26"/>
    </row>
    <row r="315" spans="1:12" x14ac:dyDescent="0.2">
      <c r="C315" s="26"/>
    </row>
    <row r="316" spans="1:12" x14ac:dyDescent="0.2">
      <c r="C316" s="26"/>
    </row>
    <row r="317" spans="1:12" x14ac:dyDescent="0.2">
      <c r="C317" s="26"/>
    </row>
    <row r="318" spans="1:12" x14ac:dyDescent="0.2">
      <c r="C318" s="26"/>
    </row>
    <row r="319" spans="1:12" x14ac:dyDescent="0.2">
      <c r="C319" s="26"/>
    </row>
    <row r="320" spans="1:12" x14ac:dyDescent="0.2">
      <c r="C320" s="26"/>
    </row>
    <row r="321" spans="3:3" x14ac:dyDescent="0.2">
      <c r="C321" s="26"/>
    </row>
    <row r="322" spans="3:3" x14ac:dyDescent="0.2">
      <c r="C322" s="26"/>
    </row>
    <row r="323" spans="3:3" x14ac:dyDescent="0.2">
      <c r="C323" s="26"/>
    </row>
    <row r="324" spans="3:3" x14ac:dyDescent="0.2">
      <c r="C324" s="26"/>
    </row>
    <row r="325" spans="3:3" x14ac:dyDescent="0.2">
      <c r="C325" s="26"/>
    </row>
    <row r="326" spans="3:3" x14ac:dyDescent="0.2">
      <c r="C326" s="26"/>
    </row>
    <row r="327" spans="3:3" x14ac:dyDescent="0.2">
      <c r="C327" s="26"/>
    </row>
    <row r="328" spans="3:3" x14ac:dyDescent="0.2">
      <c r="C328" s="26"/>
    </row>
    <row r="329" spans="3:3" x14ac:dyDescent="0.2">
      <c r="C329" s="26"/>
    </row>
    <row r="330" spans="3:3" x14ac:dyDescent="0.2">
      <c r="C330" s="26"/>
    </row>
    <row r="331" spans="3:3" x14ac:dyDescent="0.2">
      <c r="C331" s="26"/>
    </row>
    <row r="332" spans="3:3" x14ac:dyDescent="0.2">
      <c r="C332" s="26"/>
    </row>
    <row r="333" spans="3:3" x14ac:dyDescent="0.2">
      <c r="C333" s="26"/>
    </row>
    <row r="334" spans="3:3" x14ac:dyDescent="0.2">
      <c r="C334" s="26"/>
    </row>
    <row r="335" spans="3:3" x14ac:dyDescent="0.2">
      <c r="C335" s="26"/>
    </row>
    <row r="336" spans="3:3" x14ac:dyDescent="0.2">
      <c r="C336" s="26"/>
    </row>
    <row r="337" spans="3:3" x14ac:dyDescent="0.2">
      <c r="C337" s="26"/>
    </row>
    <row r="338" spans="3:3" x14ac:dyDescent="0.2">
      <c r="C338" s="26"/>
    </row>
    <row r="339" spans="3:3" x14ac:dyDescent="0.2">
      <c r="C339" s="26"/>
    </row>
    <row r="340" spans="3:3" x14ac:dyDescent="0.2">
      <c r="C340" s="26"/>
    </row>
    <row r="341" spans="3:3" x14ac:dyDescent="0.2">
      <c r="C341" s="26"/>
    </row>
    <row r="342" spans="3:3" x14ac:dyDescent="0.2">
      <c r="C342" s="26"/>
    </row>
    <row r="343" spans="3:3" x14ac:dyDescent="0.2">
      <c r="C343" s="26"/>
    </row>
    <row r="344" spans="3:3" x14ac:dyDescent="0.2">
      <c r="C344" s="26"/>
    </row>
    <row r="345" spans="3:3" x14ac:dyDescent="0.2">
      <c r="C345" s="26"/>
    </row>
    <row r="346" spans="3:3" x14ac:dyDescent="0.2">
      <c r="C346" s="26"/>
    </row>
    <row r="347" spans="3:3" x14ac:dyDescent="0.2">
      <c r="C347" s="26"/>
    </row>
    <row r="348" spans="3:3" x14ac:dyDescent="0.2">
      <c r="C348" s="26"/>
    </row>
    <row r="349" spans="3:3" x14ac:dyDescent="0.2">
      <c r="C349" s="26"/>
    </row>
    <row r="350" spans="3:3" x14ac:dyDescent="0.2">
      <c r="C350" s="26"/>
    </row>
    <row r="351" spans="3:3" x14ac:dyDescent="0.2">
      <c r="C351" s="26"/>
    </row>
    <row r="352" spans="3:3" x14ac:dyDescent="0.2">
      <c r="C352" s="26"/>
    </row>
    <row r="353" spans="3:3" x14ac:dyDescent="0.2">
      <c r="C353" s="26"/>
    </row>
    <row r="354" spans="3:3" x14ac:dyDescent="0.2">
      <c r="C354" s="26"/>
    </row>
    <row r="355" spans="3:3" x14ac:dyDescent="0.2">
      <c r="C355" s="26"/>
    </row>
    <row r="356" spans="3:3" x14ac:dyDescent="0.2">
      <c r="C356" s="26"/>
    </row>
    <row r="357" spans="3:3" x14ac:dyDescent="0.2">
      <c r="C357" s="26"/>
    </row>
    <row r="358" spans="3:3" x14ac:dyDescent="0.2">
      <c r="C358" s="26"/>
    </row>
    <row r="359" spans="3:3" x14ac:dyDescent="0.2">
      <c r="C359" s="26"/>
    </row>
    <row r="360" spans="3:3" x14ac:dyDescent="0.2">
      <c r="C360" s="26"/>
    </row>
    <row r="361" spans="3:3" x14ac:dyDescent="0.2">
      <c r="C361" s="26"/>
    </row>
    <row r="362" spans="3:3" x14ac:dyDescent="0.2">
      <c r="C362" s="26"/>
    </row>
    <row r="363" spans="3:3" x14ac:dyDescent="0.2">
      <c r="C363" s="26"/>
    </row>
    <row r="364" spans="3:3" x14ac:dyDescent="0.2">
      <c r="C364" s="26"/>
    </row>
    <row r="365" spans="3:3" x14ac:dyDescent="0.2">
      <c r="C365" s="26"/>
    </row>
    <row r="366" spans="3:3" x14ac:dyDescent="0.2">
      <c r="C366" s="26"/>
    </row>
    <row r="367" spans="3:3" x14ac:dyDescent="0.2">
      <c r="C367" s="26"/>
    </row>
    <row r="368" spans="3:3" x14ac:dyDescent="0.2">
      <c r="C368" s="26"/>
    </row>
    <row r="369" spans="3:3" x14ac:dyDescent="0.2">
      <c r="C369" s="26"/>
    </row>
    <row r="370" spans="3:3" x14ac:dyDescent="0.2">
      <c r="C370" s="26"/>
    </row>
    <row r="371" spans="3:3" x14ac:dyDescent="0.2">
      <c r="C371" s="26"/>
    </row>
    <row r="372" spans="3:3" x14ac:dyDescent="0.2">
      <c r="C372" s="26"/>
    </row>
    <row r="373" spans="3:3" x14ac:dyDescent="0.2">
      <c r="C373" s="26"/>
    </row>
    <row r="374" spans="3:3" x14ac:dyDescent="0.2">
      <c r="C374" s="26"/>
    </row>
    <row r="375" spans="3:3" x14ac:dyDescent="0.2">
      <c r="C375" s="26"/>
    </row>
    <row r="376" spans="3:3" x14ac:dyDescent="0.2">
      <c r="C376" s="26"/>
    </row>
    <row r="377" spans="3:3" x14ac:dyDescent="0.2">
      <c r="C377" s="26"/>
    </row>
    <row r="378" spans="3:3" x14ac:dyDescent="0.2">
      <c r="C378" s="26"/>
    </row>
    <row r="379" spans="3:3" x14ac:dyDescent="0.2">
      <c r="C379" s="26"/>
    </row>
    <row r="380" spans="3:3" x14ac:dyDescent="0.2">
      <c r="C380" s="26"/>
    </row>
    <row r="381" spans="3:3" x14ac:dyDescent="0.2">
      <c r="C381" s="26"/>
    </row>
    <row r="382" spans="3:3" x14ac:dyDescent="0.2">
      <c r="C382" s="26"/>
    </row>
    <row r="383" spans="3:3" x14ac:dyDescent="0.2">
      <c r="C383" s="26"/>
    </row>
    <row r="384" spans="3:3" x14ac:dyDescent="0.2">
      <c r="C384" s="26"/>
    </row>
    <row r="385" spans="3:3" x14ac:dyDescent="0.2">
      <c r="C385" s="26"/>
    </row>
    <row r="386" spans="3:3" x14ac:dyDescent="0.2">
      <c r="C386" s="26"/>
    </row>
    <row r="387" spans="3:3" x14ac:dyDescent="0.2">
      <c r="C387" s="26"/>
    </row>
    <row r="388" spans="3:3" x14ac:dyDescent="0.2">
      <c r="C388" s="26"/>
    </row>
    <row r="389" spans="3:3" x14ac:dyDescent="0.2">
      <c r="C389" s="26"/>
    </row>
    <row r="390" spans="3:3" x14ac:dyDescent="0.2">
      <c r="C390" s="26"/>
    </row>
    <row r="391" spans="3:3" x14ac:dyDescent="0.2">
      <c r="C391" s="26"/>
    </row>
    <row r="392" spans="3:3" x14ac:dyDescent="0.2">
      <c r="C392" s="26"/>
    </row>
    <row r="393" spans="3:3" x14ac:dyDescent="0.2">
      <c r="C393" s="26"/>
    </row>
    <row r="394" spans="3:3" x14ac:dyDescent="0.2">
      <c r="C394" s="26"/>
    </row>
    <row r="395" spans="3:3" x14ac:dyDescent="0.2">
      <c r="C395" s="26"/>
    </row>
    <row r="396" spans="3:3" x14ac:dyDescent="0.2">
      <c r="C396" s="26"/>
    </row>
    <row r="397" spans="3:3" x14ac:dyDescent="0.2">
      <c r="C397" s="26"/>
    </row>
    <row r="398" spans="3:3" x14ac:dyDescent="0.2">
      <c r="C398" s="26"/>
    </row>
    <row r="399" spans="3:3" x14ac:dyDescent="0.2">
      <c r="C399" s="26"/>
    </row>
    <row r="400" spans="3:3" x14ac:dyDescent="0.2">
      <c r="C400" s="26"/>
    </row>
    <row r="401" spans="3:3" x14ac:dyDescent="0.2">
      <c r="C401" s="26"/>
    </row>
    <row r="402" spans="3:3" x14ac:dyDescent="0.2">
      <c r="C402" s="26"/>
    </row>
    <row r="403" spans="3:3" x14ac:dyDescent="0.2">
      <c r="C403" s="26"/>
    </row>
    <row r="404" spans="3:3" x14ac:dyDescent="0.2">
      <c r="C404" s="26"/>
    </row>
    <row r="405" spans="3:3" x14ac:dyDescent="0.2">
      <c r="C405" s="26"/>
    </row>
    <row r="406" spans="3:3" x14ac:dyDescent="0.2">
      <c r="C406" s="26"/>
    </row>
    <row r="407" spans="3:3" x14ac:dyDescent="0.2">
      <c r="C407" s="26"/>
    </row>
    <row r="408" spans="3:3" x14ac:dyDescent="0.2">
      <c r="C408" s="26"/>
    </row>
    <row r="409" spans="3:3" x14ac:dyDescent="0.2">
      <c r="C409" s="26"/>
    </row>
    <row r="410" spans="3:3" x14ac:dyDescent="0.2">
      <c r="C410" s="26"/>
    </row>
    <row r="411" spans="3:3" x14ac:dyDescent="0.2">
      <c r="C411" s="26"/>
    </row>
    <row r="412" spans="3:3" x14ac:dyDescent="0.2">
      <c r="C412" s="26"/>
    </row>
    <row r="413" spans="3:3" x14ac:dyDescent="0.2">
      <c r="C413" s="26"/>
    </row>
    <row r="414" spans="3:3" x14ac:dyDescent="0.2">
      <c r="C414" s="26"/>
    </row>
    <row r="415" spans="3:3" x14ac:dyDescent="0.2">
      <c r="C415" s="26"/>
    </row>
    <row r="416" spans="3:3" x14ac:dyDescent="0.2">
      <c r="C416" s="26"/>
    </row>
    <row r="417" spans="3:3" x14ac:dyDescent="0.2">
      <c r="C417" s="26"/>
    </row>
    <row r="418" spans="3:3" x14ac:dyDescent="0.2">
      <c r="C418" s="26"/>
    </row>
    <row r="419" spans="3:3" x14ac:dyDescent="0.2">
      <c r="C419" s="26"/>
    </row>
    <row r="420" spans="3:3" x14ac:dyDescent="0.2">
      <c r="C420" s="26"/>
    </row>
    <row r="421" spans="3:3" x14ac:dyDescent="0.2">
      <c r="C421" s="26"/>
    </row>
    <row r="422" spans="3:3" x14ac:dyDescent="0.2">
      <c r="C422" s="26"/>
    </row>
    <row r="423" spans="3:3" x14ac:dyDescent="0.2">
      <c r="C423" s="26"/>
    </row>
    <row r="424" spans="3:3" x14ac:dyDescent="0.2">
      <c r="C424" s="26"/>
    </row>
    <row r="425" spans="3:3" x14ac:dyDescent="0.2">
      <c r="C425" s="26"/>
    </row>
    <row r="426" spans="3:3" x14ac:dyDescent="0.2">
      <c r="C426" s="26"/>
    </row>
    <row r="427" spans="3:3" x14ac:dyDescent="0.2">
      <c r="C427" s="26"/>
    </row>
    <row r="428" spans="3:3" x14ac:dyDescent="0.2">
      <c r="C428" s="26"/>
    </row>
    <row r="429" spans="3:3" x14ac:dyDescent="0.2">
      <c r="C429" s="26"/>
    </row>
    <row r="430" spans="3:3" x14ac:dyDescent="0.2">
      <c r="C430" s="26"/>
    </row>
    <row r="431" spans="3:3" x14ac:dyDescent="0.2">
      <c r="C431" s="26"/>
    </row>
    <row r="432" spans="3:3" x14ac:dyDescent="0.2">
      <c r="C432" s="26"/>
    </row>
    <row r="433" spans="3:3" x14ac:dyDescent="0.2">
      <c r="C433" s="26"/>
    </row>
    <row r="434" spans="3:3" x14ac:dyDescent="0.2">
      <c r="C434" s="26"/>
    </row>
    <row r="435" spans="3:3" x14ac:dyDescent="0.2">
      <c r="C435" s="26"/>
    </row>
    <row r="436" spans="3:3" x14ac:dyDescent="0.2">
      <c r="C436" s="26"/>
    </row>
    <row r="437" spans="3:3" x14ac:dyDescent="0.2">
      <c r="C437" s="26"/>
    </row>
    <row r="438" spans="3:3" x14ac:dyDescent="0.2">
      <c r="C438" s="26"/>
    </row>
    <row r="439" spans="3:3" x14ac:dyDescent="0.2">
      <c r="C439" s="26"/>
    </row>
    <row r="440" spans="3:3" x14ac:dyDescent="0.2">
      <c r="C440" s="26"/>
    </row>
    <row r="441" spans="3:3" x14ac:dyDescent="0.2">
      <c r="C441" s="26"/>
    </row>
    <row r="442" spans="3:3" x14ac:dyDescent="0.2">
      <c r="C442" s="26"/>
    </row>
    <row r="443" spans="3:3" x14ac:dyDescent="0.2">
      <c r="C443" s="26"/>
    </row>
    <row r="444" spans="3:3" x14ac:dyDescent="0.2">
      <c r="C444" s="26"/>
    </row>
  </sheetData>
  <mergeCells count="2">
    <mergeCell ref="A1:D1"/>
    <mergeCell ref="G1:L1"/>
  </mergeCells>
  <printOptions headings="1" gridLines="1"/>
  <pageMargins left="0.75" right="0.75" top="1" bottom="1" header="0.5" footer="0.5"/>
  <pageSetup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dimension ref="A1:C19"/>
  <sheetViews>
    <sheetView workbookViewId="0">
      <selection activeCell="A2" sqref="A2:C10"/>
    </sheetView>
  </sheetViews>
  <sheetFormatPr defaultRowHeight="12.75" x14ac:dyDescent="0.2"/>
  <cols>
    <col min="1" max="1" width="34.625" style="25" customWidth="1"/>
    <col min="2" max="2" width="10.25" style="25" customWidth="1"/>
    <col min="3" max="3" width="30.375" style="25" bestFit="1" customWidth="1"/>
    <col min="4" max="4" width="8.5" style="25" customWidth="1"/>
    <col min="5" max="5" width="8.625" style="25" bestFit="1" customWidth="1"/>
    <col min="6" max="256" width="8.75" style="25"/>
    <col min="257" max="257" width="34.625" style="25" customWidth="1"/>
    <col min="258" max="258" width="10.25" style="25" customWidth="1"/>
    <col min="259" max="259" width="26.375" style="25" bestFit="1" customWidth="1"/>
    <col min="260" max="260" width="8.5" style="25" customWidth="1"/>
    <col min="261" max="261" width="8.625" style="25" bestFit="1" customWidth="1"/>
    <col min="262" max="512" width="8.75" style="25"/>
    <col min="513" max="513" width="34.625" style="25" customWidth="1"/>
    <col min="514" max="514" width="10.25" style="25" customWidth="1"/>
    <col min="515" max="515" width="26.375" style="25" bestFit="1" customWidth="1"/>
    <col min="516" max="516" width="8.5" style="25" customWidth="1"/>
    <col min="517" max="517" width="8.625" style="25" bestFit="1" customWidth="1"/>
    <col min="518" max="768" width="8.75" style="25"/>
    <col min="769" max="769" width="34.625" style="25" customWidth="1"/>
    <col min="770" max="770" width="10.25" style="25" customWidth="1"/>
    <col min="771" max="771" width="26.375" style="25" bestFit="1" customWidth="1"/>
    <col min="772" max="772" width="8.5" style="25" customWidth="1"/>
    <col min="773" max="773" width="8.625" style="25" bestFit="1" customWidth="1"/>
    <col min="774" max="1024" width="8.75" style="25"/>
    <col min="1025" max="1025" width="34.625" style="25" customWidth="1"/>
    <col min="1026" max="1026" width="10.25" style="25" customWidth="1"/>
    <col min="1027" max="1027" width="26.375" style="25" bestFit="1" customWidth="1"/>
    <col min="1028" max="1028" width="8.5" style="25" customWidth="1"/>
    <col min="1029" max="1029" width="8.625" style="25" bestFit="1" customWidth="1"/>
    <col min="1030" max="1280" width="8.75" style="25"/>
    <col min="1281" max="1281" width="34.625" style="25" customWidth="1"/>
    <col min="1282" max="1282" width="10.25" style="25" customWidth="1"/>
    <col min="1283" max="1283" width="26.375" style="25" bestFit="1" customWidth="1"/>
    <col min="1284" max="1284" width="8.5" style="25" customWidth="1"/>
    <col min="1285" max="1285" width="8.625" style="25" bestFit="1" customWidth="1"/>
    <col min="1286" max="1536" width="8.75" style="25"/>
    <col min="1537" max="1537" width="34.625" style="25" customWidth="1"/>
    <col min="1538" max="1538" width="10.25" style="25" customWidth="1"/>
    <col min="1539" max="1539" width="26.375" style="25" bestFit="1" customWidth="1"/>
    <col min="1540" max="1540" width="8.5" style="25" customWidth="1"/>
    <col min="1541" max="1541" width="8.625" style="25" bestFit="1" customWidth="1"/>
    <col min="1542" max="1792" width="8.75" style="25"/>
    <col min="1793" max="1793" width="34.625" style="25" customWidth="1"/>
    <col min="1794" max="1794" width="10.25" style="25" customWidth="1"/>
    <col min="1795" max="1795" width="26.375" style="25" bestFit="1" customWidth="1"/>
    <col min="1796" max="1796" width="8.5" style="25" customWidth="1"/>
    <col min="1797" max="1797" width="8.625" style="25" bestFit="1" customWidth="1"/>
    <col min="1798" max="2048" width="8.75" style="25"/>
    <col min="2049" max="2049" width="34.625" style="25" customWidth="1"/>
    <col min="2050" max="2050" width="10.25" style="25" customWidth="1"/>
    <col min="2051" max="2051" width="26.375" style="25" bestFit="1" customWidth="1"/>
    <col min="2052" max="2052" width="8.5" style="25" customWidth="1"/>
    <col min="2053" max="2053" width="8.625" style="25" bestFit="1" customWidth="1"/>
    <col min="2054" max="2304" width="8.75" style="25"/>
    <col min="2305" max="2305" width="34.625" style="25" customWidth="1"/>
    <col min="2306" max="2306" width="10.25" style="25" customWidth="1"/>
    <col min="2307" max="2307" width="26.375" style="25" bestFit="1" customWidth="1"/>
    <col min="2308" max="2308" width="8.5" style="25" customWidth="1"/>
    <col min="2309" max="2309" width="8.625" style="25" bestFit="1" customWidth="1"/>
    <col min="2310" max="2560" width="8.75" style="25"/>
    <col min="2561" max="2561" width="34.625" style="25" customWidth="1"/>
    <col min="2562" max="2562" width="10.25" style="25" customWidth="1"/>
    <col min="2563" max="2563" width="26.375" style="25" bestFit="1" customWidth="1"/>
    <col min="2564" max="2564" width="8.5" style="25" customWidth="1"/>
    <col min="2565" max="2565" width="8.625" style="25" bestFit="1" customWidth="1"/>
    <col min="2566" max="2816" width="8.75" style="25"/>
    <col min="2817" max="2817" width="34.625" style="25" customWidth="1"/>
    <col min="2818" max="2818" width="10.25" style="25" customWidth="1"/>
    <col min="2819" max="2819" width="26.375" style="25" bestFit="1" customWidth="1"/>
    <col min="2820" max="2820" width="8.5" style="25" customWidth="1"/>
    <col min="2821" max="2821" width="8.625" style="25" bestFit="1" customWidth="1"/>
    <col min="2822" max="3072" width="8.75" style="25"/>
    <col min="3073" max="3073" width="34.625" style="25" customWidth="1"/>
    <col min="3074" max="3074" width="10.25" style="25" customWidth="1"/>
    <col min="3075" max="3075" width="26.375" style="25" bestFit="1" customWidth="1"/>
    <col min="3076" max="3076" width="8.5" style="25" customWidth="1"/>
    <col min="3077" max="3077" width="8.625" style="25" bestFit="1" customWidth="1"/>
    <col min="3078" max="3328" width="8.75" style="25"/>
    <col min="3329" max="3329" width="34.625" style="25" customWidth="1"/>
    <col min="3330" max="3330" width="10.25" style="25" customWidth="1"/>
    <col min="3331" max="3331" width="26.375" style="25" bestFit="1" customWidth="1"/>
    <col min="3332" max="3332" width="8.5" style="25" customWidth="1"/>
    <col min="3333" max="3333" width="8.625" style="25" bestFit="1" customWidth="1"/>
    <col min="3334" max="3584" width="8.75" style="25"/>
    <col min="3585" max="3585" width="34.625" style="25" customWidth="1"/>
    <col min="3586" max="3586" width="10.25" style="25" customWidth="1"/>
    <col min="3587" max="3587" width="26.375" style="25" bestFit="1" customWidth="1"/>
    <col min="3588" max="3588" width="8.5" style="25" customWidth="1"/>
    <col min="3589" max="3589" width="8.625" style="25" bestFit="1" customWidth="1"/>
    <col min="3590" max="3840" width="8.75" style="25"/>
    <col min="3841" max="3841" width="34.625" style="25" customWidth="1"/>
    <col min="3842" max="3842" width="10.25" style="25" customWidth="1"/>
    <col min="3843" max="3843" width="26.375" style="25" bestFit="1" customWidth="1"/>
    <col min="3844" max="3844" width="8.5" style="25" customWidth="1"/>
    <col min="3845" max="3845" width="8.625" style="25" bestFit="1" customWidth="1"/>
    <col min="3846" max="4096" width="8.75" style="25"/>
    <col min="4097" max="4097" width="34.625" style="25" customWidth="1"/>
    <col min="4098" max="4098" width="10.25" style="25" customWidth="1"/>
    <col min="4099" max="4099" width="26.375" style="25" bestFit="1" customWidth="1"/>
    <col min="4100" max="4100" width="8.5" style="25" customWidth="1"/>
    <col min="4101" max="4101" width="8.625" style="25" bestFit="1" customWidth="1"/>
    <col min="4102" max="4352" width="8.75" style="25"/>
    <col min="4353" max="4353" width="34.625" style="25" customWidth="1"/>
    <col min="4354" max="4354" width="10.25" style="25" customWidth="1"/>
    <col min="4355" max="4355" width="26.375" style="25" bestFit="1" customWidth="1"/>
    <col min="4356" max="4356" width="8.5" style="25" customWidth="1"/>
    <col min="4357" max="4357" width="8.625" style="25" bestFit="1" customWidth="1"/>
    <col min="4358" max="4608" width="8.75" style="25"/>
    <col min="4609" max="4609" width="34.625" style="25" customWidth="1"/>
    <col min="4610" max="4610" width="10.25" style="25" customWidth="1"/>
    <col min="4611" max="4611" width="26.375" style="25" bestFit="1" customWidth="1"/>
    <col min="4612" max="4612" width="8.5" style="25" customWidth="1"/>
    <col min="4613" max="4613" width="8.625" style="25" bestFit="1" customWidth="1"/>
    <col min="4614" max="4864" width="8.75" style="25"/>
    <col min="4865" max="4865" width="34.625" style="25" customWidth="1"/>
    <col min="4866" max="4866" width="10.25" style="25" customWidth="1"/>
    <col min="4867" max="4867" width="26.375" style="25" bestFit="1" customWidth="1"/>
    <col min="4868" max="4868" width="8.5" style="25" customWidth="1"/>
    <col min="4869" max="4869" width="8.625" style="25" bestFit="1" customWidth="1"/>
    <col min="4870" max="5120" width="8.75" style="25"/>
    <col min="5121" max="5121" width="34.625" style="25" customWidth="1"/>
    <col min="5122" max="5122" width="10.25" style="25" customWidth="1"/>
    <col min="5123" max="5123" width="26.375" style="25" bestFit="1" customWidth="1"/>
    <col min="5124" max="5124" width="8.5" style="25" customWidth="1"/>
    <col min="5125" max="5125" width="8.625" style="25" bestFit="1" customWidth="1"/>
    <col min="5126" max="5376" width="8.75" style="25"/>
    <col min="5377" max="5377" width="34.625" style="25" customWidth="1"/>
    <col min="5378" max="5378" width="10.25" style="25" customWidth="1"/>
    <col min="5379" max="5379" width="26.375" style="25" bestFit="1" customWidth="1"/>
    <col min="5380" max="5380" width="8.5" style="25" customWidth="1"/>
    <col min="5381" max="5381" width="8.625" style="25" bestFit="1" customWidth="1"/>
    <col min="5382" max="5632" width="8.75" style="25"/>
    <col min="5633" max="5633" width="34.625" style="25" customWidth="1"/>
    <col min="5634" max="5634" width="10.25" style="25" customWidth="1"/>
    <col min="5635" max="5635" width="26.375" style="25" bestFit="1" customWidth="1"/>
    <col min="5636" max="5636" width="8.5" style="25" customWidth="1"/>
    <col min="5637" max="5637" width="8.625" style="25" bestFit="1" customWidth="1"/>
    <col min="5638" max="5888" width="8.75" style="25"/>
    <col min="5889" max="5889" width="34.625" style="25" customWidth="1"/>
    <col min="5890" max="5890" width="10.25" style="25" customWidth="1"/>
    <col min="5891" max="5891" width="26.375" style="25" bestFit="1" customWidth="1"/>
    <col min="5892" max="5892" width="8.5" style="25" customWidth="1"/>
    <col min="5893" max="5893" width="8.625" style="25" bestFit="1" customWidth="1"/>
    <col min="5894" max="6144" width="8.75" style="25"/>
    <col min="6145" max="6145" width="34.625" style="25" customWidth="1"/>
    <col min="6146" max="6146" width="10.25" style="25" customWidth="1"/>
    <col min="6147" max="6147" width="26.375" style="25" bestFit="1" customWidth="1"/>
    <col min="6148" max="6148" width="8.5" style="25" customWidth="1"/>
    <col min="6149" max="6149" width="8.625" style="25" bestFit="1" customWidth="1"/>
    <col min="6150" max="6400" width="8.75" style="25"/>
    <col min="6401" max="6401" width="34.625" style="25" customWidth="1"/>
    <col min="6402" max="6402" width="10.25" style="25" customWidth="1"/>
    <col min="6403" max="6403" width="26.375" style="25" bestFit="1" customWidth="1"/>
    <col min="6404" max="6404" width="8.5" style="25" customWidth="1"/>
    <col min="6405" max="6405" width="8.625" style="25" bestFit="1" customWidth="1"/>
    <col min="6406" max="6656" width="8.75" style="25"/>
    <col min="6657" max="6657" width="34.625" style="25" customWidth="1"/>
    <col min="6658" max="6658" width="10.25" style="25" customWidth="1"/>
    <col min="6659" max="6659" width="26.375" style="25" bestFit="1" customWidth="1"/>
    <col min="6660" max="6660" width="8.5" style="25" customWidth="1"/>
    <col min="6661" max="6661" width="8.625" style="25" bestFit="1" customWidth="1"/>
    <col min="6662" max="6912" width="8.75" style="25"/>
    <col min="6913" max="6913" width="34.625" style="25" customWidth="1"/>
    <col min="6914" max="6914" width="10.25" style="25" customWidth="1"/>
    <col min="6915" max="6915" width="26.375" style="25" bestFit="1" customWidth="1"/>
    <col min="6916" max="6916" width="8.5" style="25" customWidth="1"/>
    <col min="6917" max="6917" width="8.625" style="25" bestFit="1" customWidth="1"/>
    <col min="6918" max="7168" width="8.75" style="25"/>
    <col min="7169" max="7169" width="34.625" style="25" customWidth="1"/>
    <col min="7170" max="7170" width="10.25" style="25" customWidth="1"/>
    <col min="7171" max="7171" width="26.375" style="25" bestFit="1" customWidth="1"/>
    <col min="7172" max="7172" width="8.5" style="25" customWidth="1"/>
    <col min="7173" max="7173" width="8.625" style="25" bestFit="1" customWidth="1"/>
    <col min="7174" max="7424" width="8.75" style="25"/>
    <col min="7425" max="7425" width="34.625" style="25" customWidth="1"/>
    <col min="7426" max="7426" width="10.25" style="25" customWidth="1"/>
    <col min="7427" max="7427" width="26.375" style="25" bestFit="1" customWidth="1"/>
    <col min="7428" max="7428" width="8.5" style="25" customWidth="1"/>
    <col min="7429" max="7429" width="8.625" style="25" bestFit="1" customWidth="1"/>
    <col min="7430" max="7680" width="8.75" style="25"/>
    <col min="7681" max="7681" width="34.625" style="25" customWidth="1"/>
    <col min="7682" max="7682" width="10.25" style="25" customWidth="1"/>
    <col min="7683" max="7683" width="26.375" style="25" bestFit="1" customWidth="1"/>
    <col min="7684" max="7684" width="8.5" style="25" customWidth="1"/>
    <col min="7685" max="7685" width="8.625" style="25" bestFit="1" customWidth="1"/>
    <col min="7686" max="7936" width="8.75" style="25"/>
    <col min="7937" max="7937" width="34.625" style="25" customWidth="1"/>
    <col min="7938" max="7938" width="10.25" style="25" customWidth="1"/>
    <col min="7939" max="7939" width="26.375" style="25" bestFit="1" customWidth="1"/>
    <col min="7940" max="7940" width="8.5" style="25" customWidth="1"/>
    <col min="7941" max="7941" width="8.625" style="25" bestFit="1" customWidth="1"/>
    <col min="7942" max="8192" width="8.75" style="25"/>
    <col min="8193" max="8193" width="34.625" style="25" customWidth="1"/>
    <col min="8194" max="8194" width="10.25" style="25" customWidth="1"/>
    <col min="8195" max="8195" width="26.375" style="25" bestFit="1" customWidth="1"/>
    <col min="8196" max="8196" width="8.5" style="25" customWidth="1"/>
    <col min="8197" max="8197" width="8.625" style="25" bestFit="1" customWidth="1"/>
    <col min="8198" max="8448" width="8.75" style="25"/>
    <col min="8449" max="8449" width="34.625" style="25" customWidth="1"/>
    <col min="8450" max="8450" width="10.25" style="25" customWidth="1"/>
    <col min="8451" max="8451" width="26.375" style="25" bestFit="1" customWidth="1"/>
    <col min="8452" max="8452" width="8.5" style="25" customWidth="1"/>
    <col min="8453" max="8453" width="8.625" style="25" bestFit="1" customWidth="1"/>
    <col min="8454" max="8704" width="8.75" style="25"/>
    <col min="8705" max="8705" width="34.625" style="25" customWidth="1"/>
    <col min="8706" max="8706" width="10.25" style="25" customWidth="1"/>
    <col min="8707" max="8707" width="26.375" style="25" bestFit="1" customWidth="1"/>
    <col min="8708" max="8708" width="8.5" style="25" customWidth="1"/>
    <col min="8709" max="8709" width="8.625" style="25" bestFit="1" customWidth="1"/>
    <col min="8710" max="8960" width="8.75" style="25"/>
    <col min="8961" max="8961" width="34.625" style="25" customWidth="1"/>
    <col min="8962" max="8962" width="10.25" style="25" customWidth="1"/>
    <col min="8963" max="8963" width="26.375" style="25" bestFit="1" customWidth="1"/>
    <col min="8964" max="8964" width="8.5" style="25" customWidth="1"/>
    <col min="8965" max="8965" width="8.625" style="25" bestFit="1" customWidth="1"/>
    <col min="8966" max="9216" width="8.75" style="25"/>
    <col min="9217" max="9217" width="34.625" style="25" customWidth="1"/>
    <col min="9218" max="9218" width="10.25" style="25" customWidth="1"/>
    <col min="9219" max="9219" width="26.375" style="25" bestFit="1" customWidth="1"/>
    <col min="9220" max="9220" width="8.5" style="25" customWidth="1"/>
    <col min="9221" max="9221" width="8.625" style="25" bestFit="1" customWidth="1"/>
    <col min="9222" max="9472" width="8.75" style="25"/>
    <col min="9473" max="9473" width="34.625" style="25" customWidth="1"/>
    <col min="9474" max="9474" width="10.25" style="25" customWidth="1"/>
    <col min="9475" max="9475" width="26.375" style="25" bestFit="1" customWidth="1"/>
    <col min="9476" max="9476" width="8.5" style="25" customWidth="1"/>
    <col min="9477" max="9477" width="8.625" style="25" bestFit="1" customWidth="1"/>
    <col min="9478" max="9728" width="8.75" style="25"/>
    <col min="9729" max="9729" width="34.625" style="25" customWidth="1"/>
    <col min="9730" max="9730" width="10.25" style="25" customWidth="1"/>
    <col min="9731" max="9731" width="26.375" style="25" bestFit="1" customWidth="1"/>
    <col min="9732" max="9732" width="8.5" style="25" customWidth="1"/>
    <col min="9733" max="9733" width="8.625" style="25" bestFit="1" customWidth="1"/>
    <col min="9734" max="9984" width="8.75" style="25"/>
    <col min="9985" max="9985" width="34.625" style="25" customWidth="1"/>
    <col min="9986" max="9986" width="10.25" style="25" customWidth="1"/>
    <col min="9987" max="9987" width="26.375" style="25" bestFit="1" customWidth="1"/>
    <col min="9988" max="9988" width="8.5" style="25" customWidth="1"/>
    <col min="9989" max="9989" width="8.625" style="25" bestFit="1" customWidth="1"/>
    <col min="9990" max="10240" width="8.75" style="25"/>
    <col min="10241" max="10241" width="34.625" style="25" customWidth="1"/>
    <col min="10242" max="10242" width="10.25" style="25" customWidth="1"/>
    <col min="10243" max="10243" width="26.375" style="25" bestFit="1" customWidth="1"/>
    <col min="10244" max="10244" width="8.5" style="25" customWidth="1"/>
    <col min="10245" max="10245" width="8.625" style="25" bestFit="1" customWidth="1"/>
    <col min="10246" max="10496" width="8.75" style="25"/>
    <col min="10497" max="10497" width="34.625" style="25" customWidth="1"/>
    <col min="10498" max="10498" width="10.25" style="25" customWidth="1"/>
    <col min="10499" max="10499" width="26.375" style="25" bestFit="1" customWidth="1"/>
    <col min="10500" max="10500" width="8.5" style="25" customWidth="1"/>
    <col min="10501" max="10501" width="8.625" style="25" bestFit="1" customWidth="1"/>
    <col min="10502" max="10752" width="8.75" style="25"/>
    <col min="10753" max="10753" width="34.625" style="25" customWidth="1"/>
    <col min="10754" max="10754" width="10.25" style="25" customWidth="1"/>
    <col min="10755" max="10755" width="26.375" style="25" bestFit="1" customWidth="1"/>
    <col min="10756" max="10756" width="8.5" style="25" customWidth="1"/>
    <col min="10757" max="10757" width="8.625" style="25" bestFit="1" customWidth="1"/>
    <col min="10758" max="11008" width="8.75" style="25"/>
    <col min="11009" max="11009" width="34.625" style="25" customWidth="1"/>
    <col min="11010" max="11010" width="10.25" style="25" customWidth="1"/>
    <col min="11011" max="11011" width="26.375" style="25" bestFit="1" customWidth="1"/>
    <col min="11012" max="11012" width="8.5" style="25" customWidth="1"/>
    <col min="11013" max="11013" width="8.625" style="25" bestFit="1" customWidth="1"/>
    <col min="11014" max="11264" width="8.75" style="25"/>
    <col min="11265" max="11265" width="34.625" style="25" customWidth="1"/>
    <col min="11266" max="11266" width="10.25" style="25" customWidth="1"/>
    <col min="11267" max="11267" width="26.375" style="25" bestFit="1" customWidth="1"/>
    <col min="11268" max="11268" width="8.5" style="25" customWidth="1"/>
    <col min="11269" max="11269" width="8.625" style="25" bestFit="1" customWidth="1"/>
    <col min="11270" max="11520" width="8.75" style="25"/>
    <col min="11521" max="11521" width="34.625" style="25" customWidth="1"/>
    <col min="11522" max="11522" width="10.25" style="25" customWidth="1"/>
    <col min="11523" max="11523" width="26.375" style="25" bestFit="1" customWidth="1"/>
    <col min="11524" max="11524" width="8.5" style="25" customWidth="1"/>
    <col min="11525" max="11525" width="8.625" style="25" bestFit="1" customWidth="1"/>
    <col min="11526" max="11776" width="8.75" style="25"/>
    <col min="11777" max="11777" width="34.625" style="25" customWidth="1"/>
    <col min="11778" max="11778" width="10.25" style="25" customWidth="1"/>
    <col min="11779" max="11779" width="26.375" style="25" bestFit="1" customWidth="1"/>
    <col min="11780" max="11780" width="8.5" style="25" customWidth="1"/>
    <col min="11781" max="11781" width="8.625" style="25" bestFit="1" customWidth="1"/>
    <col min="11782" max="12032" width="8.75" style="25"/>
    <col min="12033" max="12033" width="34.625" style="25" customWidth="1"/>
    <col min="12034" max="12034" width="10.25" style="25" customWidth="1"/>
    <col min="12035" max="12035" width="26.375" style="25" bestFit="1" customWidth="1"/>
    <col min="12036" max="12036" width="8.5" style="25" customWidth="1"/>
    <col min="12037" max="12037" width="8.625" style="25" bestFit="1" customWidth="1"/>
    <col min="12038" max="12288" width="8.75" style="25"/>
    <col min="12289" max="12289" width="34.625" style="25" customWidth="1"/>
    <col min="12290" max="12290" width="10.25" style="25" customWidth="1"/>
    <col min="12291" max="12291" width="26.375" style="25" bestFit="1" customWidth="1"/>
    <col min="12292" max="12292" width="8.5" style="25" customWidth="1"/>
    <col min="12293" max="12293" width="8.625" style="25" bestFit="1" customWidth="1"/>
    <col min="12294" max="12544" width="8.75" style="25"/>
    <col min="12545" max="12545" width="34.625" style="25" customWidth="1"/>
    <col min="12546" max="12546" width="10.25" style="25" customWidth="1"/>
    <col min="12547" max="12547" width="26.375" style="25" bestFit="1" customWidth="1"/>
    <col min="12548" max="12548" width="8.5" style="25" customWidth="1"/>
    <col min="12549" max="12549" width="8.625" style="25" bestFit="1" customWidth="1"/>
    <col min="12550" max="12800" width="8.75" style="25"/>
    <col min="12801" max="12801" width="34.625" style="25" customWidth="1"/>
    <col min="12802" max="12802" width="10.25" style="25" customWidth="1"/>
    <col min="12803" max="12803" width="26.375" style="25" bestFit="1" customWidth="1"/>
    <col min="12804" max="12804" width="8.5" style="25" customWidth="1"/>
    <col min="12805" max="12805" width="8.625" style="25" bestFit="1" customWidth="1"/>
    <col min="12806" max="13056" width="8.75" style="25"/>
    <col min="13057" max="13057" width="34.625" style="25" customWidth="1"/>
    <col min="13058" max="13058" width="10.25" style="25" customWidth="1"/>
    <col min="13059" max="13059" width="26.375" style="25" bestFit="1" customWidth="1"/>
    <col min="13060" max="13060" width="8.5" style="25" customWidth="1"/>
    <col min="13061" max="13061" width="8.625" style="25" bestFit="1" customWidth="1"/>
    <col min="13062" max="13312" width="8.75" style="25"/>
    <col min="13313" max="13313" width="34.625" style="25" customWidth="1"/>
    <col min="13314" max="13314" width="10.25" style="25" customWidth="1"/>
    <col min="13315" max="13315" width="26.375" style="25" bestFit="1" customWidth="1"/>
    <col min="13316" max="13316" width="8.5" style="25" customWidth="1"/>
    <col min="13317" max="13317" width="8.625" style="25" bestFit="1" customWidth="1"/>
    <col min="13318" max="13568" width="8.75" style="25"/>
    <col min="13569" max="13569" width="34.625" style="25" customWidth="1"/>
    <col min="13570" max="13570" width="10.25" style="25" customWidth="1"/>
    <col min="13571" max="13571" width="26.375" style="25" bestFit="1" customWidth="1"/>
    <col min="13572" max="13572" width="8.5" style="25" customWidth="1"/>
    <col min="13573" max="13573" width="8.625" style="25" bestFit="1" customWidth="1"/>
    <col min="13574" max="13824" width="8.75" style="25"/>
    <col min="13825" max="13825" width="34.625" style="25" customWidth="1"/>
    <col min="13826" max="13826" width="10.25" style="25" customWidth="1"/>
    <col min="13827" max="13827" width="26.375" style="25" bestFit="1" customWidth="1"/>
    <col min="13828" max="13828" width="8.5" style="25" customWidth="1"/>
    <col min="13829" max="13829" width="8.625" style="25" bestFit="1" customWidth="1"/>
    <col min="13830" max="14080" width="8.75" style="25"/>
    <col min="14081" max="14081" width="34.625" style="25" customWidth="1"/>
    <col min="14082" max="14082" width="10.25" style="25" customWidth="1"/>
    <col min="14083" max="14083" width="26.375" style="25" bestFit="1" customWidth="1"/>
    <col min="14084" max="14084" width="8.5" style="25" customWidth="1"/>
    <col min="14085" max="14085" width="8.625" style="25" bestFit="1" customWidth="1"/>
    <col min="14086" max="14336" width="8.75" style="25"/>
    <col min="14337" max="14337" width="34.625" style="25" customWidth="1"/>
    <col min="14338" max="14338" width="10.25" style="25" customWidth="1"/>
    <col min="14339" max="14339" width="26.375" style="25" bestFit="1" customWidth="1"/>
    <col min="14340" max="14340" width="8.5" style="25" customWidth="1"/>
    <col min="14341" max="14341" width="8.625" style="25" bestFit="1" customWidth="1"/>
    <col min="14342" max="14592" width="8.75" style="25"/>
    <col min="14593" max="14593" width="34.625" style="25" customWidth="1"/>
    <col min="14594" max="14594" width="10.25" style="25" customWidth="1"/>
    <col min="14595" max="14595" width="26.375" style="25" bestFit="1" customWidth="1"/>
    <col min="14596" max="14596" width="8.5" style="25" customWidth="1"/>
    <col min="14597" max="14597" width="8.625" style="25" bestFit="1" customWidth="1"/>
    <col min="14598" max="14848" width="8.75" style="25"/>
    <col min="14849" max="14849" width="34.625" style="25" customWidth="1"/>
    <col min="14850" max="14850" width="10.25" style="25" customWidth="1"/>
    <col min="14851" max="14851" width="26.375" style="25" bestFit="1" customWidth="1"/>
    <col min="14852" max="14852" width="8.5" style="25" customWidth="1"/>
    <col min="14853" max="14853" width="8.625" style="25" bestFit="1" customWidth="1"/>
    <col min="14854" max="15104" width="8.75" style="25"/>
    <col min="15105" max="15105" width="34.625" style="25" customWidth="1"/>
    <col min="15106" max="15106" width="10.25" style="25" customWidth="1"/>
    <col min="15107" max="15107" width="26.375" style="25" bestFit="1" customWidth="1"/>
    <col min="15108" max="15108" width="8.5" style="25" customWidth="1"/>
    <col min="15109" max="15109" width="8.625" style="25" bestFit="1" customWidth="1"/>
    <col min="15110" max="15360" width="8.75" style="25"/>
    <col min="15361" max="15361" width="34.625" style="25" customWidth="1"/>
    <col min="15362" max="15362" width="10.25" style="25" customWidth="1"/>
    <col min="15363" max="15363" width="26.375" style="25" bestFit="1" customWidth="1"/>
    <col min="15364" max="15364" width="8.5" style="25" customWidth="1"/>
    <col min="15365" max="15365" width="8.625" style="25" bestFit="1" customWidth="1"/>
    <col min="15366" max="15616" width="8.75" style="25"/>
    <col min="15617" max="15617" width="34.625" style="25" customWidth="1"/>
    <col min="15618" max="15618" width="10.25" style="25" customWidth="1"/>
    <col min="15619" max="15619" width="26.375" style="25" bestFit="1" customWidth="1"/>
    <col min="15620" max="15620" width="8.5" style="25" customWidth="1"/>
    <col min="15621" max="15621" width="8.625" style="25" bestFit="1" customWidth="1"/>
    <col min="15622" max="15872" width="8.75" style="25"/>
    <col min="15873" max="15873" width="34.625" style="25" customWidth="1"/>
    <col min="15874" max="15874" width="10.25" style="25" customWidth="1"/>
    <col min="15875" max="15875" width="26.375" style="25" bestFit="1" customWidth="1"/>
    <col min="15876" max="15876" width="8.5" style="25" customWidth="1"/>
    <col min="15877" max="15877" width="8.625" style="25" bestFit="1" customWidth="1"/>
    <col min="15878" max="16128" width="8.75" style="25"/>
    <col min="16129" max="16129" width="34.625" style="25" customWidth="1"/>
    <col min="16130" max="16130" width="10.25" style="25" customWidth="1"/>
    <col min="16131" max="16131" width="26.375" style="25" bestFit="1" customWidth="1"/>
    <col min="16132" max="16132" width="8.5" style="25" customWidth="1"/>
    <col min="16133" max="16133" width="8.625" style="25" bestFit="1" customWidth="1"/>
    <col min="16134" max="16384" width="8.75" style="25"/>
  </cols>
  <sheetData>
    <row r="1" spans="1:3" ht="45.75" customHeight="1" x14ac:dyDescent="0.2">
      <c r="A1" s="434" t="s">
        <v>200</v>
      </c>
      <c r="B1" s="434"/>
      <c r="C1" s="434"/>
    </row>
    <row r="2" spans="1:3" ht="15" x14ac:dyDescent="0.25">
      <c r="A2" s="43" t="s">
        <v>205</v>
      </c>
      <c r="B2" s="105">
        <f>CAPM!B2</f>
        <v>0.64350288539150746</v>
      </c>
      <c r="C2" s="43" t="e">
        <f ca="1">getformula(B2)</f>
        <v>#NAME?</v>
      </c>
    </row>
    <row r="3" spans="1:3" ht="18.75" x14ac:dyDescent="0.35">
      <c r="A3" s="43" t="s">
        <v>206</v>
      </c>
      <c r="B3" s="106">
        <f>'Page 100'!B5</f>
        <v>4.4006963997589778E-2</v>
      </c>
      <c r="C3" s="43" t="e">
        <f ca="1">getformula(B3)</f>
        <v>#NAME?</v>
      </c>
    </row>
    <row r="4" spans="1:3" ht="18.75" x14ac:dyDescent="0.35">
      <c r="A4" s="43" t="s">
        <v>201</v>
      </c>
      <c r="B4" s="48">
        <f>'Tax adjusted CAPM'!B3</f>
        <v>0.37900208804593699</v>
      </c>
      <c r="C4" s="43" t="e">
        <f ca="1">getformula(B4)</f>
        <v>#NAME?</v>
      </c>
    </row>
    <row r="5" spans="1:3" ht="18.75" x14ac:dyDescent="0.35">
      <c r="A5" s="43" t="s">
        <v>202</v>
      </c>
      <c r="B5" s="45">
        <v>0.02</v>
      </c>
      <c r="C5" s="132" t="s">
        <v>567</v>
      </c>
    </row>
    <row r="6" spans="1:3" ht="18.75" x14ac:dyDescent="0.35">
      <c r="A6" s="43" t="s">
        <v>203</v>
      </c>
      <c r="B6" s="48"/>
      <c r="C6" s="43"/>
    </row>
    <row r="7" spans="1:3" ht="14.25" x14ac:dyDescent="0.2">
      <c r="A7" s="46" t="s">
        <v>76</v>
      </c>
      <c r="B7" s="107">
        <f>B5+B2*B3</f>
        <v>4.8318608309769209E-2</v>
      </c>
      <c r="C7" s="43" t="e">
        <f ca="1">getformula(B7)</f>
        <v>#NAME?</v>
      </c>
    </row>
    <row r="8" spans="1:3" ht="14.25" x14ac:dyDescent="0.2">
      <c r="A8" s="46" t="s">
        <v>77</v>
      </c>
      <c r="B8" s="107">
        <f>B5*(1-B4)+B2*(B3+B4*B5)</f>
        <v>4.5616345293389801E-2</v>
      </c>
      <c r="C8" s="43" t="e">
        <f ca="1">getformula(B8)</f>
        <v>#NAME?</v>
      </c>
    </row>
    <row r="9" spans="1:3" ht="14.25" x14ac:dyDescent="0.2">
      <c r="A9" s="43"/>
      <c r="B9" s="42"/>
      <c r="C9" s="43"/>
    </row>
    <row r="10" spans="1:3" ht="61.15" customHeight="1" x14ac:dyDescent="0.2">
      <c r="A10" s="438" t="s">
        <v>207</v>
      </c>
      <c r="B10" s="438"/>
      <c r="C10" s="438"/>
    </row>
    <row r="11" spans="1:3" x14ac:dyDescent="0.2">
      <c r="B11" s="29"/>
    </row>
    <row r="12" spans="1:3" x14ac:dyDescent="0.2">
      <c r="B12" s="29"/>
    </row>
    <row r="13" spans="1:3" x14ac:dyDescent="0.2">
      <c r="B13" s="29"/>
    </row>
    <row r="14" spans="1:3" x14ac:dyDescent="0.2">
      <c r="B14" s="29"/>
    </row>
    <row r="15" spans="1:3" x14ac:dyDescent="0.2">
      <c r="B15" s="29"/>
    </row>
    <row r="16" spans="1:3" x14ac:dyDescent="0.2">
      <c r="B16" s="29"/>
    </row>
    <row r="17" spans="2:2" x14ac:dyDescent="0.2">
      <c r="B17" s="29"/>
    </row>
    <row r="18" spans="2:2" x14ac:dyDescent="0.2">
      <c r="B18" s="29"/>
    </row>
    <row r="19" spans="2:2" x14ac:dyDescent="0.2">
      <c r="B19" s="29"/>
    </row>
  </sheetData>
  <mergeCells count="2">
    <mergeCell ref="A1:C1"/>
    <mergeCell ref="A10:C10"/>
  </mergeCells>
  <printOptions headings="1" gridLines="1"/>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dimension ref="A1:C12"/>
  <sheetViews>
    <sheetView workbookViewId="0">
      <selection activeCell="A2" sqref="A2:C5"/>
    </sheetView>
  </sheetViews>
  <sheetFormatPr defaultRowHeight="12.75" x14ac:dyDescent="0.2"/>
  <cols>
    <col min="1" max="1" width="37.75" style="25" customWidth="1"/>
    <col min="2" max="2" width="10.25" style="25" customWidth="1"/>
    <col min="3" max="3" width="33.125" style="25" bestFit="1" customWidth="1"/>
    <col min="4" max="4" width="8.5" style="25" customWidth="1"/>
    <col min="5" max="5" width="8.625" style="25" bestFit="1" customWidth="1"/>
    <col min="6" max="256" width="8.75" style="25"/>
    <col min="257" max="257" width="37.75" style="25" customWidth="1"/>
    <col min="258" max="258" width="10.25" style="25" customWidth="1"/>
    <col min="259" max="259" width="31.375" style="25" customWidth="1"/>
    <col min="260" max="260" width="8.5" style="25" customWidth="1"/>
    <col min="261" max="261" width="8.625" style="25" bestFit="1" customWidth="1"/>
    <col min="262" max="512" width="8.75" style="25"/>
    <col min="513" max="513" width="37.75" style="25" customWidth="1"/>
    <col min="514" max="514" width="10.25" style="25" customWidth="1"/>
    <col min="515" max="515" width="31.375" style="25" customWidth="1"/>
    <col min="516" max="516" width="8.5" style="25" customWidth="1"/>
    <col min="517" max="517" width="8.625" style="25" bestFit="1" customWidth="1"/>
    <col min="518" max="768" width="8.75" style="25"/>
    <col min="769" max="769" width="37.75" style="25" customWidth="1"/>
    <col min="770" max="770" width="10.25" style="25" customWidth="1"/>
    <col min="771" max="771" width="31.375" style="25" customWidth="1"/>
    <col min="772" max="772" width="8.5" style="25" customWidth="1"/>
    <col min="773" max="773" width="8.625" style="25" bestFit="1" customWidth="1"/>
    <col min="774" max="1024" width="8.75" style="25"/>
    <col min="1025" max="1025" width="37.75" style="25" customWidth="1"/>
    <col min="1026" max="1026" width="10.25" style="25" customWidth="1"/>
    <col min="1027" max="1027" width="31.375" style="25" customWidth="1"/>
    <col min="1028" max="1028" width="8.5" style="25" customWidth="1"/>
    <col min="1029" max="1029" width="8.625" style="25" bestFit="1" customWidth="1"/>
    <col min="1030" max="1280" width="8.75" style="25"/>
    <col min="1281" max="1281" width="37.75" style="25" customWidth="1"/>
    <col min="1282" max="1282" width="10.25" style="25" customWidth="1"/>
    <col min="1283" max="1283" width="31.375" style="25" customWidth="1"/>
    <col min="1284" max="1284" width="8.5" style="25" customWidth="1"/>
    <col min="1285" max="1285" width="8.625" style="25" bestFit="1" customWidth="1"/>
    <col min="1286" max="1536" width="8.75" style="25"/>
    <col min="1537" max="1537" width="37.75" style="25" customWidth="1"/>
    <col min="1538" max="1538" width="10.25" style="25" customWidth="1"/>
    <col min="1539" max="1539" width="31.375" style="25" customWidth="1"/>
    <col min="1540" max="1540" width="8.5" style="25" customWidth="1"/>
    <col min="1541" max="1541" width="8.625" style="25" bestFit="1" customWidth="1"/>
    <col min="1542" max="1792" width="8.75" style="25"/>
    <col min="1793" max="1793" width="37.75" style="25" customWidth="1"/>
    <col min="1794" max="1794" width="10.25" style="25" customWidth="1"/>
    <col min="1795" max="1795" width="31.375" style="25" customWidth="1"/>
    <col min="1796" max="1796" width="8.5" style="25" customWidth="1"/>
    <col min="1797" max="1797" width="8.625" style="25" bestFit="1" customWidth="1"/>
    <col min="1798" max="2048" width="8.75" style="25"/>
    <col min="2049" max="2049" width="37.75" style="25" customWidth="1"/>
    <col min="2050" max="2050" width="10.25" style="25" customWidth="1"/>
    <col min="2051" max="2051" width="31.375" style="25" customWidth="1"/>
    <col min="2052" max="2052" width="8.5" style="25" customWidth="1"/>
    <col min="2053" max="2053" width="8.625" style="25" bestFit="1" customWidth="1"/>
    <col min="2054" max="2304" width="8.75" style="25"/>
    <col min="2305" max="2305" width="37.75" style="25" customWidth="1"/>
    <col min="2306" max="2306" width="10.25" style="25" customWidth="1"/>
    <col min="2307" max="2307" width="31.375" style="25" customWidth="1"/>
    <col min="2308" max="2308" width="8.5" style="25" customWidth="1"/>
    <col min="2309" max="2309" width="8.625" style="25" bestFit="1" customWidth="1"/>
    <col min="2310" max="2560" width="8.75" style="25"/>
    <col min="2561" max="2561" width="37.75" style="25" customWidth="1"/>
    <col min="2562" max="2562" width="10.25" style="25" customWidth="1"/>
    <col min="2563" max="2563" width="31.375" style="25" customWidth="1"/>
    <col min="2564" max="2564" width="8.5" style="25" customWidth="1"/>
    <col min="2565" max="2565" width="8.625" style="25" bestFit="1" customWidth="1"/>
    <col min="2566" max="2816" width="8.75" style="25"/>
    <col min="2817" max="2817" width="37.75" style="25" customWidth="1"/>
    <col min="2818" max="2818" width="10.25" style="25" customWidth="1"/>
    <col min="2819" max="2819" width="31.375" style="25" customWidth="1"/>
    <col min="2820" max="2820" width="8.5" style="25" customWidth="1"/>
    <col min="2821" max="2821" width="8.625" style="25" bestFit="1" customWidth="1"/>
    <col min="2822" max="3072" width="8.75" style="25"/>
    <col min="3073" max="3073" width="37.75" style="25" customWidth="1"/>
    <col min="3074" max="3074" width="10.25" style="25" customWidth="1"/>
    <col min="3075" max="3075" width="31.375" style="25" customWidth="1"/>
    <col min="3076" max="3076" width="8.5" style="25" customWidth="1"/>
    <col min="3077" max="3077" width="8.625" style="25" bestFit="1" customWidth="1"/>
    <col min="3078" max="3328" width="8.75" style="25"/>
    <col min="3329" max="3329" width="37.75" style="25" customWidth="1"/>
    <col min="3330" max="3330" width="10.25" style="25" customWidth="1"/>
    <col min="3331" max="3331" width="31.375" style="25" customWidth="1"/>
    <col min="3332" max="3332" width="8.5" style="25" customWidth="1"/>
    <col min="3333" max="3333" width="8.625" style="25" bestFit="1" customWidth="1"/>
    <col min="3334" max="3584" width="8.75" style="25"/>
    <col min="3585" max="3585" width="37.75" style="25" customWidth="1"/>
    <col min="3586" max="3586" width="10.25" style="25" customWidth="1"/>
    <col min="3587" max="3587" width="31.375" style="25" customWidth="1"/>
    <col min="3588" max="3588" width="8.5" style="25" customWidth="1"/>
    <col min="3589" max="3589" width="8.625" style="25" bestFit="1" customWidth="1"/>
    <col min="3590" max="3840" width="8.75" style="25"/>
    <col min="3841" max="3841" width="37.75" style="25" customWidth="1"/>
    <col min="3842" max="3842" width="10.25" style="25" customWidth="1"/>
    <col min="3843" max="3843" width="31.375" style="25" customWidth="1"/>
    <col min="3844" max="3844" width="8.5" style="25" customWidth="1"/>
    <col min="3845" max="3845" width="8.625" style="25" bestFit="1" customWidth="1"/>
    <col min="3846" max="4096" width="8.75" style="25"/>
    <col min="4097" max="4097" width="37.75" style="25" customWidth="1"/>
    <col min="4098" max="4098" width="10.25" style="25" customWidth="1"/>
    <col min="4099" max="4099" width="31.375" style="25" customWidth="1"/>
    <col min="4100" max="4100" width="8.5" style="25" customWidth="1"/>
    <col min="4101" max="4101" width="8.625" style="25" bestFit="1" customWidth="1"/>
    <col min="4102" max="4352" width="8.75" style="25"/>
    <col min="4353" max="4353" width="37.75" style="25" customWidth="1"/>
    <col min="4354" max="4354" width="10.25" style="25" customWidth="1"/>
    <col min="4355" max="4355" width="31.375" style="25" customWidth="1"/>
    <col min="4356" max="4356" width="8.5" style="25" customWidth="1"/>
    <col min="4357" max="4357" width="8.625" style="25" bestFit="1" customWidth="1"/>
    <col min="4358" max="4608" width="8.75" style="25"/>
    <col min="4609" max="4609" width="37.75" style="25" customWidth="1"/>
    <col min="4610" max="4610" width="10.25" style="25" customWidth="1"/>
    <col min="4611" max="4611" width="31.375" style="25" customWidth="1"/>
    <col min="4612" max="4612" width="8.5" style="25" customWidth="1"/>
    <col min="4613" max="4613" width="8.625" style="25" bestFit="1" customWidth="1"/>
    <col min="4614" max="4864" width="8.75" style="25"/>
    <col min="4865" max="4865" width="37.75" style="25" customWidth="1"/>
    <col min="4866" max="4866" width="10.25" style="25" customWidth="1"/>
    <col min="4867" max="4867" width="31.375" style="25" customWidth="1"/>
    <col min="4868" max="4868" width="8.5" style="25" customWidth="1"/>
    <col min="4869" max="4869" width="8.625" style="25" bestFit="1" customWidth="1"/>
    <col min="4870" max="5120" width="8.75" style="25"/>
    <col min="5121" max="5121" width="37.75" style="25" customWidth="1"/>
    <col min="5122" max="5122" width="10.25" style="25" customWidth="1"/>
    <col min="5123" max="5123" width="31.375" style="25" customWidth="1"/>
    <col min="5124" max="5124" width="8.5" style="25" customWidth="1"/>
    <col min="5125" max="5125" width="8.625" style="25" bestFit="1" customWidth="1"/>
    <col min="5126" max="5376" width="8.75" style="25"/>
    <col min="5377" max="5377" width="37.75" style="25" customWidth="1"/>
    <col min="5378" max="5378" width="10.25" style="25" customWidth="1"/>
    <col min="5379" max="5379" width="31.375" style="25" customWidth="1"/>
    <col min="5380" max="5380" width="8.5" style="25" customWidth="1"/>
    <col min="5381" max="5381" width="8.625" style="25" bestFit="1" customWidth="1"/>
    <col min="5382" max="5632" width="8.75" style="25"/>
    <col min="5633" max="5633" width="37.75" style="25" customWidth="1"/>
    <col min="5634" max="5634" width="10.25" style="25" customWidth="1"/>
    <col min="5635" max="5635" width="31.375" style="25" customWidth="1"/>
    <col min="5636" max="5636" width="8.5" style="25" customWidth="1"/>
    <col min="5637" max="5637" width="8.625" style="25" bestFit="1" customWidth="1"/>
    <col min="5638" max="5888" width="8.75" style="25"/>
    <col min="5889" max="5889" width="37.75" style="25" customWidth="1"/>
    <col min="5890" max="5890" width="10.25" style="25" customWidth="1"/>
    <col min="5891" max="5891" width="31.375" style="25" customWidth="1"/>
    <col min="5892" max="5892" width="8.5" style="25" customWidth="1"/>
    <col min="5893" max="5893" width="8.625" style="25" bestFit="1" customWidth="1"/>
    <col min="5894" max="6144" width="8.75" style="25"/>
    <col min="6145" max="6145" width="37.75" style="25" customWidth="1"/>
    <col min="6146" max="6146" width="10.25" style="25" customWidth="1"/>
    <col min="6147" max="6147" width="31.375" style="25" customWidth="1"/>
    <col min="6148" max="6148" width="8.5" style="25" customWidth="1"/>
    <col min="6149" max="6149" width="8.625" style="25" bestFit="1" customWidth="1"/>
    <col min="6150" max="6400" width="8.75" style="25"/>
    <col min="6401" max="6401" width="37.75" style="25" customWidth="1"/>
    <col min="6402" max="6402" width="10.25" style="25" customWidth="1"/>
    <col min="6403" max="6403" width="31.375" style="25" customWidth="1"/>
    <col min="6404" max="6404" width="8.5" style="25" customWidth="1"/>
    <col min="6405" max="6405" width="8.625" style="25" bestFit="1" customWidth="1"/>
    <col min="6406" max="6656" width="8.75" style="25"/>
    <col min="6657" max="6657" width="37.75" style="25" customWidth="1"/>
    <col min="6658" max="6658" width="10.25" style="25" customWidth="1"/>
    <col min="6659" max="6659" width="31.375" style="25" customWidth="1"/>
    <col min="6660" max="6660" width="8.5" style="25" customWidth="1"/>
    <col min="6661" max="6661" width="8.625" style="25" bestFit="1" customWidth="1"/>
    <col min="6662" max="6912" width="8.75" style="25"/>
    <col min="6913" max="6913" width="37.75" style="25" customWidth="1"/>
    <col min="6914" max="6914" width="10.25" style="25" customWidth="1"/>
    <col min="6915" max="6915" width="31.375" style="25" customWidth="1"/>
    <col min="6916" max="6916" width="8.5" style="25" customWidth="1"/>
    <col min="6917" max="6917" width="8.625" style="25" bestFit="1" customWidth="1"/>
    <col min="6918" max="7168" width="8.75" style="25"/>
    <col min="7169" max="7169" width="37.75" style="25" customWidth="1"/>
    <col min="7170" max="7170" width="10.25" style="25" customWidth="1"/>
    <col min="7171" max="7171" width="31.375" style="25" customWidth="1"/>
    <col min="7172" max="7172" width="8.5" style="25" customWidth="1"/>
    <col min="7173" max="7173" width="8.625" style="25" bestFit="1" customWidth="1"/>
    <col min="7174" max="7424" width="8.75" style="25"/>
    <col min="7425" max="7425" width="37.75" style="25" customWidth="1"/>
    <col min="7426" max="7426" width="10.25" style="25" customWidth="1"/>
    <col min="7427" max="7427" width="31.375" style="25" customWidth="1"/>
    <col min="7428" max="7428" width="8.5" style="25" customWidth="1"/>
    <col min="7429" max="7429" width="8.625" style="25" bestFit="1" customWidth="1"/>
    <col min="7430" max="7680" width="8.75" style="25"/>
    <col min="7681" max="7681" width="37.75" style="25" customWidth="1"/>
    <col min="7682" max="7682" width="10.25" style="25" customWidth="1"/>
    <col min="7683" max="7683" width="31.375" style="25" customWidth="1"/>
    <col min="7684" max="7684" width="8.5" style="25" customWidth="1"/>
    <col min="7685" max="7685" width="8.625" style="25" bestFit="1" customWidth="1"/>
    <col min="7686" max="7936" width="8.75" style="25"/>
    <col min="7937" max="7937" width="37.75" style="25" customWidth="1"/>
    <col min="7938" max="7938" width="10.25" style="25" customWidth="1"/>
    <col min="7939" max="7939" width="31.375" style="25" customWidth="1"/>
    <col min="7940" max="7940" width="8.5" style="25" customWidth="1"/>
    <col min="7941" max="7941" width="8.625" style="25" bestFit="1" customWidth="1"/>
    <col min="7942" max="8192" width="8.75" style="25"/>
    <col min="8193" max="8193" width="37.75" style="25" customWidth="1"/>
    <col min="8194" max="8194" width="10.25" style="25" customWidth="1"/>
    <col min="8195" max="8195" width="31.375" style="25" customWidth="1"/>
    <col min="8196" max="8196" width="8.5" style="25" customWidth="1"/>
    <col min="8197" max="8197" width="8.625" style="25" bestFit="1" customWidth="1"/>
    <col min="8198" max="8448" width="8.75" style="25"/>
    <col min="8449" max="8449" width="37.75" style="25" customWidth="1"/>
    <col min="8450" max="8450" width="10.25" style="25" customWidth="1"/>
    <col min="8451" max="8451" width="31.375" style="25" customWidth="1"/>
    <col min="8452" max="8452" width="8.5" style="25" customWidth="1"/>
    <col min="8453" max="8453" width="8.625" style="25" bestFit="1" customWidth="1"/>
    <col min="8454" max="8704" width="8.75" style="25"/>
    <col min="8705" max="8705" width="37.75" style="25" customWidth="1"/>
    <col min="8706" max="8706" width="10.25" style="25" customWidth="1"/>
    <col min="8707" max="8707" width="31.375" style="25" customWidth="1"/>
    <col min="8708" max="8708" width="8.5" style="25" customWidth="1"/>
    <col min="8709" max="8709" width="8.625" style="25" bestFit="1" customWidth="1"/>
    <col min="8710" max="8960" width="8.75" style="25"/>
    <col min="8961" max="8961" width="37.75" style="25" customWidth="1"/>
    <col min="8962" max="8962" width="10.25" style="25" customWidth="1"/>
    <col min="8963" max="8963" width="31.375" style="25" customWidth="1"/>
    <col min="8964" max="8964" width="8.5" style="25" customWidth="1"/>
    <col min="8965" max="8965" width="8.625" style="25" bestFit="1" customWidth="1"/>
    <col min="8966" max="9216" width="8.75" style="25"/>
    <col min="9217" max="9217" width="37.75" style="25" customWidth="1"/>
    <col min="9218" max="9218" width="10.25" style="25" customWidth="1"/>
    <col min="9219" max="9219" width="31.375" style="25" customWidth="1"/>
    <col min="9220" max="9220" width="8.5" style="25" customWidth="1"/>
    <col min="9221" max="9221" width="8.625" style="25" bestFit="1" customWidth="1"/>
    <col min="9222" max="9472" width="8.75" style="25"/>
    <col min="9473" max="9473" width="37.75" style="25" customWidth="1"/>
    <col min="9474" max="9474" width="10.25" style="25" customWidth="1"/>
    <col min="9475" max="9475" width="31.375" style="25" customWidth="1"/>
    <col min="9476" max="9476" width="8.5" style="25" customWidth="1"/>
    <col min="9477" max="9477" width="8.625" style="25" bestFit="1" customWidth="1"/>
    <col min="9478" max="9728" width="8.75" style="25"/>
    <col min="9729" max="9729" width="37.75" style="25" customWidth="1"/>
    <col min="9730" max="9730" width="10.25" style="25" customWidth="1"/>
    <col min="9731" max="9731" width="31.375" style="25" customWidth="1"/>
    <col min="9732" max="9732" width="8.5" style="25" customWidth="1"/>
    <col min="9733" max="9733" width="8.625" style="25" bestFit="1" customWidth="1"/>
    <col min="9734" max="9984" width="8.75" style="25"/>
    <col min="9985" max="9985" width="37.75" style="25" customWidth="1"/>
    <col min="9986" max="9986" width="10.25" style="25" customWidth="1"/>
    <col min="9987" max="9987" width="31.375" style="25" customWidth="1"/>
    <col min="9988" max="9988" width="8.5" style="25" customWidth="1"/>
    <col min="9989" max="9989" width="8.625" style="25" bestFit="1" customWidth="1"/>
    <col min="9990" max="10240" width="8.75" style="25"/>
    <col min="10241" max="10241" width="37.75" style="25" customWidth="1"/>
    <col min="10242" max="10242" width="10.25" style="25" customWidth="1"/>
    <col min="10243" max="10243" width="31.375" style="25" customWidth="1"/>
    <col min="10244" max="10244" width="8.5" style="25" customWidth="1"/>
    <col min="10245" max="10245" width="8.625" style="25" bestFit="1" customWidth="1"/>
    <col min="10246" max="10496" width="8.75" style="25"/>
    <col min="10497" max="10497" width="37.75" style="25" customWidth="1"/>
    <col min="10498" max="10498" width="10.25" style="25" customWidth="1"/>
    <col min="10499" max="10499" width="31.375" style="25" customWidth="1"/>
    <col min="10500" max="10500" width="8.5" style="25" customWidth="1"/>
    <col min="10501" max="10501" width="8.625" style="25" bestFit="1" customWidth="1"/>
    <col min="10502" max="10752" width="8.75" style="25"/>
    <col min="10753" max="10753" width="37.75" style="25" customWidth="1"/>
    <col min="10754" max="10754" width="10.25" style="25" customWidth="1"/>
    <col min="10755" max="10755" width="31.375" style="25" customWidth="1"/>
    <col min="10756" max="10756" width="8.5" style="25" customWidth="1"/>
    <col min="10757" max="10757" width="8.625" style="25" bestFit="1" customWidth="1"/>
    <col min="10758" max="11008" width="8.75" style="25"/>
    <col min="11009" max="11009" width="37.75" style="25" customWidth="1"/>
    <col min="11010" max="11010" width="10.25" style="25" customWidth="1"/>
    <col min="11011" max="11011" width="31.375" style="25" customWidth="1"/>
    <col min="11012" max="11012" width="8.5" style="25" customWidth="1"/>
    <col min="11013" max="11013" width="8.625" style="25" bestFit="1" customWidth="1"/>
    <col min="11014" max="11264" width="8.75" style="25"/>
    <col min="11265" max="11265" width="37.75" style="25" customWidth="1"/>
    <col min="11266" max="11266" width="10.25" style="25" customWidth="1"/>
    <col min="11267" max="11267" width="31.375" style="25" customWidth="1"/>
    <col min="11268" max="11268" width="8.5" style="25" customWidth="1"/>
    <col min="11269" max="11269" width="8.625" style="25" bestFit="1" customWidth="1"/>
    <col min="11270" max="11520" width="8.75" style="25"/>
    <col min="11521" max="11521" width="37.75" style="25" customWidth="1"/>
    <col min="11522" max="11522" width="10.25" style="25" customWidth="1"/>
    <col min="11523" max="11523" width="31.375" style="25" customWidth="1"/>
    <col min="11524" max="11524" width="8.5" style="25" customWidth="1"/>
    <col min="11525" max="11525" width="8.625" style="25" bestFit="1" customWidth="1"/>
    <col min="11526" max="11776" width="8.75" style="25"/>
    <col min="11777" max="11777" width="37.75" style="25" customWidth="1"/>
    <col min="11778" max="11778" width="10.25" style="25" customWidth="1"/>
    <col min="11779" max="11779" width="31.375" style="25" customWidth="1"/>
    <col min="11780" max="11780" width="8.5" style="25" customWidth="1"/>
    <col min="11781" max="11781" width="8.625" style="25" bestFit="1" customWidth="1"/>
    <col min="11782" max="12032" width="8.75" style="25"/>
    <col min="12033" max="12033" width="37.75" style="25" customWidth="1"/>
    <col min="12034" max="12034" width="10.25" style="25" customWidth="1"/>
    <col min="12035" max="12035" width="31.375" style="25" customWidth="1"/>
    <col min="12036" max="12036" width="8.5" style="25" customWidth="1"/>
    <col min="12037" max="12037" width="8.625" style="25" bestFit="1" customWidth="1"/>
    <col min="12038" max="12288" width="8.75" style="25"/>
    <col min="12289" max="12289" width="37.75" style="25" customWidth="1"/>
    <col min="12290" max="12290" width="10.25" style="25" customWidth="1"/>
    <col min="12291" max="12291" width="31.375" style="25" customWidth="1"/>
    <col min="12292" max="12292" width="8.5" style="25" customWidth="1"/>
    <col min="12293" max="12293" width="8.625" style="25" bestFit="1" customWidth="1"/>
    <col min="12294" max="12544" width="8.75" style="25"/>
    <col min="12545" max="12545" width="37.75" style="25" customWidth="1"/>
    <col min="12546" max="12546" width="10.25" style="25" customWidth="1"/>
    <col min="12547" max="12547" width="31.375" style="25" customWidth="1"/>
    <col min="12548" max="12548" width="8.5" style="25" customWidth="1"/>
    <col min="12549" max="12549" width="8.625" style="25" bestFit="1" customWidth="1"/>
    <col min="12550" max="12800" width="8.75" style="25"/>
    <col min="12801" max="12801" width="37.75" style="25" customWidth="1"/>
    <col min="12802" max="12802" width="10.25" style="25" customWidth="1"/>
    <col min="12803" max="12803" width="31.375" style="25" customWidth="1"/>
    <col min="12804" max="12804" width="8.5" style="25" customWidth="1"/>
    <col min="12805" max="12805" width="8.625" style="25" bestFit="1" customWidth="1"/>
    <col min="12806" max="13056" width="8.75" style="25"/>
    <col min="13057" max="13057" width="37.75" style="25" customWidth="1"/>
    <col min="13058" max="13058" width="10.25" style="25" customWidth="1"/>
    <col min="13059" max="13059" width="31.375" style="25" customWidth="1"/>
    <col min="13060" max="13060" width="8.5" style="25" customWidth="1"/>
    <col min="13061" max="13061" width="8.625" style="25" bestFit="1" customWidth="1"/>
    <col min="13062" max="13312" width="8.75" style="25"/>
    <col min="13313" max="13313" width="37.75" style="25" customWidth="1"/>
    <col min="13314" max="13314" width="10.25" style="25" customWidth="1"/>
    <col min="13315" max="13315" width="31.375" style="25" customWidth="1"/>
    <col min="13316" max="13316" width="8.5" style="25" customWidth="1"/>
    <col min="13317" max="13317" width="8.625" style="25" bestFit="1" customWidth="1"/>
    <col min="13318" max="13568" width="8.75" style="25"/>
    <col min="13569" max="13569" width="37.75" style="25" customWidth="1"/>
    <col min="13570" max="13570" width="10.25" style="25" customWidth="1"/>
    <col min="13571" max="13571" width="31.375" style="25" customWidth="1"/>
    <col min="13572" max="13572" width="8.5" style="25" customWidth="1"/>
    <col min="13573" max="13573" width="8.625" style="25" bestFit="1" customWidth="1"/>
    <col min="13574" max="13824" width="8.75" style="25"/>
    <col min="13825" max="13825" width="37.75" style="25" customWidth="1"/>
    <col min="13826" max="13826" width="10.25" style="25" customWidth="1"/>
    <col min="13827" max="13827" width="31.375" style="25" customWidth="1"/>
    <col min="13828" max="13828" width="8.5" style="25" customWidth="1"/>
    <col min="13829" max="13829" width="8.625" style="25" bestFit="1" customWidth="1"/>
    <col min="13830" max="14080" width="8.75" style="25"/>
    <col min="14081" max="14081" width="37.75" style="25" customWidth="1"/>
    <col min="14082" max="14082" width="10.25" style="25" customWidth="1"/>
    <col min="14083" max="14083" width="31.375" style="25" customWidth="1"/>
    <col min="14084" max="14084" width="8.5" style="25" customWidth="1"/>
    <col min="14085" max="14085" width="8.625" style="25" bestFit="1" customWidth="1"/>
    <col min="14086" max="14336" width="8.75" style="25"/>
    <col min="14337" max="14337" width="37.75" style="25" customWidth="1"/>
    <col min="14338" max="14338" width="10.25" style="25" customWidth="1"/>
    <col min="14339" max="14339" width="31.375" style="25" customWidth="1"/>
    <col min="14340" max="14340" width="8.5" style="25" customWidth="1"/>
    <col min="14341" max="14341" width="8.625" style="25" bestFit="1" customWidth="1"/>
    <col min="14342" max="14592" width="8.75" style="25"/>
    <col min="14593" max="14593" width="37.75" style="25" customWidth="1"/>
    <col min="14594" max="14594" width="10.25" style="25" customWidth="1"/>
    <col min="14595" max="14595" width="31.375" style="25" customWidth="1"/>
    <col min="14596" max="14596" width="8.5" style="25" customWidth="1"/>
    <col min="14597" max="14597" width="8.625" style="25" bestFit="1" customWidth="1"/>
    <col min="14598" max="14848" width="8.75" style="25"/>
    <col min="14849" max="14849" width="37.75" style="25" customWidth="1"/>
    <col min="14850" max="14850" width="10.25" style="25" customWidth="1"/>
    <col min="14851" max="14851" width="31.375" style="25" customWidth="1"/>
    <col min="14852" max="14852" width="8.5" style="25" customWidth="1"/>
    <col min="14853" max="14853" width="8.625" style="25" bestFit="1" customWidth="1"/>
    <col min="14854" max="15104" width="8.75" style="25"/>
    <col min="15105" max="15105" width="37.75" style="25" customWidth="1"/>
    <col min="15106" max="15106" width="10.25" style="25" customWidth="1"/>
    <col min="15107" max="15107" width="31.375" style="25" customWidth="1"/>
    <col min="15108" max="15108" width="8.5" style="25" customWidth="1"/>
    <col min="15109" max="15109" width="8.625" style="25" bestFit="1" customWidth="1"/>
    <col min="15110" max="15360" width="8.75" style="25"/>
    <col min="15361" max="15361" width="37.75" style="25" customWidth="1"/>
    <col min="15362" max="15362" width="10.25" style="25" customWidth="1"/>
    <col min="15363" max="15363" width="31.375" style="25" customWidth="1"/>
    <col min="15364" max="15364" width="8.5" style="25" customWidth="1"/>
    <col min="15365" max="15365" width="8.625" style="25" bestFit="1" customWidth="1"/>
    <col min="15366" max="15616" width="8.75" style="25"/>
    <col min="15617" max="15617" width="37.75" style="25" customWidth="1"/>
    <col min="15618" max="15618" width="10.25" style="25" customWidth="1"/>
    <col min="15619" max="15619" width="31.375" style="25" customWidth="1"/>
    <col min="15620" max="15620" width="8.5" style="25" customWidth="1"/>
    <col min="15621" max="15621" width="8.625" style="25" bestFit="1" customWidth="1"/>
    <col min="15622" max="15872" width="8.75" style="25"/>
    <col min="15873" max="15873" width="37.75" style="25" customWidth="1"/>
    <col min="15874" max="15874" width="10.25" style="25" customWidth="1"/>
    <col min="15875" max="15875" width="31.375" style="25" customWidth="1"/>
    <col min="15876" max="15876" width="8.5" style="25" customWidth="1"/>
    <col min="15877" max="15877" width="8.625" style="25" bestFit="1" customWidth="1"/>
    <col min="15878" max="16128" width="8.75" style="25"/>
    <col min="16129" max="16129" width="37.75" style="25" customWidth="1"/>
    <col min="16130" max="16130" width="10.25" style="25" customWidth="1"/>
    <col min="16131" max="16131" width="31.375" style="25" customWidth="1"/>
    <col min="16132" max="16132" width="8.5" style="25" customWidth="1"/>
    <col min="16133" max="16133" width="8.625" style="25" bestFit="1" customWidth="1"/>
    <col min="16134" max="16384" width="8.75" style="25"/>
  </cols>
  <sheetData>
    <row r="1" spans="1:3" ht="27" customHeight="1" x14ac:dyDescent="0.2">
      <c r="A1" s="434" t="s">
        <v>82</v>
      </c>
      <c r="B1" s="434"/>
      <c r="C1" s="434"/>
    </row>
    <row r="2" spans="1:3" ht="14.25" x14ac:dyDescent="0.2">
      <c r="A2" s="25" t="s">
        <v>81</v>
      </c>
      <c r="B2" s="42">
        <v>15.2</v>
      </c>
    </row>
    <row r="3" spans="1:3" ht="14.25" x14ac:dyDescent="0.2">
      <c r="A3" s="25" t="s">
        <v>78</v>
      </c>
      <c r="B3" s="31">
        <v>0.5</v>
      </c>
      <c r="C3" s="25" t="s">
        <v>204</v>
      </c>
    </row>
    <row r="4" spans="1:3" ht="14.25" x14ac:dyDescent="0.2">
      <c r="A4" s="25" t="s">
        <v>79</v>
      </c>
      <c r="B4" s="31">
        <v>0.05</v>
      </c>
      <c r="C4" s="25" t="s">
        <v>83</v>
      </c>
    </row>
    <row r="5" spans="1:3" ht="15.75" x14ac:dyDescent="0.3">
      <c r="A5" s="25" t="s">
        <v>80</v>
      </c>
      <c r="B5" s="31">
        <f>B3*(1+B4)/B2+B4</f>
        <v>8.4539473684210525E-2</v>
      </c>
      <c r="C5" s="25" t="e">
        <f ca="1">getformula(B5)</f>
        <v>#NAME?</v>
      </c>
    </row>
    <row r="6" spans="1:3" x14ac:dyDescent="0.2">
      <c r="B6" s="29"/>
    </row>
    <row r="7" spans="1:3" x14ac:dyDescent="0.2">
      <c r="B7" s="29"/>
    </row>
    <row r="8" spans="1:3" x14ac:dyDescent="0.2">
      <c r="B8" s="29"/>
    </row>
    <row r="9" spans="1:3" x14ac:dyDescent="0.2">
      <c r="B9" s="29"/>
    </row>
    <row r="10" spans="1:3" x14ac:dyDescent="0.2">
      <c r="B10" s="29"/>
    </row>
    <row r="11" spans="1:3" x14ac:dyDescent="0.2">
      <c r="B11" s="29"/>
    </row>
    <row r="12" spans="1:3" x14ac:dyDescent="0.2">
      <c r="B12" s="29"/>
    </row>
  </sheetData>
  <mergeCells count="1">
    <mergeCell ref="A1:C1"/>
  </mergeCells>
  <printOptions headings="1" gridLines="1"/>
  <pageMargins left="0.75" right="0.75" top="1" bottom="1" header="0.5" footer="0.5"/>
  <pageSetup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8"/>
  <dimension ref="A1:D32"/>
  <sheetViews>
    <sheetView topLeftCell="A8" zoomScale="76" workbookViewId="0">
      <selection activeCell="I11" sqref="I11"/>
    </sheetView>
  </sheetViews>
  <sheetFormatPr defaultColWidth="8.25" defaultRowHeight="12.75" x14ac:dyDescent="0.2"/>
  <cols>
    <col min="1" max="1" width="24.25" style="1" customWidth="1"/>
    <col min="2" max="2" width="18.375" style="1" bestFit="1" customWidth="1"/>
    <col min="3" max="3" width="50.75" style="1" bestFit="1" customWidth="1"/>
    <col min="4" max="256" width="8.25" style="1"/>
    <col min="257" max="257" width="20.75" style="1" customWidth="1"/>
    <col min="258" max="258" width="15.75" style="1" bestFit="1" customWidth="1"/>
    <col min="259" max="259" width="50.75" style="1" bestFit="1" customWidth="1"/>
    <col min="260" max="512" width="8.25" style="1"/>
    <col min="513" max="513" width="20.75" style="1" customWidth="1"/>
    <col min="514" max="514" width="15.75" style="1" bestFit="1" customWidth="1"/>
    <col min="515" max="515" width="50.75" style="1" bestFit="1" customWidth="1"/>
    <col min="516" max="768" width="8.25" style="1"/>
    <col min="769" max="769" width="20.75" style="1" customWidth="1"/>
    <col min="770" max="770" width="15.75" style="1" bestFit="1" customWidth="1"/>
    <col min="771" max="771" width="50.75" style="1" bestFit="1" customWidth="1"/>
    <col min="772" max="1024" width="8.25" style="1"/>
    <col min="1025" max="1025" width="20.75" style="1" customWidth="1"/>
    <col min="1026" max="1026" width="15.75" style="1" bestFit="1" customWidth="1"/>
    <col min="1027" max="1027" width="50.75" style="1" bestFit="1" customWidth="1"/>
    <col min="1028" max="1280" width="8.25" style="1"/>
    <col min="1281" max="1281" width="20.75" style="1" customWidth="1"/>
    <col min="1282" max="1282" width="15.75" style="1" bestFit="1" customWidth="1"/>
    <col min="1283" max="1283" width="50.75" style="1" bestFit="1" customWidth="1"/>
    <col min="1284" max="1536" width="8.25" style="1"/>
    <col min="1537" max="1537" width="20.75" style="1" customWidth="1"/>
    <col min="1538" max="1538" width="15.75" style="1" bestFit="1" customWidth="1"/>
    <col min="1539" max="1539" width="50.75" style="1" bestFit="1" customWidth="1"/>
    <col min="1540" max="1792" width="8.25" style="1"/>
    <col min="1793" max="1793" width="20.75" style="1" customWidth="1"/>
    <col min="1794" max="1794" width="15.75" style="1" bestFit="1" customWidth="1"/>
    <col min="1795" max="1795" width="50.75" style="1" bestFit="1" customWidth="1"/>
    <col min="1796" max="2048" width="8.25" style="1"/>
    <col min="2049" max="2049" width="20.75" style="1" customWidth="1"/>
    <col min="2050" max="2050" width="15.75" style="1" bestFit="1" customWidth="1"/>
    <col min="2051" max="2051" width="50.75" style="1" bestFit="1" customWidth="1"/>
    <col min="2052" max="2304" width="8.25" style="1"/>
    <col min="2305" max="2305" width="20.75" style="1" customWidth="1"/>
    <col min="2306" max="2306" width="15.75" style="1" bestFit="1" customWidth="1"/>
    <col min="2307" max="2307" width="50.75" style="1" bestFit="1" customWidth="1"/>
    <col min="2308" max="2560" width="8.25" style="1"/>
    <col min="2561" max="2561" width="20.75" style="1" customWidth="1"/>
    <col min="2562" max="2562" width="15.75" style="1" bestFit="1" customWidth="1"/>
    <col min="2563" max="2563" width="50.75" style="1" bestFit="1" customWidth="1"/>
    <col min="2564" max="2816" width="8.25" style="1"/>
    <col min="2817" max="2817" width="20.75" style="1" customWidth="1"/>
    <col min="2818" max="2818" width="15.75" style="1" bestFit="1" customWidth="1"/>
    <col min="2819" max="2819" width="50.75" style="1" bestFit="1" customWidth="1"/>
    <col min="2820" max="3072" width="8.25" style="1"/>
    <col min="3073" max="3073" width="20.75" style="1" customWidth="1"/>
    <col min="3074" max="3074" width="15.75" style="1" bestFit="1" customWidth="1"/>
    <col min="3075" max="3075" width="50.75" style="1" bestFit="1" customWidth="1"/>
    <col min="3076" max="3328" width="8.25" style="1"/>
    <col min="3329" max="3329" width="20.75" style="1" customWidth="1"/>
    <col min="3330" max="3330" width="15.75" style="1" bestFit="1" customWidth="1"/>
    <col min="3331" max="3331" width="50.75" style="1" bestFit="1" customWidth="1"/>
    <col min="3332" max="3584" width="8.25" style="1"/>
    <col min="3585" max="3585" width="20.75" style="1" customWidth="1"/>
    <col min="3586" max="3586" width="15.75" style="1" bestFit="1" customWidth="1"/>
    <col min="3587" max="3587" width="50.75" style="1" bestFit="1" customWidth="1"/>
    <col min="3588" max="3840" width="8.25" style="1"/>
    <col min="3841" max="3841" width="20.75" style="1" customWidth="1"/>
    <col min="3842" max="3842" width="15.75" style="1" bestFit="1" customWidth="1"/>
    <col min="3843" max="3843" width="50.75" style="1" bestFit="1" customWidth="1"/>
    <col min="3844" max="4096" width="8.25" style="1"/>
    <col min="4097" max="4097" width="20.75" style="1" customWidth="1"/>
    <col min="4098" max="4098" width="15.75" style="1" bestFit="1" customWidth="1"/>
    <col min="4099" max="4099" width="50.75" style="1" bestFit="1" customWidth="1"/>
    <col min="4100" max="4352" width="8.25" style="1"/>
    <col min="4353" max="4353" width="20.75" style="1" customWidth="1"/>
    <col min="4354" max="4354" width="15.75" style="1" bestFit="1" customWidth="1"/>
    <col min="4355" max="4355" width="50.75" style="1" bestFit="1" customWidth="1"/>
    <col min="4356" max="4608" width="8.25" style="1"/>
    <col min="4609" max="4609" width="20.75" style="1" customWidth="1"/>
    <col min="4610" max="4610" width="15.75" style="1" bestFit="1" customWidth="1"/>
    <col min="4611" max="4611" width="50.75" style="1" bestFit="1" customWidth="1"/>
    <col min="4612" max="4864" width="8.25" style="1"/>
    <col min="4865" max="4865" width="20.75" style="1" customWidth="1"/>
    <col min="4866" max="4866" width="15.75" style="1" bestFit="1" customWidth="1"/>
    <col min="4867" max="4867" width="50.75" style="1" bestFit="1" customWidth="1"/>
    <col min="4868" max="5120" width="8.25" style="1"/>
    <col min="5121" max="5121" width="20.75" style="1" customWidth="1"/>
    <col min="5122" max="5122" width="15.75" style="1" bestFit="1" customWidth="1"/>
    <col min="5123" max="5123" width="50.75" style="1" bestFit="1" customWidth="1"/>
    <col min="5124" max="5376" width="8.25" style="1"/>
    <col min="5377" max="5377" width="20.75" style="1" customWidth="1"/>
    <col min="5378" max="5378" width="15.75" style="1" bestFit="1" customWidth="1"/>
    <col min="5379" max="5379" width="50.75" style="1" bestFit="1" customWidth="1"/>
    <col min="5380" max="5632" width="8.25" style="1"/>
    <col min="5633" max="5633" width="20.75" style="1" customWidth="1"/>
    <col min="5634" max="5634" width="15.75" style="1" bestFit="1" customWidth="1"/>
    <col min="5635" max="5635" width="50.75" style="1" bestFit="1" customWidth="1"/>
    <col min="5636" max="5888" width="8.25" style="1"/>
    <col min="5889" max="5889" width="20.75" style="1" customWidth="1"/>
    <col min="5890" max="5890" width="15.75" style="1" bestFit="1" customWidth="1"/>
    <col min="5891" max="5891" width="50.75" style="1" bestFit="1" customWidth="1"/>
    <col min="5892" max="6144" width="8.25" style="1"/>
    <col min="6145" max="6145" width="20.75" style="1" customWidth="1"/>
    <col min="6146" max="6146" width="15.75" style="1" bestFit="1" customWidth="1"/>
    <col min="6147" max="6147" width="50.75" style="1" bestFit="1" customWidth="1"/>
    <col min="6148" max="6400" width="8.25" style="1"/>
    <col min="6401" max="6401" width="20.75" style="1" customWidth="1"/>
    <col min="6402" max="6402" width="15.75" style="1" bestFit="1" customWidth="1"/>
    <col min="6403" max="6403" width="50.75" style="1" bestFit="1" customWidth="1"/>
    <col min="6404" max="6656" width="8.25" style="1"/>
    <col min="6657" max="6657" width="20.75" style="1" customWidth="1"/>
    <col min="6658" max="6658" width="15.75" style="1" bestFit="1" customWidth="1"/>
    <col min="6659" max="6659" width="50.75" style="1" bestFit="1" customWidth="1"/>
    <col min="6660" max="6912" width="8.25" style="1"/>
    <col min="6913" max="6913" width="20.75" style="1" customWidth="1"/>
    <col min="6914" max="6914" width="15.75" style="1" bestFit="1" customWidth="1"/>
    <col min="6915" max="6915" width="50.75" style="1" bestFit="1" customWidth="1"/>
    <col min="6916" max="7168" width="8.25" style="1"/>
    <col min="7169" max="7169" width="20.75" style="1" customWidth="1"/>
    <col min="7170" max="7170" width="15.75" style="1" bestFit="1" customWidth="1"/>
    <col min="7171" max="7171" width="50.75" style="1" bestFit="1" customWidth="1"/>
    <col min="7172" max="7424" width="8.25" style="1"/>
    <col min="7425" max="7425" width="20.75" style="1" customWidth="1"/>
    <col min="7426" max="7426" width="15.75" style="1" bestFit="1" customWidth="1"/>
    <col min="7427" max="7427" width="50.75" style="1" bestFit="1" customWidth="1"/>
    <col min="7428" max="7680" width="8.25" style="1"/>
    <col min="7681" max="7681" width="20.75" style="1" customWidth="1"/>
    <col min="7682" max="7682" width="15.75" style="1" bestFit="1" customWidth="1"/>
    <col min="7683" max="7683" width="50.75" style="1" bestFit="1" customWidth="1"/>
    <col min="7684" max="7936" width="8.25" style="1"/>
    <col min="7937" max="7937" width="20.75" style="1" customWidth="1"/>
    <col min="7938" max="7938" width="15.75" style="1" bestFit="1" customWidth="1"/>
    <col min="7939" max="7939" width="50.75" style="1" bestFit="1" customWidth="1"/>
    <col min="7940" max="8192" width="8.25" style="1"/>
    <col min="8193" max="8193" width="20.75" style="1" customWidth="1"/>
    <col min="8194" max="8194" width="15.75" style="1" bestFit="1" customWidth="1"/>
    <col min="8195" max="8195" width="50.75" style="1" bestFit="1" customWidth="1"/>
    <col min="8196" max="8448" width="8.25" style="1"/>
    <col min="8449" max="8449" width="20.75" style="1" customWidth="1"/>
    <col min="8450" max="8450" width="15.75" style="1" bestFit="1" customWidth="1"/>
    <col min="8451" max="8451" width="50.75" style="1" bestFit="1" customWidth="1"/>
    <col min="8452" max="8704" width="8.25" style="1"/>
    <col min="8705" max="8705" width="20.75" style="1" customWidth="1"/>
    <col min="8706" max="8706" width="15.75" style="1" bestFit="1" customWidth="1"/>
    <col min="8707" max="8707" width="50.75" style="1" bestFit="1" customWidth="1"/>
    <col min="8708" max="8960" width="8.25" style="1"/>
    <col min="8961" max="8961" width="20.75" style="1" customWidth="1"/>
    <col min="8962" max="8962" width="15.75" style="1" bestFit="1" customWidth="1"/>
    <col min="8963" max="8963" width="50.75" style="1" bestFit="1" customWidth="1"/>
    <col min="8964" max="9216" width="8.25" style="1"/>
    <col min="9217" max="9217" width="20.75" style="1" customWidth="1"/>
    <col min="9218" max="9218" width="15.75" style="1" bestFit="1" customWidth="1"/>
    <col min="9219" max="9219" width="50.75" style="1" bestFit="1" customWidth="1"/>
    <col min="9220" max="9472" width="8.25" style="1"/>
    <col min="9473" max="9473" width="20.75" style="1" customWidth="1"/>
    <col min="9474" max="9474" width="15.75" style="1" bestFit="1" customWidth="1"/>
    <col min="9475" max="9475" width="50.75" style="1" bestFit="1" customWidth="1"/>
    <col min="9476" max="9728" width="8.25" style="1"/>
    <col min="9729" max="9729" width="20.75" style="1" customWidth="1"/>
    <col min="9730" max="9730" width="15.75" style="1" bestFit="1" customWidth="1"/>
    <col min="9731" max="9731" width="50.75" style="1" bestFit="1" customWidth="1"/>
    <col min="9732" max="9984" width="8.25" style="1"/>
    <col min="9985" max="9985" width="20.75" style="1" customWidth="1"/>
    <col min="9986" max="9986" width="15.75" style="1" bestFit="1" customWidth="1"/>
    <col min="9987" max="9987" width="50.75" style="1" bestFit="1" customWidth="1"/>
    <col min="9988" max="10240" width="8.25" style="1"/>
    <col min="10241" max="10241" width="20.75" style="1" customWidth="1"/>
    <col min="10242" max="10242" width="15.75" style="1" bestFit="1" customWidth="1"/>
    <col min="10243" max="10243" width="50.75" style="1" bestFit="1" customWidth="1"/>
    <col min="10244" max="10496" width="8.25" style="1"/>
    <col min="10497" max="10497" width="20.75" style="1" customWidth="1"/>
    <col min="10498" max="10498" width="15.75" style="1" bestFit="1" customWidth="1"/>
    <col min="10499" max="10499" width="50.75" style="1" bestFit="1" customWidth="1"/>
    <col min="10500" max="10752" width="8.25" style="1"/>
    <col min="10753" max="10753" width="20.75" style="1" customWidth="1"/>
    <col min="10754" max="10754" width="15.75" style="1" bestFit="1" customWidth="1"/>
    <col min="10755" max="10755" width="50.75" style="1" bestFit="1" customWidth="1"/>
    <col min="10756" max="11008" width="8.25" style="1"/>
    <col min="11009" max="11009" width="20.75" style="1" customWidth="1"/>
    <col min="11010" max="11010" width="15.75" style="1" bestFit="1" customWidth="1"/>
    <col min="11011" max="11011" width="50.75" style="1" bestFit="1" customWidth="1"/>
    <col min="11012" max="11264" width="8.25" style="1"/>
    <col min="11265" max="11265" width="20.75" style="1" customWidth="1"/>
    <col min="11266" max="11266" width="15.75" style="1" bestFit="1" customWidth="1"/>
    <col min="11267" max="11267" width="50.75" style="1" bestFit="1" customWidth="1"/>
    <col min="11268" max="11520" width="8.25" style="1"/>
    <col min="11521" max="11521" width="20.75" style="1" customWidth="1"/>
    <col min="11522" max="11522" width="15.75" style="1" bestFit="1" customWidth="1"/>
    <col min="11523" max="11523" width="50.75" style="1" bestFit="1" customWidth="1"/>
    <col min="11524" max="11776" width="8.25" style="1"/>
    <col min="11777" max="11777" width="20.75" style="1" customWidth="1"/>
    <col min="11778" max="11778" width="15.75" style="1" bestFit="1" customWidth="1"/>
    <col min="11779" max="11779" width="50.75" style="1" bestFit="1" customWidth="1"/>
    <col min="11780" max="12032" width="8.25" style="1"/>
    <col min="12033" max="12033" width="20.75" style="1" customWidth="1"/>
    <col min="12034" max="12034" width="15.75" style="1" bestFit="1" customWidth="1"/>
    <col min="12035" max="12035" width="50.75" style="1" bestFit="1" customWidth="1"/>
    <col min="12036" max="12288" width="8.25" style="1"/>
    <col min="12289" max="12289" width="20.75" style="1" customWidth="1"/>
    <col min="12290" max="12290" width="15.75" style="1" bestFit="1" customWidth="1"/>
    <col min="12291" max="12291" width="50.75" style="1" bestFit="1" customWidth="1"/>
    <col min="12292" max="12544" width="8.25" style="1"/>
    <col min="12545" max="12545" width="20.75" style="1" customWidth="1"/>
    <col min="12546" max="12546" width="15.75" style="1" bestFit="1" customWidth="1"/>
    <col min="12547" max="12547" width="50.75" style="1" bestFit="1" customWidth="1"/>
    <col min="12548" max="12800" width="8.25" style="1"/>
    <col min="12801" max="12801" width="20.75" style="1" customWidth="1"/>
    <col min="12802" max="12802" width="15.75" style="1" bestFit="1" customWidth="1"/>
    <col min="12803" max="12803" width="50.75" style="1" bestFit="1" customWidth="1"/>
    <col min="12804" max="13056" width="8.25" style="1"/>
    <col min="13057" max="13057" width="20.75" style="1" customWidth="1"/>
    <col min="13058" max="13058" width="15.75" style="1" bestFit="1" customWidth="1"/>
    <col min="13059" max="13059" width="50.75" style="1" bestFit="1" customWidth="1"/>
    <col min="13060" max="13312" width="8.25" style="1"/>
    <col min="13313" max="13313" width="20.75" style="1" customWidth="1"/>
    <col min="13314" max="13314" width="15.75" style="1" bestFit="1" customWidth="1"/>
    <col min="13315" max="13315" width="50.75" style="1" bestFit="1" customWidth="1"/>
    <col min="13316" max="13568" width="8.25" style="1"/>
    <col min="13569" max="13569" width="20.75" style="1" customWidth="1"/>
    <col min="13570" max="13570" width="15.75" style="1" bestFit="1" customWidth="1"/>
    <col min="13571" max="13571" width="50.75" style="1" bestFit="1" customWidth="1"/>
    <col min="13572" max="13824" width="8.25" style="1"/>
    <col min="13825" max="13825" width="20.75" style="1" customWidth="1"/>
    <col min="13826" max="13826" width="15.75" style="1" bestFit="1" customWidth="1"/>
    <col min="13827" max="13827" width="50.75" style="1" bestFit="1" customWidth="1"/>
    <col min="13828" max="14080" width="8.25" style="1"/>
    <col min="14081" max="14081" width="20.75" style="1" customWidth="1"/>
    <col min="14082" max="14082" width="15.75" style="1" bestFit="1" customWidth="1"/>
    <col min="14083" max="14083" width="50.75" style="1" bestFit="1" customWidth="1"/>
    <col min="14084" max="14336" width="8.25" style="1"/>
    <col min="14337" max="14337" width="20.75" style="1" customWidth="1"/>
    <col min="14338" max="14338" width="15.75" style="1" bestFit="1" customWidth="1"/>
    <col min="14339" max="14339" width="50.75" style="1" bestFit="1" customWidth="1"/>
    <col min="14340" max="14592" width="8.25" style="1"/>
    <col min="14593" max="14593" width="20.75" style="1" customWidth="1"/>
    <col min="14594" max="14594" width="15.75" style="1" bestFit="1" customWidth="1"/>
    <col min="14595" max="14595" width="50.75" style="1" bestFit="1" customWidth="1"/>
    <col min="14596" max="14848" width="8.25" style="1"/>
    <col min="14849" max="14849" width="20.75" style="1" customWidth="1"/>
    <col min="14850" max="14850" width="15.75" style="1" bestFit="1" customWidth="1"/>
    <col min="14851" max="14851" width="50.75" style="1" bestFit="1" customWidth="1"/>
    <col min="14852" max="15104" width="8.25" style="1"/>
    <col min="15105" max="15105" width="20.75" style="1" customWidth="1"/>
    <col min="15106" max="15106" width="15.75" style="1" bestFit="1" customWidth="1"/>
    <col min="15107" max="15107" width="50.75" style="1" bestFit="1" customWidth="1"/>
    <col min="15108" max="15360" width="8.25" style="1"/>
    <col min="15361" max="15361" width="20.75" style="1" customWidth="1"/>
    <col min="15362" max="15362" width="15.75" style="1" bestFit="1" customWidth="1"/>
    <col min="15363" max="15363" width="50.75" style="1" bestFit="1" customWidth="1"/>
    <col min="15364" max="15616" width="8.25" style="1"/>
    <col min="15617" max="15617" width="20.75" style="1" customWidth="1"/>
    <col min="15618" max="15618" width="15.75" style="1" bestFit="1" customWidth="1"/>
    <col min="15619" max="15619" width="50.75" style="1" bestFit="1" customWidth="1"/>
    <col min="15620" max="15872" width="8.25" style="1"/>
    <col min="15873" max="15873" width="20.75" style="1" customWidth="1"/>
    <col min="15874" max="15874" width="15.75" style="1" bestFit="1" customWidth="1"/>
    <col min="15875" max="15875" width="50.75" style="1" bestFit="1" customWidth="1"/>
    <col min="15876" max="16128" width="8.25" style="1"/>
    <col min="16129" max="16129" width="20.75" style="1" customWidth="1"/>
    <col min="16130" max="16130" width="15.75" style="1" bestFit="1" customWidth="1"/>
    <col min="16131" max="16131" width="50.75" style="1" bestFit="1" customWidth="1"/>
    <col min="16132" max="16384" width="8.25" style="1"/>
  </cols>
  <sheetData>
    <row r="1" spans="1:3" ht="18" x14ac:dyDescent="0.25">
      <c r="A1" s="439" t="s">
        <v>12</v>
      </c>
      <c r="B1" s="439"/>
      <c r="C1" s="439"/>
    </row>
    <row r="2" spans="1:3" x14ac:dyDescent="0.2">
      <c r="A2" s="1" t="s">
        <v>0</v>
      </c>
      <c r="B2" s="12">
        <v>3.04</v>
      </c>
      <c r="C2" s="1" t="s">
        <v>16</v>
      </c>
    </row>
    <row r="3" spans="1:3" x14ac:dyDescent="0.2">
      <c r="A3" s="1" t="s">
        <v>15</v>
      </c>
      <c r="B3" s="12">
        <v>41.75</v>
      </c>
    </row>
    <row r="4" spans="1:3" x14ac:dyDescent="0.2">
      <c r="A4" s="1" t="s">
        <v>1</v>
      </c>
      <c r="B4" s="12">
        <f>B2*B3</f>
        <v>126.92</v>
      </c>
      <c r="C4" s="1" t="e">
        <f ca="1">getformula(B4)</f>
        <v>#NAME?</v>
      </c>
    </row>
    <row r="5" spans="1:3" ht="13.15" customHeight="1" x14ac:dyDescent="0.2">
      <c r="A5" s="1" t="s">
        <v>2</v>
      </c>
      <c r="B5" s="12">
        <v>2.59</v>
      </c>
      <c r="C5" s="1" t="s">
        <v>16</v>
      </c>
    </row>
    <row r="6" spans="1:3" ht="15.75" x14ac:dyDescent="0.3">
      <c r="A6" s="1" t="s">
        <v>5</v>
      </c>
      <c r="B6" s="4">
        <f>'Tax adjusted CAPM'!B3</f>
        <v>0.37900208804593699</v>
      </c>
      <c r="C6" s="1" t="e">
        <f ca="1">getformula(B6)</f>
        <v>#NAME?</v>
      </c>
    </row>
    <row r="7" spans="1:3" ht="15.75" x14ac:dyDescent="0.3">
      <c r="A7" s="1" t="s">
        <v>4</v>
      </c>
      <c r="B7" s="4">
        <v>4.2299999999999997E-2</v>
      </c>
      <c r="C7" s="1" t="e">
        <f ca="1">getformula(B7)</f>
        <v>#NAME?</v>
      </c>
    </row>
    <row r="8" spans="1:3" ht="15.6" customHeight="1" x14ac:dyDescent="0.3">
      <c r="A8" s="1" t="s">
        <v>13</v>
      </c>
      <c r="B8" s="17">
        <f>'E(rm) via Market Multiple'!B5</f>
        <v>8.4539473684210525E-2</v>
      </c>
      <c r="C8" s="1" t="e">
        <f ca="1">getformula(B8)</f>
        <v>#NAME?</v>
      </c>
    </row>
    <row r="9" spans="1:3" ht="15.75" x14ac:dyDescent="0.3">
      <c r="A9" s="1" t="s">
        <v>539</v>
      </c>
      <c r="B9" s="17">
        <f>'CAPM less assumptions'!B5</f>
        <v>0.02</v>
      </c>
    </row>
    <row r="10" spans="1:3" x14ac:dyDescent="0.2">
      <c r="A10" s="1" t="s">
        <v>14</v>
      </c>
      <c r="B10" s="116">
        <f>'Beta via S&amp;P 500'!B3</f>
        <v>0.64350288539150746</v>
      </c>
      <c r="C10" s="1" t="e">
        <f ca="1">getformula(B10)</f>
        <v>#NAME?</v>
      </c>
    </row>
    <row r="12" spans="1:3" x14ac:dyDescent="0.2">
      <c r="A12" s="3" t="s">
        <v>8</v>
      </c>
    </row>
    <row r="13" spans="1:3" x14ac:dyDescent="0.2">
      <c r="A13" s="11" t="s">
        <v>29</v>
      </c>
      <c r="B13" s="75">
        <f>4*'Growth Rate via Dividends'!B43</f>
        <v>1.68</v>
      </c>
      <c r="C13" s="1" t="e">
        <f ca="1">getformula(B13)</f>
        <v>#NAME?</v>
      </c>
    </row>
    <row r="14" spans="1:3" x14ac:dyDescent="0.2">
      <c r="A14" s="11" t="s">
        <v>30</v>
      </c>
      <c r="B14" s="24">
        <f>'Growth Rate via Dividends'!E9</f>
        <v>2.0218369075211351E-2</v>
      </c>
      <c r="C14" s="1" t="e">
        <f ca="1">getformula(B14)</f>
        <v>#NAME?</v>
      </c>
    </row>
    <row r="15" spans="1:3" ht="15.75" x14ac:dyDescent="0.3">
      <c r="A15" s="1" t="s">
        <v>3</v>
      </c>
      <c r="B15" s="4">
        <f>B13*(1+B14)/B3+B14</f>
        <v>6.1271467519435421E-2</v>
      </c>
      <c r="C15" s="1" t="e">
        <f ca="1">getformula(B15)</f>
        <v>#NAME?</v>
      </c>
    </row>
    <row r="16" spans="1:3" x14ac:dyDescent="0.2">
      <c r="A16" s="5" t="s">
        <v>6</v>
      </c>
      <c r="B16" s="6">
        <f>B15*$B$4/($B$4+$B$5)+B7*(1-$B$6)*$B$5/($B$4+$B$5)</f>
        <v>6.0571456457468115E-2</v>
      </c>
      <c r="C16" s="1" t="e">
        <f ca="1">getformula(B16)</f>
        <v>#NAME?</v>
      </c>
    </row>
    <row r="17" spans="1:4" x14ac:dyDescent="0.2">
      <c r="A17" s="7"/>
      <c r="B17" s="8"/>
    </row>
    <row r="18" spans="1:4" x14ac:dyDescent="0.2">
      <c r="A18" s="3" t="s">
        <v>9</v>
      </c>
    </row>
    <row r="19" spans="1:4" x14ac:dyDescent="0.2">
      <c r="A19" s="11" t="s">
        <v>31</v>
      </c>
      <c r="B19" s="2">
        <f>'Cost of Equity via Payouts'!E7</f>
        <v>6418</v>
      </c>
      <c r="C19" s="1" t="e">
        <f ca="1">getformula(B19)</f>
        <v>#NAME?</v>
      </c>
    </row>
    <row r="20" spans="1:4" x14ac:dyDescent="0.2">
      <c r="A20" s="11" t="s">
        <v>30</v>
      </c>
      <c r="B20" s="4">
        <f>'Cost of Equity via Payouts'!B9</f>
        <v>0.13713589966372908</v>
      </c>
      <c r="C20" s="1" t="e">
        <f ca="1">getformula(B20)</f>
        <v>#NAME?</v>
      </c>
    </row>
    <row r="21" spans="1:4" ht="15.75" x14ac:dyDescent="0.3">
      <c r="A21" s="1" t="s">
        <v>3</v>
      </c>
      <c r="B21" s="4">
        <f>'Gordon Two Stage'!F20</f>
        <v>0.11198806762695313</v>
      </c>
      <c r="C21" s="1" t="e">
        <f ca="1">getformula(B21)</f>
        <v>#NAME?</v>
      </c>
      <c r="D21" s="1" t="s">
        <v>570</v>
      </c>
    </row>
    <row r="22" spans="1:4" x14ac:dyDescent="0.2">
      <c r="A22" s="5" t="s">
        <v>6</v>
      </c>
      <c r="B22" s="6">
        <f>B21*$B$4/($B$4+$B$5)+B13*(1-$B$6)*$B$5/($B$4+$B$5)</f>
        <v>0.13061239794384533</v>
      </c>
      <c r="C22" s="1" t="e">
        <f ca="1">getformula(B22)</f>
        <v>#NAME?</v>
      </c>
    </row>
    <row r="23" spans="1:4" x14ac:dyDescent="0.2">
      <c r="A23" s="7"/>
      <c r="B23" s="8"/>
    </row>
    <row r="24" spans="1:4" x14ac:dyDescent="0.2">
      <c r="A24" s="3" t="s">
        <v>10</v>
      </c>
    </row>
    <row r="25" spans="1:4" ht="15.75" x14ac:dyDescent="0.3">
      <c r="A25" s="1" t="s">
        <v>3</v>
      </c>
      <c r="B25" s="4">
        <f>B9+B10*(B8-B9)</f>
        <v>6.1531337537438738E-2</v>
      </c>
      <c r="C25" s="1" t="e">
        <f ca="1">getformula(B25)</f>
        <v>#NAME?</v>
      </c>
    </row>
    <row r="26" spans="1:4" x14ac:dyDescent="0.2">
      <c r="A26" s="5" t="s">
        <v>6</v>
      </c>
      <c r="B26" s="6">
        <f>B25*$B$4/($B$4+$B$5)+B17*(1-$B$6)*$B$5/($B$4+$B$5)</f>
        <v>6.0300805808445102E-2</v>
      </c>
      <c r="C26" s="1" t="e">
        <f ca="1">getformula(B26)</f>
        <v>#NAME?</v>
      </c>
    </row>
    <row r="28" spans="1:4" x14ac:dyDescent="0.2">
      <c r="A28" s="3" t="s">
        <v>11</v>
      </c>
    </row>
    <row r="29" spans="1:4" ht="15.75" x14ac:dyDescent="0.3">
      <c r="A29" s="1" t="s">
        <v>3</v>
      </c>
      <c r="B29" s="164">
        <f>B9*(1-B6)+B10*(B8-B9*(1-B6))</f>
        <v>5.882907452105933E-2</v>
      </c>
      <c r="C29" s="1" t="e">
        <f ca="1">getformula(B29)</f>
        <v>#NAME?</v>
      </c>
    </row>
    <row r="30" spans="1:4" x14ac:dyDescent="0.2">
      <c r="A30" s="5" t="s">
        <v>6</v>
      </c>
      <c r="B30" s="6">
        <f>B29*$B$4/($B$4+$B$5)+B21*(1-$B$6)*$B$5/($B$4+$B$5)</f>
        <v>5.9043363606420596E-2</v>
      </c>
      <c r="C30" s="1" t="e">
        <f ca="1">getformula(B30)</f>
        <v>#NAME?</v>
      </c>
    </row>
    <row r="32" spans="1:4" x14ac:dyDescent="0.2">
      <c r="A32" s="9" t="s">
        <v>7</v>
      </c>
      <c r="B32" s="10">
        <f>AVERAGE(B16,B26,B30)</f>
        <v>5.9971875290777937E-2</v>
      </c>
      <c r="C32" s="1" t="e">
        <f ca="1">getformula(B32)</f>
        <v>#NAME?</v>
      </c>
    </row>
  </sheetData>
  <mergeCells count="1">
    <mergeCell ref="A1:C1"/>
  </mergeCells>
  <printOptions headings="1" gridLines="1"/>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7"/>
  <dimension ref="A1:C1106"/>
  <sheetViews>
    <sheetView workbookViewId="0"/>
  </sheetViews>
  <sheetFormatPr defaultRowHeight="14.25" x14ac:dyDescent="0.2"/>
  <cols>
    <col min="1" max="1" width="19" customWidth="1"/>
    <col min="2" max="2" width="9" bestFit="1" customWidth="1"/>
    <col min="3" max="3" width="42.125" bestFit="1" customWidth="1"/>
  </cols>
  <sheetData>
    <row r="1" spans="1:3" x14ac:dyDescent="0.2">
      <c r="A1" t="s">
        <v>49</v>
      </c>
    </row>
    <row r="2" spans="1:3" x14ac:dyDescent="0.2">
      <c r="A2" t="s">
        <v>50</v>
      </c>
      <c r="C2" t="s">
        <v>51</v>
      </c>
    </row>
    <row r="3" spans="1:3" x14ac:dyDescent="0.2">
      <c r="A3" t="s">
        <v>52</v>
      </c>
      <c r="C3" t="s">
        <v>53</v>
      </c>
    </row>
    <row r="4" spans="1:3" x14ac:dyDescent="0.2">
      <c r="A4" t="s">
        <v>54</v>
      </c>
      <c r="C4" t="s">
        <v>55</v>
      </c>
    </row>
    <row r="5" spans="1:3" x14ac:dyDescent="0.2">
      <c r="A5" t="s">
        <v>56</v>
      </c>
      <c r="C5" t="s">
        <v>57</v>
      </c>
    </row>
    <row r="6" spans="1:3" x14ac:dyDescent="0.2">
      <c r="A6" t="s">
        <v>58</v>
      </c>
      <c r="C6" t="s">
        <v>59</v>
      </c>
    </row>
    <row r="7" spans="1:3" x14ac:dyDescent="0.2">
      <c r="A7" t="s">
        <v>60</v>
      </c>
      <c r="C7" t="s">
        <v>61</v>
      </c>
    </row>
    <row r="8" spans="1:3" x14ac:dyDescent="0.2">
      <c r="A8" t="s">
        <v>62</v>
      </c>
      <c r="C8" t="s">
        <v>63</v>
      </c>
    </row>
    <row r="9" spans="1:3" x14ac:dyDescent="0.2">
      <c r="A9" t="s">
        <v>64</v>
      </c>
      <c r="C9" t="s">
        <v>65</v>
      </c>
    </row>
    <row r="10" spans="1:3" x14ac:dyDescent="0.2">
      <c r="A10" t="s">
        <v>66</v>
      </c>
      <c r="C10" t="s">
        <v>67</v>
      </c>
    </row>
    <row r="11" spans="1:3" x14ac:dyDescent="0.2">
      <c r="A11" t="s">
        <v>68</v>
      </c>
      <c r="C11" t="s">
        <v>69</v>
      </c>
    </row>
    <row r="13" spans="1:3" x14ac:dyDescent="0.2">
      <c r="A13" t="s">
        <v>70</v>
      </c>
      <c r="B13" t="s">
        <v>71</v>
      </c>
    </row>
    <row r="14" spans="1:3" x14ac:dyDescent="0.2">
      <c r="A14" s="21">
        <v>12420</v>
      </c>
      <c r="B14" s="58">
        <v>0.72</v>
      </c>
    </row>
    <row r="15" spans="1:3" x14ac:dyDescent="0.2">
      <c r="A15" s="21">
        <v>12451</v>
      </c>
      <c r="B15" s="58">
        <v>0.62</v>
      </c>
    </row>
    <row r="16" spans="1:3" x14ac:dyDescent="0.2">
      <c r="A16" s="21">
        <v>12479</v>
      </c>
      <c r="B16" s="58">
        <v>0.24</v>
      </c>
    </row>
    <row r="17" spans="1:2" x14ac:dyDescent="0.2">
      <c r="A17" s="21">
        <v>12510</v>
      </c>
      <c r="B17" s="58">
        <v>0.15</v>
      </c>
    </row>
    <row r="18" spans="1:2" x14ac:dyDescent="0.2">
      <c r="A18" s="21">
        <v>12540</v>
      </c>
      <c r="B18" s="58">
        <v>0.16</v>
      </c>
    </row>
    <row r="19" spans="1:2" x14ac:dyDescent="0.2">
      <c r="A19" s="21">
        <v>12571</v>
      </c>
      <c r="B19" s="58">
        <v>0.15</v>
      </c>
    </row>
    <row r="20" spans="1:2" x14ac:dyDescent="0.2">
      <c r="A20" s="21">
        <v>12601</v>
      </c>
      <c r="B20" s="58">
        <v>0.15</v>
      </c>
    </row>
    <row r="21" spans="1:2" x14ac:dyDescent="0.2">
      <c r="A21" s="21">
        <v>12632</v>
      </c>
      <c r="B21" s="58">
        <v>0.19</v>
      </c>
    </row>
    <row r="22" spans="1:2" x14ac:dyDescent="0.2">
      <c r="A22" s="21">
        <v>12663</v>
      </c>
      <c r="B22" s="58">
        <v>0.21</v>
      </c>
    </row>
    <row r="23" spans="1:2" x14ac:dyDescent="0.2">
      <c r="A23" s="21">
        <v>12693</v>
      </c>
      <c r="B23" s="58">
        <v>0.27</v>
      </c>
    </row>
    <row r="24" spans="1:2" x14ac:dyDescent="0.2">
      <c r="A24" s="21">
        <v>12724</v>
      </c>
      <c r="B24" s="58">
        <v>0.25</v>
      </c>
    </row>
    <row r="25" spans="1:2" x14ac:dyDescent="0.2">
      <c r="A25" s="21">
        <v>12754</v>
      </c>
      <c r="B25" s="58">
        <v>0.23</v>
      </c>
    </row>
    <row r="26" spans="1:2" x14ac:dyDescent="0.2">
      <c r="A26" s="21">
        <v>12785</v>
      </c>
      <c r="B26" s="58">
        <v>0.2</v>
      </c>
    </row>
    <row r="27" spans="1:2" x14ac:dyDescent="0.2">
      <c r="A27" s="21">
        <v>12816</v>
      </c>
      <c r="B27" s="58">
        <v>0.19</v>
      </c>
    </row>
    <row r="28" spans="1:2" x14ac:dyDescent="0.2">
      <c r="A28" s="21">
        <v>12844</v>
      </c>
      <c r="B28" s="58">
        <v>0.15</v>
      </c>
    </row>
    <row r="29" spans="1:2" x14ac:dyDescent="0.2">
      <c r="A29" s="21">
        <v>12875</v>
      </c>
      <c r="B29" s="58">
        <v>0.15</v>
      </c>
    </row>
    <row r="30" spans="1:2" x14ac:dyDescent="0.2">
      <c r="A30" s="21">
        <v>12905</v>
      </c>
      <c r="B30" s="58">
        <v>0.15</v>
      </c>
    </row>
    <row r="31" spans="1:2" x14ac:dyDescent="0.2">
      <c r="A31" s="21">
        <v>12936</v>
      </c>
      <c r="B31" s="58">
        <v>0.15</v>
      </c>
    </row>
    <row r="32" spans="1:2" x14ac:dyDescent="0.2">
      <c r="A32" s="21">
        <v>12966</v>
      </c>
      <c r="B32" s="58">
        <v>0.15</v>
      </c>
    </row>
    <row r="33" spans="1:2" x14ac:dyDescent="0.2">
      <c r="A33" s="21">
        <v>12997</v>
      </c>
      <c r="B33" s="58">
        <v>0.16</v>
      </c>
    </row>
    <row r="34" spans="1:2" x14ac:dyDescent="0.2">
      <c r="A34" s="21">
        <v>13028</v>
      </c>
      <c r="B34" s="58">
        <v>0.2</v>
      </c>
    </row>
    <row r="35" spans="1:2" x14ac:dyDescent="0.2">
      <c r="A35" s="21">
        <v>13058</v>
      </c>
      <c r="B35" s="58">
        <v>0.2</v>
      </c>
    </row>
    <row r="36" spans="1:2" x14ac:dyDescent="0.2">
      <c r="A36" s="21">
        <v>13089</v>
      </c>
      <c r="B36" s="58">
        <v>0.16</v>
      </c>
    </row>
    <row r="37" spans="1:2" x14ac:dyDescent="0.2">
      <c r="A37" s="21">
        <v>13119</v>
      </c>
      <c r="B37" s="58">
        <v>0.15</v>
      </c>
    </row>
    <row r="38" spans="1:2" x14ac:dyDescent="0.2">
      <c r="A38" s="21">
        <v>13150</v>
      </c>
      <c r="B38" s="58">
        <v>0.2</v>
      </c>
    </row>
    <row r="39" spans="1:2" x14ac:dyDescent="0.2">
      <c r="A39" s="21">
        <v>13181</v>
      </c>
      <c r="B39" s="58">
        <v>0.2</v>
      </c>
    </row>
    <row r="40" spans="1:2" x14ac:dyDescent="0.2">
      <c r="A40" s="21">
        <v>13210</v>
      </c>
      <c r="B40" s="58">
        <v>0.2</v>
      </c>
    </row>
    <row r="41" spans="1:2" x14ac:dyDescent="0.2">
      <c r="A41" s="21">
        <v>13241</v>
      </c>
      <c r="B41" s="58">
        <v>0.2</v>
      </c>
    </row>
    <row r="42" spans="1:2" x14ac:dyDescent="0.2">
      <c r="A42" s="21">
        <v>13271</v>
      </c>
      <c r="B42" s="58">
        <v>0.2</v>
      </c>
    </row>
    <row r="43" spans="1:2" x14ac:dyDescent="0.2">
      <c r="A43" s="21">
        <v>13302</v>
      </c>
      <c r="B43" s="58">
        <v>0.2</v>
      </c>
    </row>
    <row r="44" spans="1:2" x14ac:dyDescent="0.2">
      <c r="A44" s="21">
        <v>13332</v>
      </c>
      <c r="B44" s="58">
        <v>0.15</v>
      </c>
    </row>
    <row r="45" spans="1:2" x14ac:dyDescent="0.2">
      <c r="A45" s="21">
        <v>13363</v>
      </c>
      <c r="B45" s="58">
        <v>0.2</v>
      </c>
    </row>
    <row r="46" spans="1:2" x14ac:dyDescent="0.2">
      <c r="A46" s="21">
        <v>13394</v>
      </c>
      <c r="B46" s="58">
        <v>0.16</v>
      </c>
    </row>
    <row r="47" spans="1:2" x14ac:dyDescent="0.2">
      <c r="A47" s="21">
        <v>13424</v>
      </c>
      <c r="B47" s="58">
        <v>0.13</v>
      </c>
    </row>
    <row r="48" spans="1:2" x14ac:dyDescent="0.2">
      <c r="A48" s="21">
        <v>13455</v>
      </c>
      <c r="B48" s="58">
        <v>0.11</v>
      </c>
    </row>
    <row r="49" spans="1:2" x14ac:dyDescent="0.2">
      <c r="A49" s="21">
        <v>13485</v>
      </c>
      <c r="B49" s="58">
        <v>0.12</v>
      </c>
    </row>
    <row r="50" spans="1:2" x14ac:dyDescent="0.2">
      <c r="A50" s="21">
        <v>13516</v>
      </c>
      <c r="B50" s="58">
        <v>0.17</v>
      </c>
    </row>
    <row r="51" spans="1:2" x14ac:dyDescent="0.2">
      <c r="A51" s="21">
        <v>13547</v>
      </c>
      <c r="B51" s="58">
        <v>0.15</v>
      </c>
    </row>
    <row r="52" spans="1:2" x14ac:dyDescent="0.2">
      <c r="A52" s="21">
        <v>13575</v>
      </c>
      <c r="B52" s="58">
        <v>0.38</v>
      </c>
    </row>
    <row r="53" spans="1:2" x14ac:dyDescent="0.2">
      <c r="A53" s="21">
        <v>13606</v>
      </c>
      <c r="B53" s="58">
        <v>0.56000000000000005</v>
      </c>
    </row>
    <row r="54" spans="1:2" x14ac:dyDescent="0.2">
      <c r="A54" s="21">
        <v>13636</v>
      </c>
      <c r="B54" s="58">
        <v>0.41</v>
      </c>
    </row>
    <row r="55" spans="1:2" x14ac:dyDescent="0.2">
      <c r="A55" s="21">
        <v>13667</v>
      </c>
      <c r="B55" s="58">
        <v>0.36</v>
      </c>
    </row>
    <row r="56" spans="1:2" x14ac:dyDescent="0.2">
      <c r="A56" s="21">
        <v>13697</v>
      </c>
      <c r="B56" s="58">
        <v>0.28000000000000003</v>
      </c>
    </row>
    <row r="57" spans="1:2" x14ac:dyDescent="0.2">
      <c r="A57" s="21">
        <v>13728</v>
      </c>
      <c r="B57" s="58">
        <v>0.28999999999999998</v>
      </c>
    </row>
    <row r="58" spans="1:2" x14ac:dyDescent="0.2">
      <c r="A58" s="21">
        <v>13759</v>
      </c>
      <c r="B58" s="58">
        <v>0.31</v>
      </c>
    </row>
    <row r="59" spans="1:2" x14ac:dyDescent="0.2">
      <c r="A59" s="21">
        <v>13789</v>
      </c>
      <c r="B59" s="58">
        <v>0.2</v>
      </c>
    </row>
    <row r="60" spans="1:2" x14ac:dyDescent="0.2">
      <c r="A60" s="21">
        <v>13820</v>
      </c>
      <c r="B60" s="58">
        <v>0.09</v>
      </c>
    </row>
    <row r="61" spans="1:2" x14ac:dyDescent="0.2">
      <c r="A61" s="21">
        <v>13850</v>
      </c>
      <c r="B61" s="58">
        <v>0.11</v>
      </c>
    </row>
    <row r="62" spans="1:2" x14ac:dyDescent="0.2">
      <c r="A62" s="21">
        <v>13881</v>
      </c>
      <c r="B62" s="58">
        <v>0.1</v>
      </c>
    </row>
    <row r="63" spans="1:2" x14ac:dyDescent="0.2">
      <c r="A63" s="21">
        <v>13912</v>
      </c>
      <c r="B63" s="58">
        <v>0.08</v>
      </c>
    </row>
    <row r="64" spans="1:2" x14ac:dyDescent="0.2">
      <c r="A64" s="21">
        <v>13940</v>
      </c>
      <c r="B64" s="58">
        <v>0.08</v>
      </c>
    </row>
    <row r="65" spans="1:2" x14ac:dyDescent="0.2">
      <c r="A65" s="21">
        <v>13971</v>
      </c>
      <c r="B65" s="58">
        <v>0.09</v>
      </c>
    </row>
    <row r="66" spans="1:2" x14ac:dyDescent="0.2">
      <c r="A66" s="21">
        <v>14001</v>
      </c>
      <c r="B66" s="58">
        <v>0.05</v>
      </c>
    </row>
    <row r="67" spans="1:2" x14ac:dyDescent="0.2">
      <c r="A67" s="21">
        <v>14032</v>
      </c>
      <c r="B67" s="58">
        <v>0.05</v>
      </c>
    </row>
    <row r="68" spans="1:2" x14ac:dyDescent="0.2">
      <c r="A68" s="21">
        <v>14062</v>
      </c>
      <c r="B68" s="58">
        <v>7.0000000000000007E-2</v>
      </c>
    </row>
    <row r="69" spans="1:2" x14ac:dyDescent="0.2">
      <c r="A69" s="21">
        <v>14093</v>
      </c>
      <c r="B69" s="58">
        <v>0.06</v>
      </c>
    </row>
    <row r="70" spans="1:2" x14ac:dyDescent="0.2">
      <c r="A70" s="21">
        <v>14124</v>
      </c>
      <c r="B70" s="58">
        <v>0.08</v>
      </c>
    </row>
    <row r="71" spans="1:2" x14ac:dyDescent="0.2">
      <c r="A71" s="21">
        <v>14154</v>
      </c>
      <c r="B71" s="58">
        <v>0.05</v>
      </c>
    </row>
    <row r="72" spans="1:2" x14ac:dyDescent="0.2">
      <c r="A72" s="21">
        <v>14185</v>
      </c>
      <c r="B72" s="58">
        <v>0.04</v>
      </c>
    </row>
    <row r="73" spans="1:2" x14ac:dyDescent="0.2">
      <c r="A73" s="21">
        <v>14215</v>
      </c>
      <c r="B73" s="58">
        <v>0.03</v>
      </c>
    </row>
    <row r="74" spans="1:2" x14ac:dyDescent="0.2">
      <c r="A74" s="21">
        <v>14246</v>
      </c>
      <c r="B74" s="58">
        <v>0.03</v>
      </c>
    </row>
    <row r="75" spans="1:2" x14ac:dyDescent="0.2">
      <c r="A75" s="21">
        <v>14277</v>
      </c>
      <c r="B75" s="58">
        <v>0.03</v>
      </c>
    </row>
    <row r="76" spans="1:2" x14ac:dyDescent="0.2">
      <c r="A76" s="21">
        <v>14305</v>
      </c>
      <c r="B76" s="58">
        <v>0.03</v>
      </c>
    </row>
    <row r="77" spans="1:2" x14ac:dyDescent="0.2">
      <c r="A77" s="21">
        <v>14336</v>
      </c>
      <c r="B77" s="58">
        <v>0.03</v>
      </c>
    </row>
    <row r="78" spans="1:2" x14ac:dyDescent="0.2">
      <c r="A78" s="21">
        <v>14366</v>
      </c>
      <c r="B78" s="58">
        <v>0.03</v>
      </c>
    </row>
    <row r="79" spans="1:2" x14ac:dyDescent="0.2">
      <c r="A79" s="21">
        <v>14397</v>
      </c>
      <c r="B79" s="58">
        <v>0.03</v>
      </c>
    </row>
    <row r="80" spans="1:2" x14ac:dyDescent="0.2">
      <c r="A80" s="21">
        <v>14427</v>
      </c>
      <c r="B80" s="58">
        <v>0.04</v>
      </c>
    </row>
    <row r="81" spans="1:2" x14ac:dyDescent="0.2">
      <c r="A81" s="21">
        <v>14458</v>
      </c>
      <c r="B81" s="58">
        <v>0.05</v>
      </c>
    </row>
    <row r="82" spans="1:2" x14ac:dyDescent="0.2">
      <c r="A82" s="21">
        <v>14489</v>
      </c>
      <c r="B82" s="58">
        <v>0.14000000000000001</v>
      </c>
    </row>
    <row r="83" spans="1:2" x14ac:dyDescent="0.2">
      <c r="A83" s="21">
        <v>14519</v>
      </c>
      <c r="B83" s="58">
        <v>0.05</v>
      </c>
    </row>
    <row r="84" spans="1:2" x14ac:dyDescent="0.2">
      <c r="A84" s="21">
        <v>14550</v>
      </c>
      <c r="B84" s="58">
        <v>0.05</v>
      </c>
    </row>
    <row r="85" spans="1:2" x14ac:dyDescent="0.2">
      <c r="A85" s="21">
        <v>14580</v>
      </c>
      <c r="B85" s="58">
        <v>0.04</v>
      </c>
    </row>
    <row r="86" spans="1:2" x14ac:dyDescent="0.2">
      <c r="A86" s="21">
        <v>14611</v>
      </c>
      <c r="B86" s="58">
        <v>0.01</v>
      </c>
    </row>
    <row r="87" spans="1:2" x14ac:dyDescent="0.2">
      <c r="A87" s="21">
        <v>14642</v>
      </c>
      <c r="B87" s="58">
        <v>0.02</v>
      </c>
    </row>
    <row r="88" spans="1:2" x14ac:dyDescent="0.2">
      <c r="A88" s="21">
        <v>14671</v>
      </c>
      <c r="B88" s="58">
        <v>0.02</v>
      </c>
    </row>
    <row r="89" spans="1:2" x14ac:dyDescent="0.2">
      <c r="A89" s="21">
        <v>14702</v>
      </c>
      <c r="B89" s="58">
        <v>0.02</v>
      </c>
    </row>
    <row r="90" spans="1:2" x14ac:dyDescent="0.2">
      <c r="A90" s="21">
        <v>14732</v>
      </c>
      <c r="B90" s="58">
        <v>0.06</v>
      </c>
    </row>
    <row r="91" spans="1:2" x14ac:dyDescent="0.2">
      <c r="A91" s="21">
        <v>14763</v>
      </c>
      <c r="B91" s="58">
        <v>0.1</v>
      </c>
    </row>
    <row r="92" spans="1:2" x14ac:dyDescent="0.2">
      <c r="A92" s="21">
        <v>14793</v>
      </c>
      <c r="B92" s="58">
        <v>0.05</v>
      </c>
    </row>
    <row r="93" spans="1:2" x14ac:dyDescent="0.2">
      <c r="A93" s="21">
        <v>14824</v>
      </c>
      <c r="B93" s="58">
        <v>0.04</v>
      </c>
    </row>
    <row r="94" spans="1:2" x14ac:dyDescent="0.2">
      <c r="A94" s="21">
        <v>14855</v>
      </c>
      <c r="B94" s="58">
        <v>0.05</v>
      </c>
    </row>
    <row r="95" spans="1:2" x14ac:dyDescent="0.2">
      <c r="A95" s="21">
        <v>14885</v>
      </c>
      <c r="B95" s="58">
        <v>0.02</v>
      </c>
    </row>
    <row r="96" spans="1:2" x14ac:dyDescent="0.2">
      <c r="A96" s="21">
        <v>14916</v>
      </c>
      <c r="B96" s="58">
        <v>0.02</v>
      </c>
    </row>
    <row r="97" spans="1:2" x14ac:dyDescent="0.2">
      <c r="A97" s="21">
        <v>14946</v>
      </c>
      <c r="B97" s="58">
        <v>0.02</v>
      </c>
    </row>
    <row r="98" spans="1:2" x14ac:dyDescent="0.2">
      <c r="A98" s="21">
        <v>14977</v>
      </c>
      <c r="B98" s="58">
        <v>0.02</v>
      </c>
    </row>
    <row r="99" spans="1:2" x14ac:dyDescent="0.2">
      <c r="A99" s="21">
        <v>15008</v>
      </c>
      <c r="B99" s="58">
        <v>0.04</v>
      </c>
    </row>
    <row r="100" spans="1:2" x14ac:dyDescent="0.2">
      <c r="A100" s="21">
        <v>15036</v>
      </c>
      <c r="B100" s="58">
        <v>0.11</v>
      </c>
    </row>
    <row r="101" spans="1:2" x14ac:dyDescent="0.2">
      <c r="A101" s="21">
        <v>15067</v>
      </c>
      <c r="B101" s="58">
        <v>0.1</v>
      </c>
    </row>
    <row r="102" spans="1:2" x14ac:dyDescent="0.2">
      <c r="A102" s="21">
        <v>15097</v>
      </c>
      <c r="B102" s="58">
        <v>0.11</v>
      </c>
    </row>
    <row r="103" spans="1:2" x14ac:dyDescent="0.2">
      <c r="A103" s="21">
        <v>15128</v>
      </c>
      <c r="B103" s="58">
        <v>0.12</v>
      </c>
    </row>
    <row r="104" spans="1:2" x14ac:dyDescent="0.2">
      <c r="A104" s="21">
        <v>15158</v>
      </c>
      <c r="B104" s="58">
        <v>0.12</v>
      </c>
    </row>
    <row r="105" spans="1:2" x14ac:dyDescent="0.2">
      <c r="A105" s="21">
        <v>15189</v>
      </c>
      <c r="B105" s="58">
        <v>0.13</v>
      </c>
    </row>
    <row r="106" spans="1:2" x14ac:dyDescent="0.2">
      <c r="A106" s="21">
        <v>15220</v>
      </c>
      <c r="B106" s="58">
        <v>0.1</v>
      </c>
    </row>
    <row r="107" spans="1:2" x14ac:dyDescent="0.2">
      <c r="A107" s="21">
        <v>15250</v>
      </c>
      <c r="B107" s="58">
        <v>0.09</v>
      </c>
    </row>
    <row r="108" spans="1:2" x14ac:dyDescent="0.2">
      <c r="A108" s="21">
        <v>15281</v>
      </c>
      <c r="B108" s="58">
        <v>0.28000000000000003</v>
      </c>
    </row>
    <row r="109" spans="1:2" x14ac:dyDescent="0.2">
      <c r="A109" s="21">
        <v>15311</v>
      </c>
      <c r="B109" s="58">
        <v>0.33</v>
      </c>
    </row>
    <row r="110" spans="1:2" x14ac:dyDescent="0.2">
      <c r="A110" s="21">
        <v>15342</v>
      </c>
      <c r="B110" s="58">
        <v>0.27</v>
      </c>
    </row>
    <row r="111" spans="1:2" x14ac:dyDescent="0.2">
      <c r="A111" s="21">
        <v>15373</v>
      </c>
      <c r="B111" s="58">
        <v>0.25</v>
      </c>
    </row>
    <row r="112" spans="1:2" x14ac:dyDescent="0.2">
      <c r="A112" s="21">
        <v>15401</v>
      </c>
      <c r="B112" s="58">
        <v>0.25</v>
      </c>
    </row>
    <row r="113" spans="1:2" x14ac:dyDescent="0.2">
      <c r="A113" s="21">
        <v>15432</v>
      </c>
      <c r="B113" s="58">
        <v>0.32</v>
      </c>
    </row>
    <row r="114" spans="1:2" x14ac:dyDescent="0.2">
      <c r="A114" s="21">
        <v>15462</v>
      </c>
      <c r="B114" s="58">
        <v>0.37</v>
      </c>
    </row>
    <row r="115" spans="1:2" x14ac:dyDescent="0.2">
      <c r="A115" s="21">
        <v>15493</v>
      </c>
      <c r="B115" s="58">
        <v>0.37</v>
      </c>
    </row>
    <row r="116" spans="1:2" x14ac:dyDescent="0.2">
      <c r="A116" s="21">
        <v>15523</v>
      </c>
      <c r="B116" s="58">
        <v>0.38</v>
      </c>
    </row>
    <row r="117" spans="1:2" x14ac:dyDescent="0.2">
      <c r="A117" s="21">
        <v>15554</v>
      </c>
      <c r="B117" s="58">
        <v>0.38</v>
      </c>
    </row>
    <row r="118" spans="1:2" x14ac:dyDescent="0.2">
      <c r="A118" s="21">
        <v>15585</v>
      </c>
      <c r="B118" s="58">
        <v>0.38</v>
      </c>
    </row>
    <row r="119" spans="1:2" x14ac:dyDescent="0.2">
      <c r="A119" s="21">
        <v>15615</v>
      </c>
      <c r="B119" s="58">
        <v>0.38</v>
      </c>
    </row>
    <row r="120" spans="1:2" x14ac:dyDescent="0.2">
      <c r="A120" s="21">
        <v>15646</v>
      </c>
      <c r="B120" s="58">
        <v>0.38</v>
      </c>
    </row>
    <row r="121" spans="1:2" x14ac:dyDescent="0.2">
      <c r="A121" s="21">
        <v>15676</v>
      </c>
      <c r="B121" s="58">
        <v>0.38</v>
      </c>
    </row>
    <row r="122" spans="1:2" x14ac:dyDescent="0.2">
      <c r="A122" s="21">
        <v>15707</v>
      </c>
      <c r="B122" s="58">
        <v>0.38</v>
      </c>
    </row>
    <row r="123" spans="1:2" x14ac:dyDescent="0.2">
      <c r="A123" s="21">
        <v>15738</v>
      </c>
      <c r="B123" s="58">
        <v>0.38</v>
      </c>
    </row>
    <row r="124" spans="1:2" x14ac:dyDescent="0.2">
      <c r="A124" s="21">
        <v>15766</v>
      </c>
      <c r="B124" s="58">
        <v>0.38</v>
      </c>
    </row>
    <row r="125" spans="1:2" x14ac:dyDescent="0.2">
      <c r="A125" s="21">
        <v>15797</v>
      </c>
      <c r="B125" s="58">
        <v>0.38</v>
      </c>
    </row>
    <row r="126" spans="1:2" x14ac:dyDescent="0.2">
      <c r="A126" s="21">
        <v>15827</v>
      </c>
      <c r="B126" s="58">
        <v>0.38</v>
      </c>
    </row>
    <row r="127" spans="1:2" x14ac:dyDescent="0.2">
      <c r="A127" s="21">
        <v>15858</v>
      </c>
      <c r="B127" s="58">
        <v>0.38</v>
      </c>
    </row>
    <row r="128" spans="1:2" x14ac:dyDescent="0.2">
      <c r="A128" s="21">
        <v>15888</v>
      </c>
      <c r="B128" s="58">
        <v>0.38</v>
      </c>
    </row>
    <row r="129" spans="1:2" x14ac:dyDescent="0.2">
      <c r="A129" s="21">
        <v>15919</v>
      </c>
      <c r="B129" s="58">
        <v>0.38</v>
      </c>
    </row>
    <row r="130" spans="1:2" x14ac:dyDescent="0.2">
      <c r="A130" s="21">
        <v>15950</v>
      </c>
      <c r="B130" s="58">
        <v>0.38</v>
      </c>
    </row>
    <row r="131" spans="1:2" x14ac:dyDescent="0.2">
      <c r="A131" s="21">
        <v>15980</v>
      </c>
      <c r="B131" s="58">
        <v>0.38</v>
      </c>
    </row>
    <row r="132" spans="1:2" x14ac:dyDescent="0.2">
      <c r="A132" s="21">
        <v>16011</v>
      </c>
      <c r="B132" s="58">
        <v>0.38</v>
      </c>
    </row>
    <row r="133" spans="1:2" x14ac:dyDescent="0.2">
      <c r="A133" s="21">
        <v>16041</v>
      </c>
      <c r="B133" s="58">
        <v>0.38</v>
      </c>
    </row>
    <row r="134" spans="1:2" x14ac:dyDescent="0.2">
      <c r="A134" s="21">
        <v>16072</v>
      </c>
      <c r="B134" s="58">
        <v>0.38</v>
      </c>
    </row>
    <row r="135" spans="1:2" x14ac:dyDescent="0.2">
      <c r="A135" s="21">
        <v>16103</v>
      </c>
      <c r="B135" s="58">
        <v>0.38</v>
      </c>
    </row>
    <row r="136" spans="1:2" x14ac:dyDescent="0.2">
      <c r="A136" s="21">
        <v>16132</v>
      </c>
      <c r="B136" s="58">
        <v>0.38</v>
      </c>
    </row>
    <row r="137" spans="1:2" x14ac:dyDescent="0.2">
      <c r="A137" s="21">
        <v>16163</v>
      </c>
      <c r="B137" s="58">
        <v>0.38</v>
      </c>
    </row>
    <row r="138" spans="1:2" x14ac:dyDescent="0.2">
      <c r="A138" s="21">
        <v>16193</v>
      </c>
      <c r="B138" s="58">
        <v>0.38</v>
      </c>
    </row>
    <row r="139" spans="1:2" x14ac:dyDescent="0.2">
      <c r="A139" s="21">
        <v>16224</v>
      </c>
      <c r="B139" s="58">
        <v>0.38</v>
      </c>
    </row>
    <row r="140" spans="1:2" x14ac:dyDescent="0.2">
      <c r="A140" s="21">
        <v>16254</v>
      </c>
      <c r="B140" s="58">
        <v>0.38</v>
      </c>
    </row>
    <row r="141" spans="1:2" x14ac:dyDescent="0.2">
      <c r="A141" s="21">
        <v>16285</v>
      </c>
      <c r="B141" s="58">
        <v>0.38</v>
      </c>
    </row>
    <row r="142" spans="1:2" x14ac:dyDescent="0.2">
      <c r="A142" s="21">
        <v>16316</v>
      </c>
      <c r="B142" s="58">
        <v>0.38</v>
      </c>
    </row>
    <row r="143" spans="1:2" x14ac:dyDescent="0.2">
      <c r="A143" s="21">
        <v>16346</v>
      </c>
      <c r="B143" s="58">
        <v>0.38</v>
      </c>
    </row>
    <row r="144" spans="1:2" x14ac:dyDescent="0.2">
      <c r="A144" s="21">
        <v>16377</v>
      </c>
      <c r="B144" s="58">
        <v>0.38</v>
      </c>
    </row>
    <row r="145" spans="1:2" x14ac:dyDescent="0.2">
      <c r="A145" s="21">
        <v>16407</v>
      </c>
      <c r="B145" s="58">
        <v>0.38</v>
      </c>
    </row>
    <row r="146" spans="1:2" x14ac:dyDescent="0.2">
      <c r="A146" s="21">
        <v>16438</v>
      </c>
      <c r="B146" s="58">
        <v>0.38</v>
      </c>
    </row>
    <row r="147" spans="1:2" x14ac:dyDescent="0.2">
      <c r="A147" s="21">
        <v>16469</v>
      </c>
      <c r="B147" s="58">
        <v>0.38</v>
      </c>
    </row>
    <row r="148" spans="1:2" x14ac:dyDescent="0.2">
      <c r="A148" s="21">
        <v>16497</v>
      </c>
      <c r="B148" s="58">
        <v>0.38</v>
      </c>
    </row>
    <row r="149" spans="1:2" x14ac:dyDescent="0.2">
      <c r="A149" s="21">
        <v>16528</v>
      </c>
      <c r="B149" s="58">
        <v>0.38</v>
      </c>
    </row>
    <row r="150" spans="1:2" x14ac:dyDescent="0.2">
      <c r="A150" s="21">
        <v>16558</v>
      </c>
      <c r="B150" s="58">
        <v>0.38</v>
      </c>
    </row>
    <row r="151" spans="1:2" x14ac:dyDescent="0.2">
      <c r="A151" s="21">
        <v>16589</v>
      </c>
      <c r="B151" s="58">
        <v>0.38</v>
      </c>
    </row>
    <row r="152" spans="1:2" x14ac:dyDescent="0.2">
      <c r="A152" s="21">
        <v>16619</v>
      </c>
      <c r="B152" s="58">
        <v>0.38</v>
      </c>
    </row>
    <row r="153" spans="1:2" x14ac:dyDescent="0.2">
      <c r="A153" s="21">
        <v>16650</v>
      </c>
      <c r="B153" s="58">
        <v>0.38</v>
      </c>
    </row>
    <row r="154" spans="1:2" x14ac:dyDescent="0.2">
      <c r="A154" s="21">
        <v>16681</v>
      </c>
      <c r="B154" s="58">
        <v>0.38</v>
      </c>
    </row>
    <row r="155" spans="1:2" x14ac:dyDescent="0.2">
      <c r="A155" s="21">
        <v>16711</v>
      </c>
      <c r="B155" s="58">
        <v>0.38</v>
      </c>
    </row>
    <row r="156" spans="1:2" x14ac:dyDescent="0.2">
      <c r="A156" s="21">
        <v>16742</v>
      </c>
      <c r="B156" s="58">
        <v>0.38</v>
      </c>
    </row>
    <row r="157" spans="1:2" x14ac:dyDescent="0.2">
      <c r="A157" s="21">
        <v>16772</v>
      </c>
      <c r="B157" s="58">
        <v>0.38</v>
      </c>
    </row>
    <row r="158" spans="1:2" x14ac:dyDescent="0.2">
      <c r="A158" s="21">
        <v>16803</v>
      </c>
      <c r="B158" s="58">
        <v>0.38</v>
      </c>
    </row>
    <row r="159" spans="1:2" x14ac:dyDescent="0.2">
      <c r="A159" s="21">
        <v>16834</v>
      </c>
      <c r="B159" s="58">
        <v>0.38</v>
      </c>
    </row>
    <row r="160" spans="1:2" x14ac:dyDescent="0.2">
      <c r="A160" s="21">
        <v>16862</v>
      </c>
      <c r="B160" s="58">
        <v>0.38</v>
      </c>
    </row>
    <row r="161" spans="1:2" x14ac:dyDescent="0.2">
      <c r="A161" s="21">
        <v>16893</v>
      </c>
      <c r="B161" s="58">
        <v>0.38</v>
      </c>
    </row>
    <row r="162" spans="1:2" x14ac:dyDescent="0.2">
      <c r="A162" s="21">
        <v>16923</v>
      </c>
      <c r="B162" s="58">
        <v>0.38</v>
      </c>
    </row>
    <row r="163" spans="1:2" x14ac:dyDescent="0.2">
      <c r="A163" s="21">
        <v>16954</v>
      </c>
      <c r="B163" s="58">
        <v>0.38</v>
      </c>
    </row>
    <row r="164" spans="1:2" x14ac:dyDescent="0.2">
      <c r="A164" s="21">
        <v>16984</v>
      </c>
      <c r="B164" s="58">
        <v>0.38</v>
      </c>
    </row>
    <row r="165" spans="1:2" x14ac:dyDescent="0.2">
      <c r="A165" s="21">
        <v>17015</v>
      </c>
      <c r="B165" s="58">
        <v>0.38</v>
      </c>
    </row>
    <row r="166" spans="1:2" x14ac:dyDescent="0.2">
      <c r="A166" s="21">
        <v>17046</v>
      </c>
      <c r="B166" s="58">
        <v>0.38</v>
      </c>
    </row>
    <row r="167" spans="1:2" x14ac:dyDescent="0.2">
      <c r="A167" s="21">
        <v>17076</v>
      </c>
      <c r="B167" s="58">
        <v>0.38</v>
      </c>
    </row>
    <row r="168" spans="1:2" x14ac:dyDescent="0.2">
      <c r="A168" s="21">
        <v>17107</v>
      </c>
      <c r="B168" s="58">
        <v>0.38</v>
      </c>
    </row>
    <row r="169" spans="1:2" x14ac:dyDescent="0.2">
      <c r="A169" s="21">
        <v>17137</v>
      </c>
      <c r="B169" s="58">
        <v>0.38</v>
      </c>
    </row>
    <row r="170" spans="1:2" x14ac:dyDescent="0.2">
      <c r="A170" s="21">
        <v>17168</v>
      </c>
      <c r="B170" s="58">
        <v>0.38</v>
      </c>
    </row>
    <row r="171" spans="1:2" x14ac:dyDescent="0.2">
      <c r="A171" s="21">
        <v>17199</v>
      </c>
      <c r="B171" s="58">
        <v>0.38</v>
      </c>
    </row>
    <row r="172" spans="1:2" x14ac:dyDescent="0.2">
      <c r="A172" s="21">
        <v>17227</v>
      </c>
      <c r="B172" s="58">
        <v>0.38</v>
      </c>
    </row>
    <row r="173" spans="1:2" x14ac:dyDescent="0.2">
      <c r="A173" s="21">
        <v>17258</v>
      </c>
      <c r="B173" s="58">
        <v>0.38</v>
      </c>
    </row>
    <row r="174" spans="1:2" x14ac:dyDescent="0.2">
      <c r="A174" s="21">
        <v>17288</v>
      </c>
      <c r="B174" s="58">
        <v>0.38</v>
      </c>
    </row>
    <row r="175" spans="1:2" x14ac:dyDescent="0.2">
      <c r="A175" s="21">
        <v>17319</v>
      </c>
      <c r="B175" s="58">
        <v>0.38</v>
      </c>
    </row>
    <row r="176" spans="1:2" x14ac:dyDescent="0.2">
      <c r="A176" s="21">
        <v>17349</v>
      </c>
      <c r="B176" s="58">
        <v>0.66</v>
      </c>
    </row>
    <row r="177" spans="1:2" x14ac:dyDescent="0.2">
      <c r="A177" s="21">
        <v>17380</v>
      </c>
      <c r="B177" s="58">
        <v>0.75</v>
      </c>
    </row>
    <row r="178" spans="1:2" x14ac:dyDescent="0.2">
      <c r="A178" s="21">
        <v>17411</v>
      </c>
      <c r="B178" s="58">
        <v>0.8</v>
      </c>
    </row>
    <row r="179" spans="1:2" x14ac:dyDescent="0.2">
      <c r="A179" s="21">
        <v>17441</v>
      </c>
      <c r="B179" s="58">
        <v>0.85</v>
      </c>
    </row>
    <row r="180" spans="1:2" x14ac:dyDescent="0.2">
      <c r="A180" s="21">
        <v>17472</v>
      </c>
      <c r="B180" s="58">
        <v>0.92</v>
      </c>
    </row>
    <row r="181" spans="1:2" x14ac:dyDescent="0.2">
      <c r="A181" s="21">
        <v>17502</v>
      </c>
      <c r="B181" s="58">
        <v>0.95</v>
      </c>
    </row>
    <row r="182" spans="1:2" x14ac:dyDescent="0.2">
      <c r="A182" s="21">
        <v>17533</v>
      </c>
      <c r="B182" s="58">
        <v>0.97</v>
      </c>
    </row>
    <row r="183" spans="1:2" x14ac:dyDescent="0.2">
      <c r="A183" s="21">
        <v>17564</v>
      </c>
      <c r="B183" s="58">
        <v>1</v>
      </c>
    </row>
    <row r="184" spans="1:2" x14ac:dyDescent="0.2">
      <c r="A184" s="21">
        <v>17593</v>
      </c>
      <c r="B184" s="58">
        <v>1</v>
      </c>
    </row>
    <row r="185" spans="1:2" x14ac:dyDescent="0.2">
      <c r="A185" s="21">
        <v>17624</v>
      </c>
      <c r="B185" s="58">
        <v>1</v>
      </c>
    </row>
    <row r="186" spans="1:2" x14ac:dyDescent="0.2">
      <c r="A186" s="21">
        <v>17654</v>
      </c>
      <c r="B186" s="58">
        <v>1</v>
      </c>
    </row>
    <row r="187" spans="1:2" x14ac:dyDescent="0.2">
      <c r="A187" s="21">
        <v>17685</v>
      </c>
      <c r="B187" s="58">
        <v>1</v>
      </c>
    </row>
    <row r="188" spans="1:2" x14ac:dyDescent="0.2">
      <c r="A188" s="21">
        <v>17715</v>
      </c>
      <c r="B188" s="58">
        <v>1</v>
      </c>
    </row>
    <row r="189" spans="1:2" x14ac:dyDescent="0.2">
      <c r="A189" s="21">
        <v>17746</v>
      </c>
      <c r="B189" s="58">
        <v>1.06</v>
      </c>
    </row>
    <row r="190" spans="1:2" x14ac:dyDescent="0.2">
      <c r="A190" s="21">
        <v>17777</v>
      </c>
      <c r="B190" s="58">
        <v>1.0900000000000001</v>
      </c>
    </row>
    <row r="191" spans="1:2" x14ac:dyDescent="0.2">
      <c r="A191" s="21">
        <v>17807</v>
      </c>
      <c r="B191" s="58">
        <v>1.1200000000000001</v>
      </c>
    </row>
    <row r="192" spans="1:2" x14ac:dyDescent="0.2">
      <c r="A192" s="21">
        <v>17838</v>
      </c>
      <c r="B192" s="58">
        <v>1.1399999999999999</v>
      </c>
    </row>
    <row r="193" spans="1:2" x14ac:dyDescent="0.2">
      <c r="A193" s="21">
        <v>17868</v>
      </c>
      <c r="B193" s="58">
        <v>1.1599999999999999</v>
      </c>
    </row>
    <row r="194" spans="1:2" x14ac:dyDescent="0.2">
      <c r="A194" s="21">
        <v>17899</v>
      </c>
      <c r="B194" s="58">
        <v>1.17</v>
      </c>
    </row>
    <row r="195" spans="1:2" x14ac:dyDescent="0.2">
      <c r="A195" s="21">
        <v>17930</v>
      </c>
      <c r="B195" s="58">
        <v>1.17</v>
      </c>
    </row>
    <row r="196" spans="1:2" x14ac:dyDescent="0.2">
      <c r="A196" s="21">
        <v>17958</v>
      </c>
      <c r="B196" s="58">
        <v>1.17</v>
      </c>
    </row>
    <row r="197" spans="1:2" x14ac:dyDescent="0.2">
      <c r="A197" s="21">
        <v>17989</v>
      </c>
      <c r="B197" s="58">
        <v>1.17</v>
      </c>
    </row>
    <row r="198" spans="1:2" x14ac:dyDescent="0.2">
      <c r="A198" s="21">
        <v>18019</v>
      </c>
      <c r="B198" s="58">
        <v>1.17</v>
      </c>
    </row>
    <row r="199" spans="1:2" x14ac:dyDescent="0.2">
      <c r="A199" s="21">
        <v>18050</v>
      </c>
      <c r="B199" s="58">
        <v>1.17</v>
      </c>
    </row>
    <row r="200" spans="1:2" x14ac:dyDescent="0.2">
      <c r="A200" s="21">
        <v>18080</v>
      </c>
      <c r="B200" s="58">
        <v>1.02</v>
      </c>
    </row>
    <row r="201" spans="1:2" x14ac:dyDescent="0.2">
      <c r="A201" s="21">
        <v>18111</v>
      </c>
      <c r="B201" s="58">
        <v>1.04</v>
      </c>
    </row>
    <row r="202" spans="1:2" x14ac:dyDescent="0.2">
      <c r="A202" s="21">
        <v>18142</v>
      </c>
      <c r="B202" s="58">
        <v>1.07</v>
      </c>
    </row>
    <row r="203" spans="1:2" x14ac:dyDescent="0.2">
      <c r="A203" s="21">
        <v>18172</v>
      </c>
      <c r="B203" s="58">
        <v>1.05</v>
      </c>
    </row>
    <row r="204" spans="1:2" x14ac:dyDescent="0.2">
      <c r="A204" s="21">
        <v>18203</v>
      </c>
      <c r="B204" s="58">
        <v>1.08</v>
      </c>
    </row>
    <row r="205" spans="1:2" x14ac:dyDescent="0.2">
      <c r="A205" s="21">
        <v>18233</v>
      </c>
      <c r="B205" s="58">
        <v>1.1000000000000001</v>
      </c>
    </row>
    <row r="206" spans="1:2" x14ac:dyDescent="0.2">
      <c r="A206" s="21">
        <v>18264</v>
      </c>
      <c r="B206" s="58">
        <v>1.07</v>
      </c>
    </row>
    <row r="207" spans="1:2" x14ac:dyDescent="0.2">
      <c r="A207" s="21">
        <v>18295</v>
      </c>
      <c r="B207" s="58">
        <v>1.1200000000000001</v>
      </c>
    </row>
    <row r="208" spans="1:2" x14ac:dyDescent="0.2">
      <c r="A208" s="21">
        <v>18323</v>
      </c>
      <c r="B208" s="58">
        <v>1.1200000000000001</v>
      </c>
    </row>
    <row r="209" spans="1:2" x14ac:dyDescent="0.2">
      <c r="A209" s="21">
        <v>18354</v>
      </c>
      <c r="B209" s="58">
        <v>1.1499999999999999</v>
      </c>
    </row>
    <row r="210" spans="1:2" x14ac:dyDescent="0.2">
      <c r="A210" s="21">
        <v>18384</v>
      </c>
      <c r="B210" s="58">
        <v>1.1599999999999999</v>
      </c>
    </row>
    <row r="211" spans="1:2" x14ac:dyDescent="0.2">
      <c r="A211" s="21">
        <v>18415</v>
      </c>
      <c r="B211" s="58">
        <v>1.1499999999999999</v>
      </c>
    </row>
    <row r="212" spans="1:2" x14ac:dyDescent="0.2">
      <c r="A212" s="21">
        <v>18445</v>
      </c>
      <c r="B212" s="58">
        <v>1.1599999999999999</v>
      </c>
    </row>
    <row r="213" spans="1:2" x14ac:dyDescent="0.2">
      <c r="A213" s="21">
        <v>18476</v>
      </c>
      <c r="B213" s="58">
        <v>1.2</v>
      </c>
    </row>
    <row r="214" spans="1:2" x14ac:dyDescent="0.2">
      <c r="A214" s="21">
        <v>18507</v>
      </c>
      <c r="B214" s="58">
        <v>1.3</v>
      </c>
    </row>
    <row r="215" spans="1:2" x14ac:dyDescent="0.2">
      <c r="A215" s="21">
        <v>18537</v>
      </c>
      <c r="B215" s="58">
        <v>1.31</v>
      </c>
    </row>
    <row r="216" spans="1:2" x14ac:dyDescent="0.2">
      <c r="A216" s="21">
        <v>18568</v>
      </c>
      <c r="B216" s="58">
        <v>1.36</v>
      </c>
    </row>
    <row r="217" spans="1:2" x14ac:dyDescent="0.2">
      <c r="A217" s="21">
        <v>18598</v>
      </c>
      <c r="B217" s="58">
        <v>1.34</v>
      </c>
    </row>
    <row r="218" spans="1:2" x14ac:dyDescent="0.2">
      <c r="A218" s="21">
        <v>18629</v>
      </c>
      <c r="B218" s="58">
        <v>1.34</v>
      </c>
    </row>
    <row r="219" spans="1:2" x14ac:dyDescent="0.2">
      <c r="A219" s="21">
        <v>18660</v>
      </c>
      <c r="B219" s="58">
        <v>1.36</v>
      </c>
    </row>
    <row r="220" spans="1:2" x14ac:dyDescent="0.2">
      <c r="A220" s="21">
        <v>18688</v>
      </c>
      <c r="B220" s="58">
        <v>1.4</v>
      </c>
    </row>
    <row r="221" spans="1:2" x14ac:dyDescent="0.2">
      <c r="A221" s="21">
        <v>18719</v>
      </c>
      <c r="B221" s="58">
        <v>1.47</v>
      </c>
    </row>
    <row r="222" spans="1:2" x14ac:dyDescent="0.2">
      <c r="A222" s="21">
        <v>18749</v>
      </c>
      <c r="B222" s="58">
        <v>1.55</v>
      </c>
    </row>
    <row r="223" spans="1:2" x14ac:dyDescent="0.2">
      <c r="A223" s="21">
        <v>18780</v>
      </c>
      <c r="B223" s="58">
        <v>1.45</v>
      </c>
    </row>
    <row r="224" spans="1:2" x14ac:dyDescent="0.2">
      <c r="A224" s="21">
        <v>18810</v>
      </c>
      <c r="B224" s="58">
        <v>1.56</v>
      </c>
    </row>
    <row r="225" spans="1:2" x14ac:dyDescent="0.2">
      <c r="A225" s="21">
        <v>18841</v>
      </c>
      <c r="B225" s="58">
        <v>1.62</v>
      </c>
    </row>
    <row r="226" spans="1:2" x14ac:dyDescent="0.2">
      <c r="A226" s="21">
        <v>18872</v>
      </c>
      <c r="B226" s="58">
        <v>1.63</v>
      </c>
    </row>
    <row r="227" spans="1:2" x14ac:dyDescent="0.2">
      <c r="A227" s="21">
        <v>18902</v>
      </c>
      <c r="B227" s="58">
        <v>1.54</v>
      </c>
    </row>
    <row r="228" spans="1:2" x14ac:dyDescent="0.2">
      <c r="A228" s="21">
        <v>18933</v>
      </c>
      <c r="B228" s="58">
        <v>1.56</v>
      </c>
    </row>
    <row r="229" spans="1:2" x14ac:dyDescent="0.2">
      <c r="A229" s="21">
        <v>18963</v>
      </c>
      <c r="B229" s="58">
        <v>1.73</v>
      </c>
    </row>
    <row r="230" spans="1:2" x14ac:dyDescent="0.2">
      <c r="A230" s="21">
        <v>18994</v>
      </c>
      <c r="B230" s="58">
        <v>1.57</v>
      </c>
    </row>
    <row r="231" spans="1:2" x14ac:dyDescent="0.2">
      <c r="A231" s="21">
        <v>19025</v>
      </c>
      <c r="B231" s="58">
        <v>1.54</v>
      </c>
    </row>
    <row r="232" spans="1:2" x14ac:dyDescent="0.2">
      <c r="A232" s="21">
        <v>19054</v>
      </c>
      <c r="B232" s="58">
        <v>1.59</v>
      </c>
    </row>
    <row r="233" spans="1:2" x14ac:dyDescent="0.2">
      <c r="A233" s="21">
        <v>19085</v>
      </c>
      <c r="B233" s="58">
        <v>1.57</v>
      </c>
    </row>
    <row r="234" spans="1:2" x14ac:dyDescent="0.2">
      <c r="A234" s="21">
        <v>19115</v>
      </c>
      <c r="B234" s="58">
        <v>1.67</v>
      </c>
    </row>
    <row r="235" spans="1:2" x14ac:dyDescent="0.2">
      <c r="A235" s="21">
        <v>19146</v>
      </c>
      <c r="B235" s="58">
        <v>1.7</v>
      </c>
    </row>
    <row r="236" spans="1:2" x14ac:dyDescent="0.2">
      <c r="A236" s="21">
        <v>19176</v>
      </c>
      <c r="B236" s="58">
        <v>1.81</v>
      </c>
    </row>
    <row r="237" spans="1:2" x14ac:dyDescent="0.2">
      <c r="A237" s="21">
        <v>19207</v>
      </c>
      <c r="B237" s="58">
        <v>1.83</v>
      </c>
    </row>
    <row r="238" spans="1:2" x14ac:dyDescent="0.2">
      <c r="A238" s="21">
        <v>19238</v>
      </c>
      <c r="B238" s="58">
        <v>1.71</v>
      </c>
    </row>
    <row r="239" spans="1:2" x14ac:dyDescent="0.2">
      <c r="A239" s="21">
        <v>19268</v>
      </c>
      <c r="B239" s="58">
        <v>1.74</v>
      </c>
    </row>
    <row r="240" spans="1:2" x14ac:dyDescent="0.2">
      <c r="A240" s="21">
        <v>19299</v>
      </c>
      <c r="B240" s="58">
        <v>1.85</v>
      </c>
    </row>
    <row r="241" spans="1:2" x14ac:dyDescent="0.2">
      <c r="A241" s="21">
        <v>19329</v>
      </c>
      <c r="B241" s="58">
        <v>2.09</v>
      </c>
    </row>
    <row r="242" spans="1:2" x14ac:dyDescent="0.2">
      <c r="A242" s="21">
        <v>19360</v>
      </c>
      <c r="B242" s="58">
        <v>1.96</v>
      </c>
    </row>
    <row r="243" spans="1:2" x14ac:dyDescent="0.2">
      <c r="A243" s="21">
        <v>19391</v>
      </c>
      <c r="B243" s="58">
        <v>1.97</v>
      </c>
    </row>
    <row r="244" spans="1:2" x14ac:dyDescent="0.2">
      <c r="A244" s="21">
        <v>19419</v>
      </c>
      <c r="B244" s="58">
        <v>2.0099999999999998</v>
      </c>
    </row>
    <row r="245" spans="1:2" x14ac:dyDescent="0.2">
      <c r="A245" s="21">
        <v>19450</v>
      </c>
      <c r="B245" s="58">
        <v>2.19</v>
      </c>
    </row>
    <row r="246" spans="1:2" x14ac:dyDescent="0.2">
      <c r="A246" s="21">
        <v>19480</v>
      </c>
      <c r="B246" s="58">
        <v>2.16</v>
      </c>
    </row>
    <row r="247" spans="1:2" x14ac:dyDescent="0.2">
      <c r="A247" s="21">
        <v>19511</v>
      </c>
      <c r="B247" s="58">
        <v>2.11</v>
      </c>
    </row>
    <row r="248" spans="1:2" x14ac:dyDescent="0.2">
      <c r="A248" s="21">
        <v>19541</v>
      </c>
      <c r="B248" s="58">
        <v>2.04</v>
      </c>
    </row>
    <row r="249" spans="1:2" x14ac:dyDescent="0.2">
      <c r="A249" s="21">
        <v>19572</v>
      </c>
      <c r="B249" s="58">
        <v>2.04</v>
      </c>
    </row>
    <row r="250" spans="1:2" x14ac:dyDescent="0.2">
      <c r="A250" s="21">
        <v>19603</v>
      </c>
      <c r="B250" s="58">
        <v>1.79</v>
      </c>
    </row>
    <row r="251" spans="1:2" x14ac:dyDescent="0.2">
      <c r="A251" s="21">
        <v>19633</v>
      </c>
      <c r="B251" s="58">
        <v>1.38</v>
      </c>
    </row>
    <row r="252" spans="1:2" x14ac:dyDescent="0.2">
      <c r="A252" s="21">
        <v>19664</v>
      </c>
      <c r="B252" s="58">
        <v>1.44</v>
      </c>
    </row>
    <row r="253" spans="1:2" x14ac:dyDescent="0.2">
      <c r="A253" s="21">
        <v>19694</v>
      </c>
      <c r="B253" s="58">
        <v>1.6</v>
      </c>
    </row>
    <row r="254" spans="1:2" x14ac:dyDescent="0.2">
      <c r="A254" s="21">
        <v>19725</v>
      </c>
      <c r="B254" s="58">
        <v>1.18</v>
      </c>
    </row>
    <row r="255" spans="1:2" x14ac:dyDescent="0.2">
      <c r="A255" s="21">
        <v>19756</v>
      </c>
      <c r="B255" s="58">
        <v>0.97</v>
      </c>
    </row>
    <row r="256" spans="1:2" x14ac:dyDescent="0.2">
      <c r="A256" s="21">
        <v>19784</v>
      </c>
      <c r="B256" s="58">
        <v>1.03</v>
      </c>
    </row>
    <row r="257" spans="1:2" x14ac:dyDescent="0.2">
      <c r="A257" s="21">
        <v>19815</v>
      </c>
      <c r="B257" s="58">
        <v>0.97</v>
      </c>
    </row>
    <row r="258" spans="1:2" x14ac:dyDescent="0.2">
      <c r="A258" s="21">
        <v>19845</v>
      </c>
      <c r="B258" s="58">
        <v>0.76</v>
      </c>
    </row>
    <row r="259" spans="1:2" x14ac:dyDescent="0.2">
      <c r="A259" s="21">
        <v>19876</v>
      </c>
      <c r="B259" s="58">
        <v>0.64</v>
      </c>
    </row>
    <row r="260" spans="1:2" x14ac:dyDescent="0.2">
      <c r="A260" s="21">
        <v>19906</v>
      </c>
      <c r="B260" s="58">
        <v>0.72</v>
      </c>
    </row>
    <row r="261" spans="1:2" x14ac:dyDescent="0.2">
      <c r="A261" s="21">
        <v>19937</v>
      </c>
      <c r="B261" s="58">
        <v>0.92</v>
      </c>
    </row>
    <row r="262" spans="1:2" x14ac:dyDescent="0.2">
      <c r="A262" s="21">
        <v>19968</v>
      </c>
      <c r="B262" s="58">
        <v>1.01</v>
      </c>
    </row>
    <row r="263" spans="1:2" x14ac:dyDescent="0.2">
      <c r="A263" s="21">
        <v>19998</v>
      </c>
      <c r="B263" s="58">
        <v>0.98</v>
      </c>
    </row>
    <row r="264" spans="1:2" x14ac:dyDescent="0.2">
      <c r="A264" s="21">
        <v>20029</v>
      </c>
      <c r="B264" s="58">
        <v>0.93</v>
      </c>
    </row>
    <row r="265" spans="1:2" x14ac:dyDescent="0.2">
      <c r="A265" s="21">
        <v>20059</v>
      </c>
      <c r="B265" s="58">
        <v>1.1499999999999999</v>
      </c>
    </row>
    <row r="266" spans="1:2" x14ac:dyDescent="0.2">
      <c r="A266" s="21">
        <v>20090</v>
      </c>
      <c r="B266" s="58">
        <v>1.22</v>
      </c>
    </row>
    <row r="267" spans="1:2" x14ac:dyDescent="0.2">
      <c r="A267" s="21">
        <v>20121</v>
      </c>
      <c r="B267" s="58">
        <v>1.17</v>
      </c>
    </row>
    <row r="268" spans="1:2" x14ac:dyDescent="0.2">
      <c r="A268" s="21">
        <v>20149</v>
      </c>
      <c r="B268" s="58">
        <v>1.28</v>
      </c>
    </row>
    <row r="269" spans="1:2" x14ac:dyDescent="0.2">
      <c r="A269" s="21">
        <v>20180</v>
      </c>
      <c r="B269" s="58">
        <v>1.59</v>
      </c>
    </row>
    <row r="270" spans="1:2" x14ac:dyDescent="0.2">
      <c r="A270" s="21">
        <v>20210</v>
      </c>
      <c r="B270" s="58">
        <v>1.45</v>
      </c>
    </row>
    <row r="271" spans="1:2" x14ac:dyDescent="0.2">
      <c r="A271" s="21">
        <v>20241</v>
      </c>
      <c r="B271" s="58">
        <v>1.41</v>
      </c>
    </row>
    <row r="272" spans="1:2" x14ac:dyDescent="0.2">
      <c r="A272" s="21">
        <v>20271</v>
      </c>
      <c r="B272" s="58">
        <v>1.6</v>
      </c>
    </row>
    <row r="273" spans="1:2" x14ac:dyDescent="0.2">
      <c r="A273" s="21">
        <v>20302</v>
      </c>
      <c r="B273" s="58">
        <v>1.9</v>
      </c>
    </row>
    <row r="274" spans="1:2" x14ac:dyDescent="0.2">
      <c r="A274" s="21">
        <v>20333</v>
      </c>
      <c r="B274" s="58">
        <v>2.0699999999999998</v>
      </c>
    </row>
    <row r="275" spans="1:2" x14ac:dyDescent="0.2">
      <c r="A275" s="21">
        <v>20363</v>
      </c>
      <c r="B275" s="58">
        <v>2.23</v>
      </c>
    </row>
    <row r="276" spans="1:2" x14ac:dyDescent="0.2">
      <c r="A276" s="21">
        <v>20394</v>
      </c>
      <c r="B276" s="58">
        <v>2.2400000000000002</v>
      </c>
    </row>
    <row r="277" spans="1:2" x14ac:dyDescent="0.2">
      <c r="A277" s="21">
        <v>20424</v>
      </c>
      <c r="B277" s="58">
        <v>2.54</v>
      </c>
    </row>
    <row r="278" spans="1:2" x14ac:dyDescent="0.2">
      <c r="A278" s="21">
        <v>20455</v>
      </c>
      <c r="B278" s="58">
        <v>2.41</v>
      </c>
    </row>
    <row r="279" spans="1:2" x14ac:dyDescent="0.2">
      <c r="A279" s="21">
        <v>20486</v>
      </c>
      <c r="B279" s="58">
        <v>2.3199999999999998</v>
      </c>
    </row>
    <row r="280" spans="1:2" x14ac:dyDescent="0.2">
      <c r="A280" s="21">
        <v>20515</v>
      </c>
      <c r="B280" s="58">
        <v>2.25</v>
      </c>
    </row>
    <row r="281" spans="1:2" x14ac:dyDescent="0.2">
      <c r="A281" s="21">
        <v>20546</v>
      </c>
      <c r="B281" s="58">
        <v>2.6</v>
      </c>
    </row>
    <row r="282" spans="1:2" x14ac:dyDescent="0.2">
      <c r="A282" s="21">
        <v>20576</v>
      </c>
      <c r="B282" s="58">
        <v>2.61</v>
      </c>
    </row>
    <row r="283" spans="1:2" x14ac:dyDescent="0.2">
      <c r="A283" s="21">
        <v>20607</v>
      </c>
      <c r="B283" s="58">
        <v>2.4900000000000002</v>
      </c>
    </row>
    <row r="284" spans="1:2" x14ac:dyDescent="0.2">
      <c r="A284" s="21">
        <v>20637</v>
      </c>
      <c r="B284" s="58">
        <v>2.31</v>
      </c>
    </row>
    <row r="285" spans="1:2" x14ac:dyDescent="0.2">
      <c r="A285" s="21">
        <v>20668</v>
      </c>
      <c r="B285" s="58">
        <v>2.6</v>
      </c>
    </row>
    <row r="286" spans="1:2" x14ac:dyDescent="0.2">
      <c r="A286" s="21">
        <v>20699</v>
      </c>
      <c r="B286" s="58">
        <v>2.84</v>
      </c>
    </row>
    <row r="287" spans="1:2" x14ac:dyDescent="0.2">
      <c r="A287" s="21">
        <v>20729</v>
      </c>
      <c r="B287" s="58">
        <v>2.9</v>
      </c>
    </row>
    <row r="288" spans="1:2" x14ac:dyDescent="0.2">
      <c r="A288" s="21">
        <v>20760</v>
      </c>
      <c r="B288" s="58">
        <v>2.99</v>
      </c>
    </row>
    <row r="289" spans="1:2" x14ac:dyDescent="0.2">
      <c r="A289" s="21">
        <v>20790</v>
      </c>
      <c r="B289" s="58">
        <v>3.21</v>
      </c>
    </row>
    <row r="290" spans="1:2" x14ac:dyDescent="0.2">
      <c r="A290" s="21">
        <v>20821</v>
      </c>
      <c r="B290" s="58">
        <v>3.11</v>
      </c>
    </row>
    <row r="291" spans="1:2" x14ac:dyDescent="0.2">
      <c r="A291" s="21">
        <v>20852</v>
      </c>
      <c r="B291" s="58">
        <v>3.1</v>
      </c>
    </row>
    <row r="292" spans="1:2" x14ac:dyDescent="0.2">
      <c r="A292" s="21">
        <v>20880</v>
      </c>
      <c r="B292" s="58">
        <v>3.08</v>
      </c>
    </row>
    <row r="293" spans="1:2" x14ac:dyDescent="0.2">
      <c r="A293" s="21">
        <v>20911</v>
      </c>
      <c r="B293" s="58">
        <v>3.07</v>
      </c>
    </row>
    <row r="294" spans="1:2" x14ac:dyDescent="0.2">
      <c r="A294" s="21">
        <v>20941</v>
      </c>
      <c r="B294" s="58">
        <v>3.06</v>
      </c>
    </row>
    <row r="295" spans="1:2" x14ac:dyDescent="0.2">
      <c r="A295" s="21">
        <v>20972</v>
      </c>
      <c r="B295" s="58">
        <v>3.29</v>
      </c>
    </row>
    <row r="296" spans="1:2" x14ac:dyDescent="0.2">
      <c r="A296" s="21">
        <v>21002</v>
      </c>
      <c r="B296" s="58">
        <v>3.16</v>
      </c>
    </row>
    <row r="297" spans="1:2" x14ac:dyDescent="0.2">
      <c r="A297" s="21">
        <v>21033</v>
      </c>
      <c r="B297" s="58">
        <v>3.37</v>
      </c>
    </row>
    <row r="298" spans="1:2" x14ac:dyDescent="0.2">
      <c r="A298" s="21">
        <v>21064</v>
      </c>
      <c r="B298" s="58">
        <v>3.53</v>
      </c>
    </row>
    <row r="299" spans="1:2" x14ac:dyDescent="0.2">
      <c r="A299" s="21">
        <v>21094</v>
      </c>
      <c r="B299" s="58">
        <v>3.58</v>
      </c>
    </row>
    <row r="300" spans="1:2" x14ac:dyDescent="0.2">
      <c r="A300" s="21">
        <v>21125</v>
      </c>
      <c r="B300" s="58">
        <v>3.31</v>
      </c>
    </row>
    <row r="301" spans="1:2" x14ac:dyDescent="0.2">
      <c r="A301" s="21">
        <v>21155</v>
      </c>
      <c r="B301" s="58">
        <v>3.04</v>
      </c>
    </row>
    <row r="302" spans="1:2" x14ac:dyDescent="0.2">
      <c r="A302" s="21">
        <v>21186</v>
      </c>
      <c r="B302" s="58">
        <v>2.44</v>
      </c>
    </row>
    <row r="303" spans="1:2" x14ac:dyDescent="0.2">
      <c r="A303" s="21">
        <v>21217</v>
      </c>
      <c r="B303" s="58">
        <v>1.53</v>
      </c>
    </row>
    <row r="304" spans="1:2" x14ac:dyDescent="0.2">
      <c r="A304" s="21">
        <v>21245</v>
      </c>
      <c r="B304" s="58">
        <v>1.3</v>
      </c>
    </row>
    <row r="305" spans="1:2" x14ac:dyDescent="0.2">
      <c r="A305" s="21">
        <v>21276</v>
      </c>
      <c r="B305" s="58">
        <v>1.1299999999999999</v>
      </c>
    </row>
    <row r="306" spans="1:2" x14ac:dyDescent="0.2">
      <c r="A306" s="21">
        <v>21306</v>
      </c>
      <c r="B306" s="58">
        <v>0.91</v>
      </c>
    </row>
    <row r="307" spans="1:2" x14ac:dyDescent="0.2">
      <c r="A307" s="21">
        <v>21337</v>
      </c>
      <c r="B307" s="58">
        <v>0.83</v>
      </c>
    </row>
    <row r="308" spans="1:2" x14ac:dyDescent="0.2">
      <c r="A308" s="21">
        <v>21367</v>
      </c>
      <c r="B308" s="58">
        <v>0.91</v>
      </c>
    </row>
    <row r="309" spans="1:2" x14ac:dyDescent="0.2">
      <c r="A309" s="21">
        <v>21398</v>
      </c>
      <c r="B309" s="58">
        <v>1.69</v>
      </c>
    </row>
    <row r="310" spans="1:2" x14ac:dyDescent="0.2">
      <c r="A310" s="21">
        <v>21429</v>
      </c>
      <c r="B310" s="58">
        <v>2.44</v>
      </c>
    </row>
    <row r="311" spans="1:2" x14ac:dyDescent="0.2">
      <c r="A311" s="21">
        <v>21459</v>
      </c>
      <c r="B311" s="58">
        <v>2.63</v>
      </c>
    </row>
    <row r="312" spans="1:2" x14ac:dyDescent="0.2">
      <c r="A312" s="21">
        <v>21490</v>
      </c>
      <c r="B312" s="58">
        <v>2.67</v>
      </c>
    </row>
    <row r="313" spans="1:2" x14ac:dyDescent="0.2">
      <c r="A313" s="21">
        <v>21520</v>
      </c>
      <c r="B313" s="58">
        <v>2.77</v>
      </c>
    </row>
    <row r="314" spans="1:2" x14ac:dyDescent="0.2">
      <c r="A314" s="21">
        <v>21551</v>
      </c>
      <c r="B314" s="58">
        <v>2.82</v>
      </c>
    </row>
    <row r="315" spans="1:2" x14ac:dyDescent="0.2">
      <c r="A315" s="21">
        <v>21582</v>
      </c>
      <c r="B315" s="58">
        <v>2.7</v>
      </c>
    </row>
    <row r="316" spans="1:2" x14ac:dyDescent="0.2">
      <c r="A316" s="21">
        <v>21610</v>
      </c>
      <c r="B316" s="58">
        <v>2.8</v>
      </c>
    </row>
    <row r="317" spans="1:2" x14ac:dyDescent="0.2">
      <c r="A317" s="21">
        <v>21641</v>
      </c>
      <c r="B317" s="58">
        <v>2.95</v>
      </c>
    </row>
    <row r="318" spans="1:2" x14ac:dyDescent="0.2">
      <c r="A318" s="21">
        <v>21671</v>
      </c>
      <c r="B318" s="58">
        <v>2.84</v>
      </c>
    </row>
    <row r="319" spans="1:2" x14ac:dyDescent="0.2">
      <c r="A319" s="21">
        <v>21702</v>
      </c>
      <c r="B319" s="58">
        <v>3.21</v>
      </c>
    </row>
    <row r="320" spans="1:2" x14ac:dyDescent="0.2">
      <c r="A320" s="21">
        <v>21732</v>
      </c>
      <c r="B320" s="58">
        <v>3.2</v>
      </c>
    </row>
    <row r="321" spans="1:2" x14ac:dyDescent="0.2">
      <c r="A321" s="21">
        <v>21763</v>
      </c>
      <c r="B321" s="58">
        <v>3.38</v>
      </c>
    </row>
    <row r="322" spans="1:2" x14ac:dyDescent="0.2">
      <c r="A322" s="21">
        <v>21794</v>
      </c>
      <c r="B322" s="58">
        <v>4.04</v>
      </c>
    </row>
    <row r="323" spans="1:2" x14ac:dyDescent="0.2">
      <c r="A323" s="21">
        <v>21824</v>
      </c>
      <c r="B323" s="58">
        <v>4.05</v>
      </c>
    </row>
    <row r="324" spans="1:2" x14ac:dyDescent="0.2">
      <c r="A324" s="21">
        <v>21855</v>
      </c>
      <c r="B324" s="58">
        <v>4.1500000000000004</v>
      </c>
    </row>
    <row r="325" spans="1:2" x14ac:dyDescent="0.2">
      <c r="A325" s="21">
        <v>21885</v>
      </c>
      <c r="B325" s="58">
        <v>4.49</v>
      </c>
    </row>
    <row r="326" spans="1:2" x14ac:dyDescent="0.2">
      <c r="A326" s="21">
        <v>21916</v>
      </c>
      <c r="B326" s="58">
        <v>4.3499999999999996</v>
      </c>
    </row>
    <row r="327" spans="1:2" x14ac:dyDescent="0.2">
      <c r="A327" s="21">
        <v>21947</v>
      </c>
      <c r="B327" s="58">
        <v>3.96</v>
      </c>
    </row>
    <row r="328" spans="1:2" x14ac:dyDescent="0.2">
      <c r="A328" s="21">
        <v>21976</v>
      </c>
      <c r="B328" s="58">
        <v>3.31</v>
      </c>
    </row>
    <row r="329" spans="1:2" x14ac:dyDescent="0.2">
      <c r="A329" s="21">
        <v>22007</v>
      </c>
      <c r="B329" s="58">
        <v>3.23</v>
      </c>
    </row>
    <row r="330" spans="1:2" x14ac:dyDescent="0.2">
      <c r="A330" s="21">
        <v>22037</v>
      </c>
      <c r="B330" s="58">
        <v>3.29</v>
      </c>
    </row>
    <row r="331" spans="1:2" x14ac:dyDescent="0.2">
      <c r="A331" s="21">
        <v>22068</v>
      </c>
      <c r="B331" s="58">
        <v>2.46</v>
      </c>
    </row>
    <row r="332" spans="1:2" x14ac:dyDescent="0.2">
      <c r="A332" s="21">
        <v>22098</v>
      </c>
      <c r="B332" s="58">
        <v>2.2999999999999998</v>
      </c>
    </row>
    <row r="333" spans="1:2" x14ac:dyDescent="0.2">
      <c r="A333" s="21">
        <v>22129</v>
      </c>
      <c r="B333" s="58">
        <v>2.2999999999999998</v>
      </c>
    </row>
    <row r="334" spans="1:2" x14ac:dyDescent="0.2">
      <c r="A334" s="21">
        <v>22160</v>
      </c>
      <c r="B334" s="58">
        <v>2.48</v>
      </c>
    </row>
    <row r="335" spans="1:2" x14ac:dyDescent="0.2">
      <c r="A335" s="21">
        <v>22190</v>
      </c>
      <c r="B335" s="58">
        <v>2.2999999999999998</v>
      </c>
    </row>
    <row r="336" spans="1:2" x14ac:dyDescent="0.2">
      <c r="A336" s="21">
        <v>22221</v>
      </c>
      <c r="B336" s="58">
        <v>2.37</v>
      </c>
    </row>
    <row r="337" spans="1:2" x14ac:dyDescent="0.2">
      <c r="A337" s="21">
        <v>22251</v>
      </c>
      <c r="B337" s="58">
        <v>2.25</v>
      </c>
    </row>
    <row r="338" spans="1:2" x14ac:dyDescent="0.2">
      <c r="A338" s="21">
        <v>22282</v>
      </c>
      <c r="B338" s="58">
        <v>2.2400000000000002</v>
      </c>
    </row>
    <row r="339" spans="1:2" x14ac:dyDescent="0.2">
      <c r="A339" s="21">
        <v>22313</v>
      </c>
      <c r="B339" s="58">
        <v>2.42</v>
      </c>
    </row>
    <row r="340" spans="1:2" x14ac:dyDescent="0.2">
      <c r="A340" s="21">
        <v>22341</v>
      </c>
      <c r="B340" s="58">
        <v>2.39</v>
      </c>
    </row>
    <row r="341" spans="1:2" x14ac:dyDescent="0.2">
      <c r="A341" s="21">
        <v>22372</v>
      </c>
      <c r="B341" s="58">
        <v>2.29</v>
      </c>
    </row>
    <row r="342" spans="1:2" x14ac:dyDescent="0.2">
      <c r="A342" s="21">
        <v>22402</v>
      </c>
      <c r="B342" s="58">
        <v>2.29</v>
      </c>
    </row>
    <row r="343" spans="1:2" x14ac:dyDescent="0.2">
      <c r="A343" s="21">
        <v>22433</v>
      </c>
      <c r="B343" s="58">
        <v>2.33</v>
      </c>
    </row>
    <row r="344" spans="1:2" x14ac:dyDescent="0.2">
      <c r="A344" s="21">
        <v>22463</v>
      </c>
      <c r="B344" s="58">
        <v>2.2400000000000002</v>
      </c>
    </row>
    <row r="345" spans="1:2" x14ac:dyDescent="0.2">
      <c r="A345" s="21">
        <v>22494</v>
      </c>
      <c r="B345" s="58">
        <v>2.39</v>
      </c>
    </row>
    <row r="346" spans="1:2" x14ac:dyDescent="0.2">
      <c r="A346" s="21">
        <v>22525</v>
      </c>
      <c r="B346" s="58">
        <v>2.2799999999999998</v>
      </c>
    </row>
    <row r="347" spans="1:2" x14ac:dyDescent="0.2">
      <c r="A347" s="21">
        <v>22555</v>
      </c>
      <c r="B347" s="58">
        <v>2.2999999999999998</v>
      </c>
    </row>
    <row r="348" spans="1:2" x14ac:dyDescent="0.2">
      <c r="A348" s="21">
        <v>22586</v>
      </c>
      <c r="B348" s="58">
        <v>2.48</v>
      </c>
    </row>
    <row r="349" spans="1:2" x14ac:dyDescent="0.2">
      <c r="A349" s="21">
        <v>22616</v>
      </c>
      <c r="B349" s="58">
        <v>2.6</v>
      </c>
    </row>
    <row r="350" spans="1:2" x14ac:dyDescent="0.2">
      <c r="A350" s="21">
        <v>22647</v>
      </c>
      <c r="B350" s="58">
        <v>2.72</v>
      </c>
    </row>
    <row r="351" spans="1:2" x14ac:dyDescent="0.2">
      <c r="A351" s="21">
        <v>22678</v>
      </c>
      <c r="B351" s="58">
        <v>2.73</v>
      </c>
    </row>
    <row r="352" spans="1:2" x14ac:dyDescent="0.2">
      <c r="A352" s="21">
        <v>22706</v>
      </c>
      <c r="B352" s="58">
        <v>2.72</v>
      </c>
    </row>
    <row r="353" spans="1:2" x14ac:dyDescent="0.2">
      <c r="A353" s="21">
        <v>22737</v>
      </c>
      <c r="B353" s="58">
        <v>2.73</v>
      </c>
    </row>
    <row r="354" spans="1:2" x14ac:dyDescent="0.2">
      <c r="A354" s="21">
        <v>22767</v>
      </c>
      <c r="B354" s="58">
        <v>2.69</v>
      </c>
    </row>
    <row r="355" spans="1:2" x14ac:dyDescent="0.2">
      <c r="A355" s="21">
        <v>22798</v>
      </c>
      <c r="B355" s="58">
        <v>2.73</v>
      </c>
    </row>
    <row r="356" spans="1:2" x14ac:dyDescent="0.2">
      <c r="A356" s="21">
        <v>22828</v>
      </c>
      <c r="B356" s="58">
        <v>2.92</v>
      </c>
    </row>
    <row r="357" spans="1:2" x14ac:dyDescent="0.2">
      <c r="A357" s="21">
        <v>22859</v>
      </c>
      <c r="B357" s="58">
        <v>2.82</v>
      </c>
    </row>
    <row r="358" spans="1:2" x14ac:dyDescent="0.2">
      <c r="A358" s="21">
        <v>22890</v>
      </c>
      <c r="B358" s="58">
        <v>2.78</v>
      </c>
    </row>
    <row r="359" spans="1:2" x14ac:dyDescent="0.2">
      <c r="A359" s="21">
        <v>22920</v>
      </c>
      <c r="B359" s="58">
        <v>2.74</v>
      </c>
    </row>
    <row r="360" spans="1:2" x14ac:dyDescent="0.2">
      <c r="A360" s="21">
        <v>22951</v>
      </c>
      <c r="B360" s="58">
        <v>2.83</v>
      </c>
    </row>
    <row r="361" spans="1:2" x14ac:dyDescent="0.2">
      <c r="A361" s="21">
        <v>22981</v>
      </c>
      <c r="B361" s="58">
        <v>2.87</v>
      </c>
    </row>
    <row r="362" spans="1:2" x14ac:dyDescent="0.2">
      <c r="A362" s="21">
        <v>23012</v>
      </c>
      <c r="B362" s="58">
        <v>2.91</v>
      </c>
    </row>
    <row r="363" spans="1:2" x14ac:dyDescent="0.2">
      <c r="A363" s="21">
        <v>23043</v>
      </c>
      <c r="B363" s="58">
        <v>2.92</v>
      </c>
    </row>
    <row r="364" spans="1:2" x14ac:dyDescent="0.2">
      <c r="A364" s="21">
        <v>23071</v>
      </c>
      <c r="B364" s="58">
        <v>2.89</v>
      </c>
    </row>
    <row r="365" spans="1:2" x14ac:dyDescent="0.2">
      <c r="A365" s="21">
        <v>23102</v>
      </c>
      <c r="B365" s="58">
        <v>2.9</v>
      </c>
    </row>
    <row r="366" spans="1:2" x14ac:dyDescent="0.2">
      <c r="A366" s="21">
        <v>23132</v>
      </c>
      <c r="B366" s="58">
        <v>2.93</v>
      </c>
    </row>
    <row r="367" spans="1:2" x14ac:dyDescent="0.2">
      <c r="A367" s="21">
        <v>23163</v>
      </c>
      <c r="B367" s="58">
        <v>2.99</v>
      </c>
    </row>
    <row r="368" spans="1:2" x14ac:dyDescent="0.2">
      <c r="A368" s="21">
        <v>23193</v>
      </c>
      <c r="B368" s="58">
        <v>3.18</v>
      </c>
    </row>
    <row r="369" spans="1:2" x14ac:dyDescent="0.2">
      <c r="A369" s="21">
        <v>23224</v>
      </c>
      <c r="B369" s="58">
        <v>3.32</v>
      </c>
    </row>
    <row r="370" spans="1:2" x14ac:dyDescent="0.2">
      <c r="A370" s="21">
        <v>23255</v>
      </c>
      <c r="B370" s="58">
        <v>3.38</v>
      </c>
    </row>
    <row r="371" spans="1:2" x14ac:dyDescent="0.2">
      <c r="A371" s="21">
        <v>23285</v>
      </c>
      <c r="B371" s="58">
        <v>3.45</v>
      </c>
    </row>
    <row r="372" spans="1:2" x14ac:dyDescent="0.2">
      <c r="A372" s="21">
        <v>23316</v>
      </c>
      <c r="B372" s="58">
        <v>3.52</v>
      </c>
    </row>
    <row r="373" spans="1:2" x14ac:dyDescent="0.2">
      <c r="A373" s="21">
        <v>23346</v>
      </c>
      <c r="B373" s="58">
        <v>3.52</v>
      </c>
    </row>
    <row r="374" spans="1:2" x14ac:dyDescent="0.2">
      <c r="A374" s="21">
        <v>23377</v>
      </c>
      <c r="B374" s="58">
        <v>3.52</v>
      </c>
    </row>
    <row r="375" spans="1:2" x14ac:dyDescent="0.2">
      <c r="A375" s="21">
        <v>23408</v>
      </c>
      <c r="B375" s="58">
        <v>3.53</v>
      </c>
    </row>
    <row r="376" spans="1:2" x14ac:dyDescent="0.2">
      <c r="A376" s="21">
        <v>23437</v>
      </c>
      <c r="B376" s="58">
        <v>3.54</v>
      </c>
    </row>
    <row r="377" spans="1:2" x14ac:dyDescent="0.2">
      <c r="A377" s="21">
        <v>23468</v>
      </c>
      <c r="B377" s="58">
        <v>3.47</v>
      </c>
    </row>
    <row r="378" spans="1:2" x14ac:dyDescent="0.2">
      <c r="A378" s="21">
        <v>23498</v>
      </c>
      <c r="B378" s="58">
        <v>3.48</v>
      </c>
    </row>
    <row r="379" spans="1:2" x14ac:dyDescent="0.2">
      <c r="A379" s="21">
        <v>23529</v>
      </c>
      <c r="B379" s="58">
        <v>3.48</v>
      </c>
    </row>
    <row r="380" spans="1:2" x14ac:dyDescent="0.2">
      <c r="A380" s="21">
        <v>23559</v>
      </c>
      <c r="B380" s="58">
        <v>3.46</v>
      </c>
    </row>
    <row r="381" spans="1:2" x14ac:dyDescent="0.2">
      <c r="A381" s="21">
        <v>23590</v>
      </c>
      <c r="B381" s="58">
        <v>3.5</v>
      </c>
    </row>
    <row r="382" spans="1:2" x14ac:dyDescent="0.2">
      <c r="A382" s="21">
        <v>23621</v>
      </c>
      <c r="B382" s="58">
        <v>3.53</v>
      </c>
    </row>
    <row r="383" spans="1:2" x14ac:dyDescent="0.2">
      <c r="A383" s="21">
        <v>23651</v>
      </c>
      <c r="B383" s="58">
        <v>3.57</v>
      </c>
    </row>
    <row r="384" spans="1:2" x14ac:dyDescent="0.2">
      <c r="A384" s="21">
        <v>23682</v>
      </c>
      <c r="B384" s="58">
        <v>3.64</v>
      </c>
    </row>
    <row r="385" spans="1:2" x14ac:dyDescent="0.2">
      <c r="A385" s="21">
        <v>23712</v>
      </c>
      <c r="B385" s="58">
        <v>3.84</v>
      </c>
    </row>
    <row r="386" spans="1:2" x14ac:dyDescent="0.2">
      <c r="A386" s="21">
        <v>23743</v>
      </c>
      <c r="B386" s="58">
        <v>3.81</v>
      </c>
    </row>
    <row r="387" spans="1:2" x14ac:dyDescent="0.2">
      <c r="A387" s="21">
        <v>23774</v>
      </c>
      <c r="B387" s="58">
        <v>3.93</v>
      </c>
    </row>
    <row r="388" spans="1:2" x14ac:dyDescent="0.2">
      <c r="A388" s="21">
        <v>23802</v>
      </c>
      <c r="B388" s="58">
        <v>3.93</v>
      </c>
    </row>
    <row r="389" spans="1:2" x14ac:dyDescent="0.2">
      <c r="A389" s="21">
        <v>23833</v>
      </c>
      <c r="B389" s="58">
        <v>3.93</v>
      </c>
    </row>
    <row r="390" spans="1:2" x14ac:dyDescent="0.2">
      <c r="A390" s="21">
        <v>23863</v>
      </c>
      <c r="B390" s="58">
        <v>3.89</v>
      </c>
    </row>
    <row r="391" spans="1:2" x14ac:dyDescent="0.2">
      <c r="A391" s="21">
        <v>23894</v>
      </c>
      <c r="B391" s="58">
        <v>3.8</v>
      </c>
    </row>
    <row r="392" spans="1:2" x14ac:dyDescent="0.2">
      <c r="A392" s="21">
        <v>23924</v>
      </c>
      <c r="B392" s="58">
        <v>3.84</v>
      </c>
    </row>
    <row r="393" spans="1:2" x14ac:dyDescent="0.2">
      <c r="A393" s="21">
        <v>23955</v>
      </c>
      <c r="B393" s="58">
        <v>3.84</v>
      </c>
    </row>
    <row r="394" spans="1:2" x14ac:dyDescent="0.2">
      <c r="A394" s="21">
        <v>23986</v>
      </c>
      <c r="B394" s="58">
        <v>3.92</v>
      </c>
    </row>
    <row r="395" spans="1:2" x14ac:dyDescent="0.2">
      <c r="A395" s="21">
        <v>24016</v>
      </c>
      <c r="B395" s="58">
        <v>4.03</v>
      </c>
    </row>
    <row r="396" spans="1:2" x14ac:dyDescent="0.2">
      <c r="A396" s="21">
        <v>24047</v>
      </c>
      <c r="B396" s="58">
        <v>4.09</v>
      </c>
    </row>
    <row r="397" spans="1:2" x14ac:dyDescent="0.2">
      <c r="A397" s="21">
        <v>24077</v>
      </c>
      <c r="B397" s="58">
        <v>4.38</v>
      </c>
    </row>
    <row r="398" spans="1:2" x14ac:dyDescent="0.2">
      <c r="A398" s="21">
        <v>24108</v>
      </c>
      <c r="B398" s="58">
        <v>4.59</v>
      </c>
    </row>
    <row r="399" spans="1:2" x14ac:dyDescent="0.2">
      <c r="A399" s="21">
        <v>24139</v>
      </c>
      <c r="B399" s="58">
        <v>4.6500000000000004</v>
      </c>
    </row>
    <row r="400" spans="1:2" x14ac:dyDescent="0.2">
      <c r="A400" s="21">
        <v>24167</v>
      </c>
      <c r="B400" s="58">
        <v>4.59</v>
      </c>
    </row>
    <row r="401" spans="1:2" x14ac:dyDescent="0.2">
      <c r="A401" s="21">
        <v>24198</v>
      </c>
      <c r="B401" s="58">
        <v>4.62</v>
      </c>
    </row>
    <row r="402" spans="1:2" x14ac:dyDescent="0.2">
      <c r="A402" s="21">
        <v>24228</v>
      </c>
      <c r="B402" s="58">
        <v>4.6399999999999997</v>
      </c>
    </row>
    <row r="403" spans="1:2" x14ac:dyDescent="0.2">
      <c r="A403" s="21">
        <v>24259</v>
      </c>
      <c r="B403" s="58">
        <v>4.5</v>
      </c>
    </row>
    <row r="404" spans="1:2" x14ac:dyDescent="0.2">
      <c r="A404" s="21">
        <v>24289</v>
      </c>
      <c r="B404" s="58">
        <v>4.8</v>
      </c>
    </row>
    <row r="405" spans="1:2" x14ac:dyDescent="0.2">
      <c r="A405" s="21">
        <v>24320</v>
      </c>
      <c r="B405" s="58">
        <v>4.96</v>
      </c>
    </row>
    <row r="406" spans="1:2" x14ac:dyDescent="0.2">
      <c r="A406" s="21">
        <v>24351</v>
      </c>
      <c r="B406" s="58">
        <v>5.37</v>
      </c>
    </row>
    <row r="407" spans="1:2" x14ac:dyDescent="0.2">
      <c r="A407" s="21">
        <v>24381</v>
      </c>
      <c r="B407" s="58">
        <v>5.35</v>
      </c>
    </row>
    <row r="408" spans="1:2" x14ac:dyDescent="0.2">
      <c r="A408" s="21">
        <v>24412</v>
      </c>
      <c r="B408" s="58">
        <v>5.32</v>
      </c>
    </row>
    <row r="409" spans="1:2" x14ac:dyDescent="0.2">
      <c r="A409" s="21">
        <v>24442</v>
      </c>
      <c r="B409" s="58">
        <v>4.96</v>
      </c>
    </row>
    <row r="410" spans="1:2" x14ac:dyDescent="0.2">
      <c r="A410" s="21">
        <v>24473</v>
      </c>
      <c r="B410" s="58">
        <v>4.72</v>
      </c>
    </row>
    <row r="411" spans="1:2" x14ac:dyDescent="0.2">
      <c r="A411" s="21">
        <v>24504</v>
      </c>
      <c r="B411" s="58">
        <v>4.5599999999999996</v>
      </c>
    </row>
    <row r="412" spans="1:2" x14ac:dyDescent="0.2">
      <c r="A412" s="21">
        <v>24532</v>
      </c>
      <c r="B412" s="58">
        <v>4.26</v>
      </c>
    </row>
    <row r="413" spans="1:2" x14ac:dyDescent="0.2">
      <c r="A413" s="21">
        <v>24563</v>
      </c>
      <c r="B413" s="58">
        <v>3.84</v>
      </c>
    </row>
    <row r="414" spans="1:2" x14ac:dyDescent="0.2">
      <c r="A414" s="21">
        <v>24593</v>
      </c>
      <c r="B414" s="58">
        <v>3.6</v>
      </c>
    </row>
    <row r="415" spans="1:2" x14ac:dyDescent="0.2">
      <c r="A415" s="21">
        <v>24624</v>
      </c>
      <c r="B415" s="58">
        <v>3.54</v>
      </c>
    </row>
    <row r="416" spans="1:2" x14ac:dyDescent="0.2">
      <c r="A416" s="21">
        <v>24654</v>
      </c>
      <c r="B416" s="58">
        <v>4.21</v>
      </c>
    </row>
    <row r="417" spans="1:2" x14ac:dyDescent="0.2">
      <c r="A417" s="21">
        <v>24685</v>
      </c>
      <c r="B417" s="58">
        <v>4.2699999999999996</v>
      </c>
    </row>
    <row r="418" spans="1:2" x14ac:dyDescent="0.2">
      <c r="A418" s="21">
        <v>24716</v>
      </c>
      <c r="B418" s="58">
        <v>4.42</v>
      </c>
    </row>
    <row r="419" spans="1:2" x14ac:dyDescent="0.2">
      <c r="A419" s="21">
        <v>24746</v>
      </c>
      <c r="B419" s="58">
        <v>4.5599999999999996</v>
      </c>
    </row>
    <row r="420" spans="1:2" x14ac:dyDescent="0.2">
      <c r="A420" s="21">
        <v>24777</v>
      </c>
      <c r="B420" s="58">
        <v>4.7300000000000004</v>
      </c>
    </row>
    <row r="421" spans="1:2" x14ac:dyDescent="0.2">
      <c r="A421" s="21">
        <v>24807</v>
      </c>
      <c r="B421" s="58">
        <v>4.97</v>
      </c>
    </row>
    <row r="422" spans="1:2" x14ac:dyDescent="0.2">
      <c r="A422" s="21">
        <v>24838</v>
      </c>
      <c r="B422" s="58">
        <v>5</v>
      </c>
    </row>
    <row r="423" spans="1:2" x14ac:dyDescent="0.2">
      <c r="A423" s="21">
        <v>24869</v>
      </c>
      <c r="B423" s="58">
        <v>4.9800000000000004</v>
      </c>
    </row>
    <row r="424" spans="1:2" x14ac:dyDescent="0.2">
      <c r="A424" s="21">
        <v>24898</v>
      </c>
      <c r="B424" s="58">
        <v>5.17</v>
      </c>
    </row>
    <row r="425" spans="1:2" x14ac:dyDescent="0.2">
      <c r="A425" s="21">
        <v>24929</v>
      </c>
      <c r="B425" s="58">
        <v>5.38</v>
      </c>
    </row>
    <row r="426" spans="1:2" x14ac:dyDescent="0.2">
      <c r="A426" s="21">
        <v>24959</v>
      </c>
      <c r="B426" s="58">
        <v>5.66</v>
      </c>
    </row>
    <row r="427" spans="1:2" x14ac:dyDescent="0.2">
      <c r="A427" s="21">
        <v>24990</v>
      </c>
      <c r="B427" s="58">
        <v>5.52</v>
      </c>
    </row>
    <row r="428" spans="1:2" x14ac:dyDescent="0.2">
      <c r="A428" s="21">
        <v>25020</v>
      </c>
      <c r="B428" s="58">
        <v>5.31</v>
      </c>
    </row>
    <row r="429" spans="1:2" x14ac:dyDescent="0.2">
      <c r="A429" s="21">
        <v>25051</v>
      </c>
      <c r="B429" s="58">
        <v>5.09</v>
      </c>
    </row>
    <row r="430" spans="1:2" x14ac:dyDescent="0.2">
      <c r="A430" s="21">
        <v>25082</v>
      </c>
      <c r="B430" s="58">
        <v>5.19</v>
      </c>
    </row>
    <row r="431" spans="1:2" x14ac:dyDescent="0.2">
      <c r="A431" s="21">
        <v>25112</v>
      </c>
      <c r="B431" s="58">
        <v>5.35</v>
      </c>
    </row>
    <row r="432" spans="1:2" x14ac:dyDescent="0.2">
      <c r="A432" s="21">
        <v>25143</v>
      </c>
      <c r="B432" s="58">
        <v>5.45</v>
      </c>
    </row>
    <row r="433" spans="1:2" x14ac:dyDescent="0.2">
      <c r="A433" s="21">
        <v>25173</v>
      </c>
      <c r="B433" s="58">
        <v>5.96</v>
      </c>
    </row>
    <row r="434" spans="1:2" x14ac:dyDescent="0.2">
      <c r="A434" s="21">
        <v>25204</v>
      </c>
      <c r="B434" s="58">
        <v>6.14</v>
      </c>
    </row>
    <row r="435" spans="1:2" x14ac:dyDescent="0.2">
      <c r="A435" s="21">
        <v>25235</v>
      </c>
      <c r="B435" s="58">
        <v>6.12</v>
      </c>
    </row>
    <row r="436" spans="1:2" x14ac:dyDescent="0.2">
      <c r="A436" s="21">
        <v>25263</v>
      </c>
      <c r="B436" s="58">
        <v>6.02</v>
      </c>
    </row>
    <row r="437" spans="1:2" x14ac:dyDescent="0.2">
      <c r="A437" s="21">
        <v>25294</v>
      </c>
      <c r="B437" s="58">
        <v>6.11</v>
      </c>
    </row>
    <row r="438" spans="1:2" x14ac:dyDescent="0.2">
      <c r="A438" s="21">
        <v>25324</v>
      </c>
      <c r="B438" s="58">
        <v>6.04</v>
      </c>
    </row>
    <row r="439" spans="1:2" x14ac:dyDescent="0.2">
      <c r="A439" s="21">
        <v>25355</v>
      </c>
      <c r="B439" s="58">
        <v>6.44</v>
      </c>
    </row>
    <row r="440" spans="1:2" x14ac:dyDescent="0.2">
      <c r="A440" s="21">
        <v>25385</v>
      </c>
      <c r="B440" s="58">
        <v>7</v>
      </c>
    </row>
    <row r="441" spans="1:2" x14ac:dyDescent="0.2">
      <c r="A441" s="21">
        <v>25416</v>
      </c>
      <c r="B441" s="58">
        <v>6.98</v>
      </c>
    </row>
    <row r="442" spans="1:2" x14ac:dyDescent="0.2">
      <c r="A442" s="21">
        <v>25447</v>
      </c>
      <c r="B442" s="58">
        <v>7.09</v>
      </c>
    </row>
    <row r="443" spans="1:2" x14ac:dyDescent="0.2">
      <c r="A443" s="21">
        <v>25477</v>
      </c>
      <c r="B443" s="58">
        <v>7</v>
      </c>
    </row>
    <row r="444" spans="1:2" x14ac:dyDescent="0.2">
      <c r="A444" s="21">
        <v>25508</v>
      </c>
      <c r="B444" s="58">
        <v>7.24</v>
      </c>
    </row>
    <row r="445" spans="1:2" x14ac:dyDescent="0.2">
      <c r="A445" s="21">
        <v>25538</v>
      </c>
      <c r="B445" s="58">
        <v>7.82</v>
      </c>
    </row>
    <row r="446" spans="1:2" x14ac:dyDescent="0.2">
      <c r="A446" s="21">
        <v>25569</v>
      </c>
      <c r="B446" s="58">
        <v>7.87</v>
      </c>
    </row>
    <row r="447" spans="1:2" x14ac:dyDescent="0.2">
      <c r="A447" s="21">
        <v>25600</v>
      </c>
      <c r="B447" s="58">
        <v>7.13</v>
      </c>
    </row>
    <row r="448" spans="1:2" x14ac:dyDescent="0.2">
      <c r="A448" s="21">
        <v>25628</v>
      </c>
      <c r="B448" s="58">
        <v>6.63</v>
      </c>
    </row>
    <row r="449" spans="1:2" x14ac:dyDescent="0.2">
      <c r="A449" s="21">
        <v>25659</v>
      </c>
      <c r="B449" s="58">
        <v>6.51</v>
      </c>
    </row>
    <row r="450" spans="1:2" x14ac:dyDescent="0.2">
      <c r="A450" s="21">
        <v>25689</v>
      </c>
      <c r="B450" s="58">
        <v>6.84</v>
      </c>
    </row>
    <row r="451" spans="1:2" x14ac:dyDescent="0.2">
      <c r="A451" s="21">
        <v>25720</v>
      </c>
      <c r="B451" s="58">
        <v>6.68</v>
      </c>
    </row>
    <row r="452" spans="1:2" x14ac:dyDescent="0.2">
      <c r="A452" s="21">
        <v>25750</v>
      </c>
      <c r="B452" s="58">
        <v>6.45</v>
      </c>
    </row>
    <row r="453" spans="1:2" x14ac:dyDescent="0.2">
      <c r="A453" s="21">
        <v>25781</v>
      </c>
      <c r="B453" s="58">
        <v>6.41</v>
      </c>
    </row>
    <row r="454" spans="1:2" x14ac:dyDescent="0.2">
      <c r="A454" s="21">
        <v>25812</v>
      </c>
      <c r="B454" s="58">
        <v>6.12</v>
      </c>
    </row>
    <row r="455" spans="1:2" x14ac:dyDescent="0.2">
      <c r="A455" s="21">
        <v>25842</v>
      </c>
      <c r="B455" s="58">
        <v>5.91</v>
      </c>
    </row>
    <row r="456" spans="1:2" x14ac:dyDescent="0.2">
      <c r="A456" s="21">
        <v>25873</v>
      </c>
      <c r="B456" s="58">
        <v>5.28</v>
      </c>
    </row>
    <row r="457" spans="1:2" x14ac:dyDescent="0.2">
      <c r="A457" s="21">
        <v>25903</v>
      </c>
      <c r="B457" s="58">
        <v>4.87</v>
      </c>
    </row>
    <row r="458" spans="1:2" x14ac:dyDescent="0.2">
      <c r="A458" s="21">
        <v>25934</v>
      </c>
      <c r="B458" s="58">
        <v>4.4400000000000004</v>
      </c>
    </row>
    <row r="459" spans="1:2" x14ac:dyDescent="0.2">
      <c r="A459" s="21">
        <v>25965</v>
      </c>
      <c r="B459" s="58">
        <v>3.7</v>
      </c>
    </row>
    <row r="460" spans="1:2" x14ac:dyDescent="0.2">
      <c r="A460" s="21">
        <v>25993</v>
      </c>
      <c r="B460" s="58">
        <v>3.38</v>
      </c>
    </row>
    <row r="461" spans="1:2" x14ac:dyDescent="0.2">
      <c r="A461" s="21">
        <v>26024</v>
      </c>
      <c r="B461" s="58">
        <v>3.86</v>
      </c>
    </row>
    <row r="462" spans="1:2" x14ac:dyDescent="0.2">
      <c r="A462" s="21">
        <v>26054</v>
      </c>
      <c r="B462" s="58">
        <v>4.1399999999999997</v>
      </c>
    </row>
    <row r="463" spans="1:2" x14ac:dyDescent="0.2">
      <c r="A463" s="21">
        <v>26085</v>
      </c>
      <c r="B463" s="58">
        <v>4.75</v>
      </c>
    </row>
    <row r="464" spans="1:2" x14ac:dyDescent="0.2">
      <c r="A464" s="21">
        <v>26115</v>
      </c>
      <c r="B464" s="58">
        <v>5.4</v>
      </c>
    </row>
    <row r="465" spans="1:2" x14ac:dyDescent="0.2">
      <c r="A465" s="21">
        <v>26146</v>
      </c>
      <c r="B465" s="58">
        <v>4.9400000000000004</v>
      </c>
    </row>
    <row r="466" spans="1:2" x14ac:dyDescent="0.2">
      <c r="A466" s="21">
        <v>26177</v>
      </c>
      <c r="B466" s="58">
        <v>4.6900000000000004</v>
      </c>
    </row>
    <row r="467" spans="1:2" x14ac:dyDescent="0.2">
      <c r="A467" s="21">
        <v>26207</v>
      </c>
      <c r="B467" s="58">
        <v>4.46</v>
      </c>
    </row>
    <row r="468" spans="1:2" x14ac:dyDescent="0.2">
      <c r="A468" s="21">
        <v>26238</v>
      </c>
      <c r="B468" s="58">
        <v>4.22</v>
      </c>
    </row>
    <row r="469" spans="1:2" x14ac:dyDescent="0.2">
      <c r="A469" s="21">
        <v>26268</v>
      </c>
      <c r="B469" s="58">
        <v>4.01</v>
      </c>
    </row>
    <row r="470" spans="1:2" x14ac:dyDescent="0.2">
      <c r="A470" s="21">
        <v>26299</v>
      </c>
      <c r="B470" s="58">
        <v>3.38</v>
      </c>
    </row>
    <row r="471" spans="1:2" x14ac:dyDescent="0.2">
      <c r="A471" s="21">
        <v>26330</v>
      </c>
      <c r="B471" s="58">
        <v>3.2</v>
      </c>
    </row>
    <row r="472" spans="1:2" x14ac:dyDescent="0.2">
      <c r="A472" s="21">
        <v>26359</v>
      </c>
      <c r="B472" s="58">
        <v>3.73</v>
      </c>
    </row>
    <row r="473" spans="1:2" x14ac:dyDescent="0.2">
      <c r="A473" s="21">
        <v>26390</v>
      </c>
      <c r="B473" s="58">
        <v>3.71</v>
      </c>
    </row>
    <row r="474" spans="1:2" x14ac:dyDescent="0.2">
      <c r="A474" s="21">
        <v>26420</v>
      </c>
      <c r="B474" s="58">
        <v>3.69</v>
      </c>
    </row>
    <row r="475" spans="1:2" x14ac:dyDescent="0.2">
      <c r="A475" s="21">
        <v>26451</v>
      </c>
      <c r="B475" s="58">
        <v>3.91</v>
      </c>
    </row>
    <row r="476" spans="1:2" x14ac:dyDescent="0.2">
      <c r="A476" s="21">
        <v>26481</v>
      </c>
      <c r="B476" s="58">
        <v>3.98</v>
      </c>
    </row>
    <row r="477" spans="1:2" x14ac:dyDescent="0.2">
      <c r="A477" s="21">
        <v>26512</v>
      </c>
      <c r="B477" s="58">
        <v>4.0199999999999996</v>
      </c>
    </row>
    <row r="478" spans="1:2" x14ac:dyDescent="0.2">
      <c r="A478" s="21">
        <v>26543</v>
      </c>
      <c r="B478" s="58">
        <v>4.66</v>
      </c>
    </row>
    <row r="479" spans="1:2" x14ac:dyDescent="0.2">
      <c r="A479" s="21">
        <v>26573</v>
      </c>
      <c r="B479" s="58">
        <v>4.74</v>
      </c>
    </row>
    <row r="480" spans="1:2" x14ac:dyDescent="0.2">
      <c r="A480" s="21">
        <v>26604</v>
      </c>
      <c r="B480" s="58">
        <v>4.78</v>
      </c>
    </row>
    <row r="481" spans="1:2" x14ac:dyDescent="0.2">
      <c r="A481" s="21">
        <v>26634</v>
      </c>
      <c r="B481" s="58">
        <v>5.07</v>
      </c>
    </row>
    <row r="482" spans="1:2" x14ac:dyDescent="0.2">
      <c r="A482" s="21">
        <v>26665</v>
      </c>
      <c r="B482" s="58">
        <v>5.41</v>
      </c>
    </row>
    <row r="483" spans="1:2" x14ac:dyDescent="0.2">
      <c r="A483" s="21">
        <v>26696</v>
      </c>
      <c r="B483" s="58">
        <v>5.6</v>
      </c>
    </row>
    <row r="484" spans="1:2" x14ac:dyDescent="0.2">
      <c r="A484" s="21">
        <v>26724</v>
      </c>
      <c r="B484" s="58">
        <v>6.09</v>
      </c>
    </row>
    <row r="485" spans="1:2" x14ac:dyDescent="0.2">
      <c r="A485" s="21">
        <v>26755</v>
      </c>
      <c r="B485" s="58">
        <v>6.26</v>
      </c>
    </row>
    <row r="486" spans="1:2" x14ac:dyDescent="0.2">
      <c r="A486" s="21">
        <v>26785</v>
      </c>
      <c r="B486" s="58">
        <v>6.36</v>
      </c>
    </row>
    <row r="487" spans="1:2" x14ac:dyDescent="0.2">
      <c r="A487" s="21">
        <v>26816</v>
      </c>
      <c r="B487" s="58">
        <v>7.19</v>
      </c>
    </row>
    <row r="488" spans="1:2" x14ac:dyDescent="0.2">
      <c r="A488" s="21">
        <v>26846</v>
      </c>
      <c r="B488" s="58">
        <v>8.01</v>
      </c>
    </row>
    <row r="489" spans="1:2" x14ac:dyDescent="0.2">
      <c r="A489" s="21">
        <v>26877</v>
      </c>
      <c r="B489" s="58">
        <v>8.67</v>
      </c>
    </row>
    <row r="490" spans="1:2" x14ac:dyDescent="0.2">
      <c r="A490" s="21">
        <v>26908</v>
      </c>
      <c r="B490" s="58">
        <v>8.2899999999999991</v>
      </c>
    </row>
    <row r="491" spans="1:2" x14ac:dyDescent="0.2">
      <c r="A491" s="21">
        <v>26938</v>
      </c>
      <c r="B491" s="58">
        <v>7.22</v>
      </c>
    </row>
    <row r="492" spans="1:2" x14ac:dyDescent="0.2">
      <c r="A492" s="21">
        <v>26969</v>
      </c>
      <c r="B492" s="58">
        <v>7.83</v>
      </c>
    </row>
    <row r="493" spans="1:2" x14ac:dyDescent="0.2">
      <c r="A493" s="21">
        <v>26999</v>
      </c>
      <c r="B493" s="58">
        <v>7.45</v>
      </c>
    </row>
    <row r="494" spans="1:2" x14ac:dyDescent="0.2">
      <c r="A494" s="21">
        <v>27030</v>
      </c>
      <c r="B494" s="58">
        <v>7.77</v>
      </c>
    </row>
    <row r="495" spans="1:2" x14ac:dyDescent="0.2">
      <c r="A495" s="21">
        <v>27061</v>
      </c>
      <c r="B495" s="58">
        <v>7.12</v>
      </c>
    </row>
    <row r="496" spans="1:2" x14ac:dyDescent="0.2">
      <c r="A496" s="21">
        <v>27089</v>
      </c>
      <c r="B496" s="58">
        <v>7.96</v>
      </c>
    </row>
    <row r="497" spans="1:2" x14ac:dyDescent="0.2">
      <c r="A497" s="21">
        <v>27120</v>
      </c>
      <c r="B497" s="58">
        <v>8.33</v>
      </c>
    </row>
    <row r="498" spans="1:2" x14ac:dyDescent="0.2">
      <c r="A498" s="21">
        <v>27150</v>
      </c>
      <c r="B498" s="58">
        <v>8.23</v>
      </c>
    </row>
    <row r="499" spans="1:2" x14ac:dyDescent="0.2">
      <c r="A499" s="21">
        <v>27181</v>
      </c>
      <c r="B499" s="58">
        <v>7.9</v>
      </c>
    </row>
    <row r="500" spans="1:2" x14ac:dyDescent="0.2">
      <c r="A500" s="21">
        <v>27211</v>
      </c>
      <c r="B500" s="58">
        <v>7.55</v>
      </c>
    </row>
    <row r="501" spans="1:2" x14ac:dyDescent="0.2">
      <c r="A501" s="21">
        <v>27242</v>
      </c>
      <c r="B501" s="58">
        <v>8.9600000000000009</v>
      </c>
    </row>
    <row r="502" spans="1:2" x14ac:dyDescent="0.2">
      <c r="A502" s="21">
        <v>27273</v>
      </c>
      <c r="B502" s="58">
        <v>8.06</v>
      </c>
    </row>
    <row r="503" spans="1:2" x14ac:dyDescent="0.2">
      <c r="A503" s="21">
        <v>27303</v>
      </c>
      <c r="B503" s="58">
        <v>7.46</v>
      </c>
    </row>
    <row r="504" spans="1:2" x14ac:dyDescent="0.2">
      <c r="A504" s="21">
        <v>27334</v>
      </c>
      <c r="B504" s="58">
        <v>7.47</v>
      </c>
    </row>
    <row r="505" spans="1:2" x14ac:dyDescent="0.2">
      <c r="A505" s="21">
        <v>27364</v>
      </c>
      <c r="B505" s="58">
        <v>7.15</v>
      </c>
    </row>
    <row r="506" spans="1:2" x14ac:dyDescent="0.2">
      <c r="A506" s="21">
        <v>27395</v>
      </c>
      <c r="B506" s="58">
        <v>6.26</v>
      </c>
    </row>
    <row r="507" spans="1:2" x14ac:dyDescent="0.2">
      <c r="A507" s="21">
        <v>27426</v>
      </c>
      <c r="B507" s="58">
        <v>5.5</v>
      </c>
    </row>
    <row r="508" spans="1:2" x14ac:dyDescent="0.2">
      <c r="A508" s="21">
        <v>27454</v>
      </c>
      <c r="B508" s="58">
        <v>5.49</v>
      </c>
    </row>
    <row r="509" spans="1:2" x14ac:dyDescent="0.2">
      <c r="A509" s="21">
        <v>27485</v>
      </c>
      <c r="B509" s="58">
        <v>5.61</v>
      </c>
    </row>
    <row r="510" spans="1:2" x14ac:dyDescent="0.2">
      <c r="A510" s="21">
        <v>27515</v>
      </c>
      <c r="B510" s="58">
        <v>5.23</v>
      </c>
    </row>
    <row r="511" spans="1:2" x14ac:dyDescent="0.2">
      <c r="A511" s="21">
        <v>27546</v>
      </c>
      <c r="B511" s="58">
        <v>5.34</v>
      </c>
    </row>
    <row r="512" spans="1:2" x14ac:dyDescent="0.2">
      <c r="A512" s="21">
        <v>27576</v>
      </c>
      <c r="B512" s="58">
        <v>6.13</v>
      </c>
    </row>
    <row r="513" spans="1:2" x14ac:dyDescent="0.2">
      <c r="A513" s="21">
        <v>27607</v>
      </c>
      <c r="B513" s="58">
        <v>6.44</v>
      </c>
    </row>
    <row r="514" spans="1:2" x14ac:dyDescent="0.2">
      <c r="A514" s="21">
        <v>27638</v>
      </c>
      <c r="B514" s="58">
        <v>6.42</v>
      </c>
    </row>
    <row r="515" spans="1:2" x14ac:dyDescent="0.2">
      <c r="A515" s="21">
        <v>27668</v>
      </c>
      <c r="B515" s="58">
        <v>5.96</v>
      </c>
    </row>
    <row r="516" spans="1:2" x14ac:dyDescent="0.2">
      <c r="A516" s="21">
        <v>27699</v>
      </c>
      <c r="B516" s="58">
        <v>5.48</v>
      </c>
    </row>
    <row r="517" spans="1:2" x14ac:dyDescent="0.2">
      <c r="A517" s="21">
        <v>27729</v>
      </c>
      <c r="B517" s="58">
        <v>5.44</v>
      </c>
    </row>
    <row r="518" spans="1:2" x14ac:dyDescent="0.2">
      <c r="A518" s="21">
        <v>27760</v>
      </c>
      <c r="B518" s="58">
        <v>4.87</v>
      </c>
    </row>
    <row r="519" spans="1:2" x14ac:dyDescent="0.2">
      <c r="A519" s="21">
        <v>27791</v>
      </c>
      <c r="B519" s="58">
        <v>4.88</v>
      </c>
    </row>
    <row r="520" spans="1:2" x14ac:dyDescent="0.2">
      <c r="A520" s="21">
        <v>27820</v>
      </c>
      <c r="B520" s="58">
        <v>5</v>
      </c>
    </row>
    <row r="521" spans="1:2" x14ac:dyDescent="0.2">
      <c r="A521" s="21">
        <v>27851</v>
      </c>
      <c r="B521" s="58">
        <v>4.8600000000000003</v>
      </c>
    </row>
    <row r="522" spans="1:2" x14ac:dyDescent="0.2">
      <c r="A522" s="21">
        <v>27881</v>
      </c>
      <c r="B522" s="58">
        <v>5.2</v>
      </c>
    </row>
    <row r="523" spans="1:2" x14ac:dyDescent="0.2">
      <c r="A523" s="21">
        <v>27912</v>
      </c>
      <c r="B523" s="58">
        <v>5.41</v>
      </c>
    </row>
    <row r="524" spans="1:2" x14ac:dyDescent="0.2">
      <c r="A524" s="21">
        <v>27942</v>
      </c>
      <c r="B524" s="58">
        <v>5.23</v>
      </c>
    </row>
    <row r="525" spans="1:2" x14ac:dyDescent="0.2">
      <c r="A525" s="21">
        <v>27973</v>
      </c>
      <c r="B525" s="58">
        <v>5.14</v>
      </c>
    </row>
    <row r="526" spans="1:2" x14ac:dyDescent="0.2">
      <c r="A526" s="21">
        <v>28004</v>
      </c>
      <c r="B526" s="58">
        <v>5.08</v>
      </c>
    </row>
    <row r="527" spans="1:2" x14ac:dyDescent="0.2">
      <c r="A527" s="21">
        <v>28034</v>
      </c>
      <c r="B527" s="58">
        <v>4.92</v>
      </c>
    </row>
    <row r="528" spans="1:2" x14ac:dyDescent="0.2">
      <c r="A528" s="21">
        <v>28065</v>
      </c>
      <c r="B528" s="58">
        <v>4.75</v>
      </c>
    </row>
    <row r="529" spans="1:2" x14ac:dyDescent="0.2">
      <c r="A529" s="21">
        <v>28095</v>
      </c>
      <c r="B529" s="58">
        <v>4.3499999999999996</v>
      </c>
    </row>
    <row r="530" spans="1:2" x14ac:dyDescent="0.2">
      <c r="A530" s="21">
        <v>28126</v>
      </c>
      <c r="B530" s="58">
        <v>4.62</v>
      </c>
    </row>
    <row r="531" spans="1:2" x14ac:dyDescent="0.2">
      <c r="A531" s="21">
        <v>28157</v>
      </c>
      <c r="B531" s="58">
        <v>4.67</v>
      </c>
    </row>
    <row r="532" spans="1:2" x14ac:dyDescent="0.2">
      <c r="A532" s="21">
        <v>28185</v>
      </c>
      <c r="B532" s="58">
        <v>4.5999999999999996</v>
      </c>
    </row>
    <row r="533" spans="1:2" x14ac:dyDescent="0.2">
      <c r="A533" s="21">
        <v>28216</v>
      </c>
      <c r="B533" s="58">
        <v>4.54</v>
      </c>
    </row>
    <row r="534" spans="1:2" x14ac:dyDescent="0.2">
      <c r="A534" s="21">
        <v>28246</v>
      </c>
      <c r="B534" s="58">
        <v>4.96</v>
      </c>
    </row>
    <row r="535" spans="1:2" x14ac:dyDescent="0.2">
      <c r="A535" s="21">
        <v>28277</v>
      </c>
      <c r="B535" s="58">
        <v>5.0199999999999996</v>
      </c>
    </row>
    <row r="536" spans="1:2" x14ac:dyDescent="0.2">
      <c r="A536" s="21">
        <v>28307</v>
      </c>
      <c r="B536" s="58">
        <v>5.19</v>
      </c>
    </row>
    <row r="537" spans="1:2" x14ac:dyDescent="0.2">
      <c r="A537" s="21">
        <v>28338</v>
      </c>
      <c r="B537" s="58">
        <v>5.49</v>
      </c>
    </row>
    <row r="538" spans="1:2" x14ac:dyDescent="0.2">
      <c r="A538" s="21">
        <v>28369</v>
      </c>
      <c r="B538" s="58">
        <v>5.81</v>
      </c>
    </row>
    <row r="539" spans="1:2" x14ac:dyDescent="0.2">
      <c r="A539" s="21">
        <v>28399</v>
      </c>
      <c r="B539" s="58">
        <v>6.16</v>
      </c>
    </row>
    <row r="540" spans="1:2" x14ac:dyDescent="0.2">
      <c r="A540" s="21">
        <v>28430</v>
      </c>
      <c r="B540" s="58">
        <v>6.1</v>
      </c>
    </row>
    <row r="541" spans="1:2" x14ac:dyDescent="0.2">
      <c r="A541" s="21">
        <v>28460</v>
      </c>
      <c r="B541" s="58">
        <v>6.07</v>
      </c>
    </row>
    <row r="542" spans="1:2" x14ac:dyDescent="0.2">
      <c r="A542" s="21">
        <v>28491</v>
      </c>
      <c r="B542" s="58">
        <v>6.44</v>
      </c>
    </row>
    <row r="543" spans="1:2" x14ac:dyDescent="0.2">
      <c r="A543" s="21">
        <v>28522</v>
      </c>
      <c r="B543" s="58">
        <v>6.45</v>
      </c>
    </row>
    <row r="544" spans="1:2" x14ac:dyDescent="0.2">
      <c r="A544" s="21">
        <v>28550</v>
      </c>
      <c r="B544" s="58">
        <v>6.29</v>
      </c>
    </row>
    <row r="545" spans="1:2" x14ac:dyDescent="0.2">
      <c r="A545" s="21">
        <v>28581</v>
      </c>
      <c r="B545" s="58">
        <v>6.29</v>
      </c>
    </row>
    <row r="546" spans="1:2" x14ac:dyDescent="0.2">
      <c r="A546" s="21">
        <v>28611</v>
      </c>
      <c r="B546" s="58">
        <v>6.41</v>
      </c>
    </row>
    <row r="547" spans="1:2" x14ac:dyDescent="0.2">
      <c r="A547" s="21">
        <v>28642</v>
      </c>
      <c r="B547" s="58">
        <v>6.73</v>
      </c>
    </row>
    <row r="548" spans="1:2" x14ac:dyDescent="0.2">
      <c r="A548" s="21">
        <v>28672</v>
      </c>
      <c r="B548" s="58">
        <v>7.01</v>
      </c>
    </row>
    <row r="549" spans="1:2" x14ac:dyDescent="0.2">
      <c r="A549" s="21">
        <v>28703</v>
      </c>
      <c r="B549" s="58">
        <v>7.08</v>
      </c>
    </row>
    <row r="550" spans="1:2" x14ac:dyDescent="0.2">
      <c r="A550" s="21">
        <v>28734</v>
      </c>
      <c r="B550" s="58">
        <v>7.85</v>
      </c>
    </row>
    <row r="551" spans="1:2" x14ac:dyDescent="0.2">
      <c r="A551" s="21">
        <v>28764</v>
      </c>
      <c r="B551" s="58">
        <v>7.99</v>
      </c>
    </row>
    <row r="552" spans="1:2" x14ac:dyDescent="0.2">
      <c r="A552" s="21">
        <v>28795</v>
      </c>
      <c r="B552" s="58">
        <v>8.64</v>
      </c>
    </row>
    <row r="553" spans="1:2" x14ac:dyDescent="0.2">
      <c r="A553" s="21">
        <v>28825</v>
      </c>
      <c r="B553" s="58">
        <v>9.08</v>
      </c>
    </row>
    <row r="554" spans="1:2" x14ac:dyDescent="0.2">
      <c r="A554" s="21">
        <v>28856</v>
      </c>
      <c r="B554" s="58">
        <v>9.35</v>
      </c>
    </row>
    <row r="555" spans="1:2" x14ac:dyDescent="0.2">
      <c r="A555" s="21">
        <v>28887</v>
      </c>
      <c r="B555" s="58">
        <v>9.32</v>
      </c>
    </row>
    <row r="556" spans="1:2" x14ac:dyDescent="0.2">
      <c r="A556" s="21">
        <v>28915</v>
      </c>
      <c r="B556" s="58">
        <v>9.48</v>
      </c>
    </row>
    <row r="557" spans="1:2" x14ac:dyDescent="0.2">
      <c r="A557" s="21">
        <v>28946</v>
      </c>
      <c r="B557" s="58">
        <v>9.4600000000000009</v>
      </c>
    </row>
    <row r="558" spans="1:2" x14ac:dyDescent="0.2">
      <c r="A558" s="21">
        <v>28976</v>
      </c>
      <c r="B558" s="58">
        <v>9.61</v>
      </c>
    </row>
    <row r="559" spans="1:2" x14ac:dyDescent="0.2">
      <c r="A559" s="21">
        <v>29007</v>
      </c>
      <c r="B559" s="58">
        <v>9.06</v>
      </c>
    </row>
    <row r="560" spans="1:2" x14ac:dyDescent="0.2">
      <c r="A560" s="21">
        <v>29037</v>
      </c>
      <c r="B560" s="58">
        <v>9.24</v>
      </c>
    </row>
    <row r="561" spans="1:2" x14ac:dyDescent="0.2">
      <c r="A561" s="21">
        <v>29068</v>
      </c>
      <c r="B561" s="58">
        <v>9.52</v>
      </c>
    </row>
    <row r="562" spans="1:2" x14ac:dyDescent="0.2">
      <c r="A562" s="21">
        <v>29099</v>
      </c>
      <c r="B562" s="58">
        <v>10.26</v>
      </c>
    </row>
    <row r="563" spans="1:2" x14ac:dyDescent="0.2">
      <c r="A563" s="21">
        <v>29129</v>
      </c>
      <c r="B563" s="58">
        <v>11.7</v>
      </c>
    </row>
    <row r="564" spans="1:2" x14ac:dyDescent="0.2">
      <c r="A564" s="21">
        <v>29160</v>
      </c>
      <c r="B564" s="58">
        <v>11.79</v>
      </c>
    </row>
    <row r="565" spans="1:2" x14ac:dyDescent="0.2">
      <c r="A565" s="21">
        <v>29190</v>
      </c>
      <c r="B565" s="58">
        <v>12.04</v>
      </c>
    </row>
    <row r="566" spans="1:2" x14ac:dyDescent="0.2">
      <c r="A566" s="21">
        <v>29221</v>
      </c>
      <c r="B566" s="58">
        <v>12</v>
      </c>
    </row>
    <row r="567" spans="1:2" x14ac:dyDescent="0.2">
      <c r="A567" s="21">
        <v>29252</v>
      </c>
      <c r="B567" s="58">
        <v>12.86</v>
      </c>
    </row>
    <row r="568" spans="1:2" x14ac:dyDescent="0.2">
      <c r="A568" s="21">
        <v>29281</v>
      </c>
      <c r="B568" s="58">
        <v>15.2</v>
      </c>
    </row>
    <row r="569" spans="1:2" x14ac:dyDescent="0.2">
      <c r="A569" s="21">
        <v>29312</v>
      </c>
      <c r="B569" s="58">
        <v>13.2</v>
      </c>
    </row>
    <row r="570" spans="1:2" x14ac:dyDescent="0.2">
      <c r="A570" s="21">
        <v>29342</v>
      </c>
      <c r="B570" s="58">
        <v>8.58</v>
      </c>
    </row>
    <row r="571" spans="1:2" x14ac:dyDescent="0.2">
      <c r="A571" s="21">
        <v>29373</v>
      </c>
      <c r="B571" s="58">
        <v>7.07</v>
      </c>
    </row>
    <row r="572" spans="1:2" x14ac:dyDescent="0.2">
      <c r="A572" s="21">
        <v>29403</v>
      </c>
      <c r="B572" s="58">
        <v>8.06</v>
      </c>
    </row>
    <row r="573" spans="1:2" x14ac:dyDescent="0.2">
      <c r="A573" s="21">
        <v>29434</v>
      </c>
      <c r="B573" s="58">
        <v>9.1300000000000008</v>
      </c>
    </row>
    <row r="574" spans="1:2" x14ac:dyDescent="0.2">
      <c r="A574" s="21">
        <v>29465</v>
      </c>
      <c r="B574" s="58">
        <v>10.27</v>
      </c>
    </row>
    <row r="575" spans="1:2" x14ac:dyDescent="0.2">
      <c r="A575" s="21">
        <v>29495</v>
      </c>
      <c r="B575" s="58">
        <v>11.62</v>
      </c>
    </row>
    <row r="576" spans="1:2" x14ac:dyDescent="0.2">
      <c r="A576" s="21">
        <v>29526</v>
      </c>
      <c r="B576" s="58">
        <v>13.73</v>
      </c>
    </row>
    <row r="577" spans="1:2" x14ac:dyDescent="0.2">
      <c r="A577" s="21">
        <v>29556</v>
      </c>
      <c r="B577" s="58">
        <v>15.49</v>
      </c>
    </row>
    <row r="578" spans="1:2" x14ac:dyDescent="0.2">
      <c r="A578" s="21">
        <v>29587</v>
      </c>
      <c r="B578" s="58">
        <v>15.02</v>
      </c>
    </row>
    <row r="579" spans="1:2" x14ac:dyDescent="0.2">
      <c r="A579" s="21">
        <v>29618</v>
      </c>
      <c r="B579" s="58">
        <v>14.79</v>
      </c>
    </row>
    <row r="580" spans="1:2" x14ac:dyDescent="0.2">
      <c r="A580" s="21">
        <v>29646</v>
      </c>
      <c r="B580" s="58">
        <v>13.36</v>
      </c>
    </row>
    <row r="581" spans="1:2" x14ac:dyDescent="0.2">
      <c r="A581" s="21">
        <v>29677</v>
      </c>
      <c r="B581" s="58">
        <v>13.69</v>
      </c>
    </row>
    <row r="582" spans="1:2" x14ac:dyDescent="0.2">
      <c r="A582" s="21">
        <v>29707</v>
      </c>
      <c r="B582" s="58">
        <v>16.3</v>
      </c>
    </row>
    <row r="583" spans="1:2" x14ac:dyDescent="0.2">
      <c r="A583" s="21">
        <v>29738</v>
      </c>
      <c r="B583" s="58">
        <v>14.73</v>
      </c>
    </row>
    <row r="584" spans="1:2" x14ac:dyDescent="0.2">
      <c r="A584" s="21">
        <v>29768</v>
      </c>
      <c r="B584" s="58">
        <v>14.95</v>
      </c>
    </row>
    <row r="585" spans="1:2" x14ac:dyDescent="0.2">
      <c r="A585" s="21">
        <v>29799</v>
      </c>
      <c r="B585" s="58">
        <v>15.51</v>
      </c>
    </row>
    <row r="586" spans="1:2" x14ac:dyDescent="0.2">
      <c r="A586" s="21">
        <v>29830</v>
      </c>
      <c r="B586" s="58">
        <v>14.7</v>
      </c>
    </row>
    <row r="587" spans="1:2" x14ac:dyDescent="0.2">
      <c r="A587" s="21">
        <v>29860</v>
      </c>
      <c r="B587" s="58">
        <v>13.54</v>
      </c>
    </row>
    <row r="588" spans="1:2" x14ac:dyDescent="0.2">
      <c r="A588" s="21">
        <v>29891</v>
      </c>
      <c r="B588" s="58">
        <v>10.86</v>
      </c>
    </row>
    <row r="589" spans="1:2" x14ac:dyDescent="0.2">
      <c r="A589" s="21">
        <v>29921</v>
      </c>
      <c r="B589" s="58">
        <v>10.85</v>
      </c>
    </row>
    <row r="590" spans="1:2" x14ac:dyDescent="0.2">
      <c r="A590" s="21">
        <v>29952</v>
      </c>
      <c r="B590" s="58">
        <v>12.28</v>
      </c>
    </row>
    <row r="591" spans="1:2" x14ac:dyDescent="0.2">
      <c r="A591" s="21">
        <v>29983</v>
      </c>
      <c r="B591" s="58">
        <v>13.48</v>
      </c>
    </row>
    <row r="592" spans="1:2" x14ac:dyDescent="0.2">
      <c r="A592" s="21">
        <v>30011</v>
      </c>
      <c r="B592" s="58">
        <v>12.68</v>
      </c>
    </row>
    <row r="593" spans="1:2" x14ac:dyDescent="0.2">
      <c r="A593" s="21">
        <v>30042</v>
      </c>
      <c r="B593" s="58">
        <v>12.7</v>
      </c>
    </row>
    <row r="594" spans="1:2" x14ac:dyDescent="0.2">
      <c r="A594" s="21">
        <v>30072</v>
      </c>
      <c r="B594" s="58">
        <v>12.09</v>
      </c>
    </row>
    <row r="595" spans="1:2" x14ac:dyDescent="0.2">
      <c r="A595" s="21">
        <v>30103</v>
      </c>
      <c r="B595" s="58">
        <v>12.47</v>
      </c>
    </row>
    <row r="596" spans="1:2" x14ac:dyDescent="0.2">
      <c r="A596" s="21">
        <v>30133</v>
      </c>
      <c r="B596" s="58">
        <v>11.35</v>
      </c>
    </row>
    <row r="597" spans="1:2" x14ac:dyDescent="0.2">
      <c r="A597" s="21">
        <v>30164</v>
      </c>
      <c r="B597" s="58">
        <v>8.68</v>
      </c>
    </row>
    <row r="598" spans="1:2" x14ac:dyDescent="0.2">
      <c r="A598" s="21">
        <v>30195</v>
      </c>
      <c r="B598" s="58">
        <v>7.92</v>
      </c>
    </row>
    <row r="599" spans="1:2" x14ac:dyDescent="0.2">
      <c r="A599" s="21">
        <v>30225</v>
      </c>
      <c r="B599" s="58">
        <v>7.71</v>
      </c>
    </row>
    <row r="600" spans="1:2" x14ac:dyDescent="0.2">
      <c r="A600" s="21">
        <v>30256</v>
      </c>
      <c r="B600" s="58">
        <v>8.07</v>
      </c>
    </row>
    <row r="601" spans="1:2" x14ac:dyDescent="0.2">
      <c r="A601" s="21">
        <v>30286</v>
      </c>
      <c r="B601" s="58">
        <v>7.94</v>
      </c>
    </row>
    <row r="602" spans="1:2" x14ac:dyDescent="0.2">
      <c r="A602" s="21">
        <v>30317</v>
      </c>
      <c r="B602" s="58">
        <v>7.86</v>
      </c>
    </row>
    <row r="603" spans="1:2" x14ac:dyDescent="0.2">
      <c r="A603" s="21">
        <v>30348</v>
      </c>
      <c r="B603" s="58">
        <v>8.11</v>
      </c>
    </row>
    <row r="604" spans="1:2" x14ac:dyDescent="0.2">
      <c r="A604" s="21">
        <v>30376</v>
      </c>
      <c r="B604" s="58">
        <v>8.35</v>
      </c>
    </row>
    <row r="605" spans="1:2" x14ac:dyDescent="0.2">
      <c r="A605" s="21">
        <v>30407</v>
      </c>
      <c r="B605" s="58">
        <v>8.2100000000000009</v>
      </c>
    </row>
    <row r="606" spans="1:2" x14ac:dyDescent="0.2">
      <c r="A606" s="21">
        <v>30437</v>
      </c>
      <c r="B606" s="58">
        <v>8.19</v>
      </c>
    </row>
    <row r="607" spans="1:2" x14ac:dyDescent="0.2">
      <c r="A607" s="21">
        <v>30468</v>
      </c>
      <c r="B607" s="58">
        <v>8.7899999999999991</v>
      </c>
    </row>
    <row r="608" spans="1:2" x14ac:dyDescent="0.2">
      <c r="A608" s="21">
        <v>30498</v>
      </c>
      <c r="B608" s="58">
        <v>9.08</v>
      </c>
    </row>
    <row r="609" spans="1:2" x14ac:dyDescent="0.2">
      <c r="A609" s="21">
        <v>30529</v>
      </c>
      <c r="B609" s="58">
        <v>9.34</v>
      </c>
    </row>
    <row r="610" spans="1:2" x14ac:dyDescent="0.2">
      <c r="A610" s="21">
        <v>30560</v>
      </c>
      <c r="B610" s="58">
        <v>9</v>
      </c>
    </row>
    <row r="611" spans="1:2" x14ac:dyDescent="0.2">
      <c r="A611" s="21">
        <v>30590</v>
      </c>
      <c r="B611" s="58">
        <v>8.64</v>
      </c>
    </row>
    <row r="612" spans="1:2" x14ac:dyDescent="0.2">
      <c r="A612" s="21">
        <v>30621</v>
      </c>
      <c r="B612" s="58">
        <v>8.76</v>
      </c>
    </row>
    <row r="613" spans="1:2" x14ac:dyDescent="0.2">
      <c r="A613" s="21">
        <v>30651</v>
      </c>
      <c r="B613" s="58">
        <v>9</v>
      </c>
    </row>
    <row r="614" spans="1:2" x14ac:dyDescent="0.2">
      <c r="A614" s="21">
        <v>30682</v>
      </c>
      <c r="B614" s="58">
        <v>8.9</v>
      </c>
    </row>
    <row r="615" spans="1:2" x14ac:dyDescent="0.2">
      <c r="A615" s="21">
        <v>30713</v>
      </c>
      <c r="B615" s="58">
        <v>9.09</v>
      </c>
    </row>
    <row r="616" spans="1:2" x14ac:dyDescent="0.2">
      <c r="A616" s="21">
        <v>30742</v>
      </c>
      <c r="B616" s="58">
        <v>9.52</v>
      </c>
    </row>
    <row r="617" spans="1:2" x14ac:dyDescent="0.2">
      <c r="A617" s="21">
        <v>30773</v>
      </c>
      <c r="B617" s="58">
        <v>9.69</v>
      </c>
    </row>
    <row r="618" spans="1:2" x14ac:dyDescent="0.2">
      <c r="A618" s="21">
        <v>30803</v>
      </c>
      <c r="B618" s="58">
        <v>9.83</v>
      </c>
    </row>
    <row r="619" spans="1:2" x14ac:dyDescent="0.2">
      <c r="A619" s="21">
        <v>30834</v>
      </c>
      <c r="B619" s="58">
        <v>9.8699999999999992</v>
      </c>
    </row>
    <row r="620" spans="1:2" x14ac:dyDescent="0.2">
      <c r="A620" s="21">
        <v>30864</v>
      </c>
      <c r="B620" s="58">
        <v>10.119999999999999</v>
      </c>
    </row>
    <row r="621" spans="1:2" x14ac:dyDescent="0.2">
      <c r="A621" s="21">
        <v>30895</v>
      </c>
      <c r="B621" s="58">
        <v>10.47</v>
      </c>
    </row>
    <row r="622" spans="1:2" x14ac:dyDescent="0.2">
      <c r="A622" s="21">
        <v>30926</v>
      </c>
      <c r="B622" s="58">
        <v>10.37</v>
      </c>
    </row>
    <row r="623" spans="1:2" x14ac:dyDescent="0.2">
      <c r="A623" s="21">
        <v>30956</v>
      </c>
      <c r="B623" s="58">
        <v>9.74</v>
      </c>
    </row>
    <row r="624" spans="1:2" x14ac:dyDescent="0.2">
      <c r="A624" s="21">
        <v>30987</v>
      </c>
      <c r="B624" s="58">
        <v>8.61</v>
      </c>
    </row>
    <row r="625" spans="1:2" x14ac:dyDescent="0.2">
      <c r="A625" s="21">
        <v>31017</v>
      </c>
      <c r="B625" s="58">
        <v>8.06</v>
      </c>
    </row>
    <row r="626" spans="1:2" x14ac:dyDescent="0.2">
      <c r="A626" s="21">
        <v>31048</v>
      </c>
      <c r="B626" s="58">
        <v>7.76</v>
      </c>
    </row>
    <row r="627" spans="1:2" x14ac:dyDescent="0.2">
      <c r="A627" s="21">
        <v>31079</v>
      </c>
      <c r="B627" s="58">
        <v>8.27</v>
      </c>
    </row>
    <row r="628" spans="1:2" x14ac:dyDescent="0.2">
      <c r="A628" s="21">
        <v>31107</v>
      </c>
      <c r="B628" s="58">
        <v>8.52</v>
      </c>
    </row>
    <row r="629" spans="1:2" x14ac:dyDescent="0.2">
      <c r="A629" s="21">
        <v>31138</v>
      </c>
      <c r="B629" s="58">
        <v>7.95</v>
      </c>
    </row>
    <row r="630" spans="1:2" x14ac:dyDescent="0.2">
      <c r="A630" s="21">
        <v>31168</v>
      </c>
      <c r="B630" s="58">
        <v>7.48</v>
      </c>
    </row>
    <row r="631" spans="1:2" x14ac:dyDescent="0.2">
      <c r="A631" s="21">
        <v>31199</v>
      </c>
      <c r="B631" s="58">
        <v>6.95</v>
      </c>
    </row>
    <row r="632" spans="1:2" x14ac:dyDescent="0.2">
      <c r="A632" s="21">
        <v>31229</v>
      </c>
      <c r="B632" s="58">
        <v>7.08</v>
      </c>
    </row>
    <row r="633" spans="1:2" x14ac:dyDescent="0.2">
      <c r="A633" s="21">
        <v>31260</v>
      </c>
      <c r="B633" s="58">
        <v>7.14</v>
      </c>
    </row>
    <row r="634" spans="1:2" x14ac:dyDescent="0.2">
      <c r="A634" s="21">
        <v>31291</v>
      </c>
      <c r="B634" s="58">
        <v>7.1</v>
      </c>
    </row>
    <row r="635" spans="1:2" x14ac:dyDescent="0.2">
      <c r="A635" s="21">
        <v>31321</v>
      </c>
      <c r="B635" s="58">
        <v>7.16</v>
      </c>
    </row>
    <row r="636" spans="1:2" x14ac:dyDescent="0.2">
      <c r="A636" s="21">
        <v>31352</v>
      </c>
      <c r="B636" s="58">
        <v>7.24</v>
      </c>
    </row>
    <row r="637" spans="1:2" x14ac:dyDescent="0.2">
      <c r="A637" s="21">
        <v>31382</v>
      </c>
      <c r="B637" s="58">
        <v>7.1</v>
      </c>
    </row>
    <row r="638" spans="1:2" x14ac:dyDescent="0.2">
      <c r="A638" s="21">
        <v>31413</v>
      </c>
      <c r="B638" s="58">
        <v>7.07</v>
      </c>
    </row>
    <row r="639" spans="1:2" x14ac:dyDescent="0.2">
      <c r="A639" s="21">
        <v>31444</v>
      </c>
      <c r="B639" s="58">
        <v>7.06</v>
      </c>
    </row>
    <row r="640" spans="1:2" x14ac:dyDescent="0.2">
      <c r="A640" s="21">
        <v>31472</v>
      </c>
      <c r="B640" s="58">
        <v>6.56</v>
      </c>
    </row>
    <row r="641" spans="1:2" x14ac:dyDescent="0.2">
      <c r="A641" s="21">
        <v>31503</v>
      </c>
      <c r="B641" s="58">
        <v>6.06</v>
      </c>
    </row>
    <row r="642" spans="1:2" x14ac:dyDescent="0.2">
      <c r="A642" s="21">
        <v>31533</v>
      </c>
      <c r="B642" s="58">
        <v>6.15</v>
      </c>
    </row>
    <row r="643" spans="1:2" x14ac:dyDescent="0.2">
      <c r="A643" s="21">
        <v>31564</v>
      </c>
      <c r="B643" s="58">
        <v>6.21</v>
      </c>
    </row>
    <row r="644" spans="1:2" x14ac:dyDescent="0.2">
      <c r="A644" s="21">
        <v>31594</v>
      </c>
      <c r="B644" s="58">
        <v>5.83</v>
      </c>
    </row>
    <row r="645" spans="1:2" x14ac:dyDescent="0.2">
      <c r="A645" s="21">
        <v>31625</v>
      </c>
      <c r="B645" s="58">
        <v>5.53</v>
      </c>
    </row>
    <row r="646" spans="1:2" x14ac:dyDescent="0.2">
      <c r="A646" s="21">
        <v>31656</v>
      </c>
      <c r="B646" s="58">
        <v>5.21</v>
      </c>
    </row>
    <row r="647" spans="1:2" x14ac:dyDescent="0.2">
      <c r="A647" s="21">
        <v>31686</v>
      </c>
      <c r="B647" s="58">
        <v>5.18</v>
      </c>
    </row>
    <row r="648" spans="1:2" x14ac:dyDescent="0.2">
      <c r="A648" s="21">
        <v>31717</v>
      </c>
      <c r="B648" s="58">
        <v>5.35</v>
      </c>
    </row>
    <row r="649" spans="1:2" x14ac:dyDescent="0.2">
      <c r="A649" s="21">
        <v>31747</v>
      </c>
      <c r="B649" s="58">
        <v>5.53</v>
      </c>
    </row>
    <row r="650" spans="1:2" x14ac:dyDescent="0.2">
      <c r="A650" s="21">
        <v>31778</v>
      </c>
      <c r="B650" s="58">
        <v>5.43</v>
      </c>
    </row>
    <row r="651" spans="1:2" x14ac:dyDescent="0.2">
      <c r="A651" s="21">
        <v>31809</v>
      </c>
      <c r="B651" s="58">
        <v>5.59</v>
      </c>
    </row>
    <row r="652" spans="1:2" x14ac:dyDescent="0.2">
      <c r="A652" s="21">
        <v>31837</v>
      </c>
      <c r="B652" s="58">
        <v>5.59</v>
      </c>
    </row>
    <row r="653" spans="1:2" x14ac:dyDescent="0.2">
      <c r="A653" s="21">
        <v>31868</v>
      </c>
      <c r="B653" s="58">
        <v>5.64</v>
      </c>
    </row>
    <row r="654" spans="1:2" x14ac:dyDescent="0.2">
      <c r="A654" s="21">
        <v>31898</v>
      </c>
      <c r="B654" s="58">
        <v>5.66</v>
      </c>
    </row>
    <row r="655" spans="1:2" x14ac:dyDescent="0.2">
      <c r="A655" s="21">
        <v>31929</v>
      </c>
      <c r="B655" s="58">
        <v>5.67</v>
      </c>
    </row>
    <row r="656" spans="1:2" x14ac:dyDescent="0.2">
      <c r="A656" s="21">
        <v>31959</v>
      </c>
      <c r="B656" s="58">
        <v>5.69</v>
      </c>
    </row>
    <row r="657" spans="1:2" x14ac:dyDescent="0.2">
      <c r="A657" s="21">
        <v>31990</v>
      </c>
      <c r="B657" s="58">
        <v>6.04</v>
      </c>
    </row>
    <row r="658" spans="1:2" x14ac:dyDescent="0.2">
      <c r="A658" s="21">
        <v>32021</v>
      </c>
      <c r="B658" s="58">
        <v>6.4</v>
      </c>
    </row>
    <row r="659" spans="1:2" x14ac:dyDescent="0.2">
      <c r="A659" s="21">
        <v>32051</v>
      </c>
      <c r="B659" s="58">
        <v>6.13</v>
      </c>
    </row>
    <row r="660" spans="1:2" x14ac:dyDescent="0.2">
      <c r="A660" s="21">
        <v>32082</v>
      </c>
      <c r="B660" s="58">
        <v>5.69</v>
      </c>
    </row>
    <row r="661" spans="1:2" x14ac:dyDescent="0.2">
      <c r="A661" s="21">
        <v>32112</v>
      </c>
      <c r="B661" s="58">
        <v>5.77</v>
      </c>
    </row>
    <row r="662" spans="1:2" x14ac:dyDescent="0.2">
      <c r="A662" s="21">
        <v>32143</v>
      </c>
      <c r="B662" s="58">
        <v>5.81</v>
      </c>
    </row>
    <row r="663" spans="1:2" x14ac:dyDescent="0.2">
      <c r="A663" s="21">
        <v>32174</v>
      </c>
      <c r="B663" s="58">
        <v>5.66</v>
      </c>
    </row>
    <row r="664" spans="1:2" x14ac:dyDescent="0.2">
      <c r="A664" s="21">
        <v>32203</v>
      </c>
      <c r="B664" s="58">
        <v>5.7</v>
      </c>
    </row>
    <row r="665" spans="1:2" x14ac:dyDescent="0.2">
      <c r="A665" s="21">
        <v>32234</v>
      </c>
      <c r="B665" s="58">
        <v>5.91</v>
      </c>
    </row>
    <row r="666" spans="1:2" x14ac:dyDescent="0.2">
      <c r="A666" s="21">
        <v>32264</v>
      </c>
      <c r="B666" s="58">
        <v>6.26</v>
      </c>
    </row>
    <row r="667" spans="1:2" x14ac:dyDescent="0.2">
      <c r="A667" s="21">
        <v>32295</v>
      </c>
      <c r="B667" s="58">
        <v>6.46</v>
      </c>
    </row>
    <row r="668" spans="1:2" x14ac:dyDescent="0.2">
      <c r="A668" s="21">
        <v>32325</v>
      </c>
      <c r="B668" s="58">
        <v>6.73</v>
      </c>
    </row>
    <row r="669" spans="1:2" x14ac:dyDescent="0.2">
      <c r="A669" s="21">
        <v>32356</v>
      </c>
      <c r="B669" s="58">
        <v>7.06</v>
      </c>
    </row>
    <row r="670" spans="1:2" x14ac:dyDescent="0.2">
      <c r="A670" s="21">
        <v>32387</v>
      </c>
      <c r="B670" s="58">
        <v>7.24</v>
      </c>
    </row>
    <row r="671" spans="1:2" x14ac:dyDescent="0.2">
      <c r="A671" s="21">
        <v>32417</v>
      </c>
      <c r="B671" s="58">
        <v>7.35</v>
      </c>
    </row>
    <row r="672" spans="1:2" x14ac:dyDescent="0.2">
      <c r="A672" s="21">
        <v>32448</v>
      </c>
      <c r="B672" s="58">
        <v>7.76</v>
      </c>
    </row>
    <row r="673" spans="1:2" x14ac:dyDescent="0.2">
      <c r="A673" s="21">
        <v>32478</v>
      </c>
      <c r="B673" s="58">
        <v>8.07</v>
      </c>
    </row>
    <row r="674" spans="1:2" x14ac:dyDescent="0.2">
      <c r="A674" s="21">
        <v>32509</v>
      </c>
      <c r="B674" s="58">
        <v>8.27</v>
      </c>
    </row>
    <row r="675" spans="1:2" x14ac:dyDescent="0.2">
      <c r="A675" s="21">
        <v>32540</v>
      </c>
      <c r="B675" s="58">
        <v>8.5299999999999994</v>
      </c>
    </row>
    <row r="676" spans="1:2" x14ac:dyDescent="0.2">
      <c r="A676" s="21">
        <v>32568</v>
      </c>
      <c r="B676" s="58">
        <v>8.82</v>
      </c>
    </row>
    <row r="677" spans="1:2" x14ac:dyDescent="0.2">
      <c r="A677" s="21">
        <v>32599</v>
      </c>
      <c r="B677" s="58">
        <v>8.65</v>
      </c>
    </row>
    <row r="678" spans="1:2" x14ac:dyDescent="0.2">
      <c r="A678" s="21">
        <v>32629</v>
      </c>
      <c r="B678" s="58">
        <v>8.43</v>
      </c>
    </row>
    <row r="679" spans="1:2" x14ac:dyDescent="0.2">
      <c r="A679" s="21">
        <v>32660</v>
      </c>
      <c r="B679" s="58">
        <v>8.15</v>
      </c>
    </row>
    <row r="680" spans="1:2" x14ac:dyDescent="0.2">
      <c r="A680" s="21">
        <v>32690</v>
      </c>
      <c r="B680" s="58">
        <v>7.88</v>
      </c>
    </row>
    <row r="681" spans="1:2" x14ac:dyDescent="0.2">
      <c r="A681" s="21">
        <v>32721</v>
      </c>
      <c r="B681" s="58">
        <v>7.9</v>
      </c>
    </row>
    <row r="682" spans="1:2" x14ac:dyDescent="0.2">
      <c r="A682" s="21">
        <v>32752</v>
      </c>
      <c r="B682" s="58">
        <v>7.75</v>
      </c>
    </row>
    <row r="683" spans="1:2" x14ac:dyDescent="0.2">
      <c r="A683" s="21">
        <v>32782</v>
      </c>
      <c r="B683" s="58">
        <v>7.64</v>
      </c>
    </row>
    <row r="684" spans="1:2" x14ac:dyDescent="0.2">
      <c r="A684" s="21">
        <v>32813</v>
      </c>
      <c r="B684" s="58">
        <v>7.69</v>
      </c>
    </row>
    <row r="685" spans="1:2" x14ac:dyDescent="0.2">
      <c r="A685" s="21">
        <v>32843</v>
      </c>
      <c r="B685" s="58">
        <v>7.63</v>
      </c>
    </row>
    <row r="686" spans="1:2" x14ac:dyDescent="0.2">
      <c r="A686" s="21">
        <v>32874</v>
      </c>
      <c r="B686" s="58">
        <v>7.64</v>
      </c>
    </row>
    <row r="687" spans="1:2" x14ac:dyDescent="0.2">
      <c r="A687" s="21">
        <v>32905</v>
      </c>
      <c r="B687" s="58">
        <v>7.74</v>
      </c>
    </row>
    <row r="688" spans="1:2" x14ac:dyDescent="0.2">
      <c r="A688" s="21">
        <v>32933</v>
      </c>
      <c r="B688" s="58">
        <v>7.9</v>
      </c>
    </row>
    <row r="689" spans="1:2" x14ac:dyDescent="0.2">
      <c r="A689" s="21">
        <v>32964</v>
      </c>
      <c r="B689" s="58">
        <v>7.77</v>
      </c>
    </row>
    <row r="690" spans="1:2" x14ac:dyDescent="0.2">
      <c r="A690" s="21">
        <v>32994</v>
      </c>
      <c r="B690" s="58">
        <v>7.74</v>
      </c>
    </row>
    <row r="691" spans="1:2" x14ac:dyDescent="0.2">
      <c r="A691" s="21">
        <v>33025</v>
      </c>
      <c r="B691" s="58">
        <v>7.73</v>
      </c>
    </row>
    <row r="692" spans="1:2" x14ac:dyDescent="0.2">
      <c r="A692" s="21">
        <v>33055</v>
      </c>
      <c r="B692" s="58">
        <v>7.62</v>
      </c>
    </row>
    <row r="693" spans="1:2" x14ac:dyDescent="0.2">
      <c r="A693" s="21">
        <v>33086</v>
      </c>
      <c r="B693" s="58">
        <v>7.45</v>
      </c>
    </row>
    <row r="694" spans="1:2" x14ac:dyDescent="0.2">
      <c r="A694" s="21">
        <v>33117</v>
      </c>
      <c r="B694" s="58">
        <v>7.36</v>
      </c>
    </row>
    <row r="695" spans="1:2" x14ac:dyDescent="0.2">
      <c r="A695" s="21">
        <v>33147</v>
      </c>
      <c r="B695" s="58">
        <v>7.17</v>
      </c>
    </row>
    <row r="696" spans="1:2" x14ac:dyDescent="0.2">
      <c r="A696" s="21">
        <v>33178</v>
      </c>
      <c r="B696" s="58">
        <v>7.06</v>
      </c>
    </row>
    <row r="697" spans="1:2" x14ac:dyDescent="0.2">
      <c r="A697" s="21">
        <v>33208</v>
      </c>
      <c r="B697" s="58">
        <v>6.74</v>
      </c>
    </row>
    <row r="698" spans="1:2" x14ac:dyDescent="0.2">
      <c r="A698" s="21">
        <v>33239</v>
      </c>
      <c r="B698" s="58">
        <v>6.22</v>
      </c>
    </row>
    <row r="699" spans="1:2" x14ac:dyDescent="0.2">
      <c r="A699" s="21">
        <v>33270</v>
      </c>
      <c r="B699" s="58">
        <v>5.94</v>
      </c>
    </row>
    <row r="700" spans="1:2" x14ac:dyDescent="0.2">
      <c r="A700" s="21">
        <v>33298</v>
      </c>
      <c r="B700" s="58">
        <v>5.91</v>
      </c>
    </row>
    <row r="701" spans="1:2" x14ac:dyDescent="0.2">
      <c r="A701" s="21">
        <v>33329</v>
      </c>
      <c r="B701" s="58">
        <v>5.65</v>
      </c>
    </row>
    <row r="702" spans="1:2" x14ac:dyDescent="0.2">
      <c r="A702" s="21">
        <v>33359</v>
      </c>
      <c r="B702" s="58">
        <v>5.46</v>
      </c>
    </row>
    <row r="703" spans="1:2" x14ac:dyDescent="0.2">
      <c r="A703" s="21">
        <v>33390</v>
      </c>
      <c r="B703" s="58">
        <v>5.57</v>
      </c>
    </row>
    <row r="704" spans="1:2" x14ac:dyDescent="0.2">
      <c r="A704" s="21">
        <v>33420</v>
      </c>
      <c r="B704" s="58">
        <v>5.58</v>
      </c>
    </row>
    <row r="705" spans="1:2" x14ac:dyDescent="0.2">
      <c r="A705" s="21">
        <v>33451</v>
      </c>
      <c r="B705" s="58">
        <v>5.33</v>
      </c>
    </row>
    <row r="706" spans="1:2" x14ac:dyDescent="0.2">
      <c r="A706" s="21">
        <v>33482</v>
      </c>
      <c r="B706" s="58">
        <v>5.22</v>
      </c>
    </row>
    <row r="707" spans="1:2" x14ac:dyDescent="0.2">
      <c r="A707" s="21">
        <v>33512</v>
      </c>
      <c r="B707" s="58">
        <v>4.99</v>
      </c>
    </row>
    <row r="708" spans="1:2" x14ac:dyDescent="0.2">
      <c r="A708" s="21">
        <v>33543</v>
      </c>
      <c r="B708" s="58">
        <v>4.5599999999999996</v>
      </c>
    </row>
    <row r="709" spans="1:2" x14ac:dyDescent="0.2">
      <c r="A709" s="21">
        <v>33573</v>
      </c>
      <c r="B709" s="58">
        <v>4.07</v>
      </c>
    </row>
    <row r="710" spans="1:2" x14ac:dyDescent="0.2">
      <c r="A710" s="21">
        <v>33604</v>
      </c>
      <c r="B710" s="58">
        <v>3.8</v>
      </c>
    </row>
    <row r="711" spans="1:2" x14ac:dyDescent="0.2">
      <c r="A711" s="21">
        <v>33635</v>
      </c>
      <c r="B711" s="58">
        <v>3.84</v>
      </c>
    </row>
    <row r="712" spans="1:2" x14ac:dyDescent="0.2">
      <c r="A712" s="21">
        <v>33664</v>
      </c>
      <c r="B712" s="58">
        <v>4.04</v>
      </c>
    </row>
    <row r="713" spans="1:2" x14ac:dyDescent="0.2">
      <c r="A713" s="21">
        <v>33695</v>
      </c>
      <c r="B713" s="58">
        <v>3.75</v>
      </c>
    </row>
    <row r="714" spans="1:2" x14ac:dyDescent="0.2">
      <c r="A714" s="21">
        <v>33725</v>
      </c>
      <c r="B714" s="58">
        <v>3.63</v>
      </c>
    </row>
    <row r="715" spans="1:2" x14ac:dyDescent="0.2">
      <c r="A715" s="21">
        <v>33756</v>
      </c>
      <c r="B715" s="58">
        <v>3.66</v>
      </c>
    </row>
    <row r="716" spans="1:2" x14ac:dyDescent="0.2">
      <c r="A716" s="21">
        <v>33786</v>
      </c>
      <c r="B716" s="58">
        <v>3.21</v>
      </c>
    </row>
    <row r="717" spans="1:2" x14ac:dyDescent="0.2">
      <c r="A717" s="21">
        <v>33817</v>
      </c>
      <c r="B717" s="58">
        <v>3.13</v>
      </c>
    </row>
    <row r="718" spans="1:2" x14ac:dyDescent="0.2">
      <c r="A718" s="21">
        <v>33848</v>
      </c>
      <c r="B718" s="58">
        <v>2.91</v>
      </c>
    </row>
    <row r="719" spans="1:2" x14ac:dyDescent="0.2">
      <c r="A719" s="21">
        <v>33878</v>
      </c>
      <c r="B719" s="58">
        <v>2.86</v>
      </c>
    </row>
    <row r="720" spans="1:2" x14ac:dyDescent="0.2">
      <c r="A720" s="21">
        <v>33909</v>
      </c>
      <c r="B720" s="58">
        <v>3.13</v>
      </c>
    </row>
    <row r="721" spans="1:2" x14ac:dyDescent="0.2">
      <c r="A721" s="21">
        <v>33939</v>
      </c>
      <c r="B721" s="58">
        <v>3.22</v>
      </c>
    </row>
    <row r="722" spans="1:2" x14ac:dyDescent="0.2">
      <c r="A722" s="21">
        <v>33970</v>
      </c>
      <c r="B722" s="58">
        <v>3</v>
      </c>
    </row>
    <row r="723" spans="1:2" x14ac:dyDescent="0.2">
      <c r="A723" s="21">
        <v>34001</v>
      </c>
      <c r="B723" s="58">
        <v>2.93</v>
      </c>
    </row>
    <row r="724" spans="1:2" x14ac:dyDescent="0.2">
      <c r="A724" s="21">
        <v>34029</v>
      </c>
      <c r="B724" s="58">
        <v>2.95</v>
      </c>
    </row>
    <row r="725" spans="1:2" x14ac:dyDescent="0.2">
      <c r="A725" s="21">
        <v>34060</v>
      </c>
      <c r="B725" s="58">
        <v>2.87</v>
      </c>
    </row>
    <row r="726" spans="1:2" x14ac:dyDescent="0.2">
      <c r="A726" s="21">
        <v>34090</v>
      </c>
      <c r="B726" s="58">
        <v>2.96</v>
      </c>
    </row>
    <row r="727" spans="1:2" x14ac:dyDescent="0.2">
      <c r="A727" s="21">
        <v>34121</v>
      </c>
      <c r="B727" s="58">
        <v>3.07</v>
      </c>
    </row>
    <row r="728" spans="1:2" x14ac:dyDescent="0.2">
      <c r="A728" s="21">
        <v>34151</v>
      </c>
      <c r="B728" s="58">
        <v>3.04</v>
      </c>
    </row>
    <row r="729" spans="1:2" x14ac:dyDescent="0.2">
      <c r="A729" s="21">
        <v>34182</v>
      </c>
      <c r="B729" s="58">
        <v>3.02</v>
      </c>
    </row>
    <row r="730" spans="1:2" x14ac:dyDescent="0.2">
      <c r="A730" s="21">
        <v>34213</v>
      </c>
      <c r="B730" s="58">
        <v>2.95</v>
      </c>
    </row>
    <row r="731" spans="1:2" x14ac:dyDescent="0.2">
      <c r="A731" s="21">
        <v>34243</v>
      </c>
      <c r="B731" s="58">
        <v>3.02</v>
      </c>
    </row>
    <row r="732" spans="1:2" x14ac:dyDescent="0.2">
      <c r="A732" s="21">
        <v>34274</v>
      </c>
      <c r="B732" s="58">
        <v>3.1</v>
      </c>
    </row>
    <row r="733" spans="1:2" x14ac:dyDescent="0.2">
      <c r="A733" s="21">
        <v>34304</v>
      </c>
      <c r="B733" s="58">
        <v>3.06</v>
      </c>
    </row>
    <row r="734" spans="1:2" x14ac:dyDescent="0.2">
      <c r="A734" s="21">
        <v>34335</v>
      </c>
      <c r="B734" s="58">
        <v>2.98</v>
      </c>
    </row>
    <row r="735" spans="1:2" x14ac:dyDescent="0.2">
      <c r="A735" s="21">
        <v>34366</v>
      </c>
      <c r="B735" s="58">
        <v>3.25</v>
      </c>
    </row>
    <row r="736" spans="1:2" x14ac:dyDescent="0.2">
      <c r="A736" s="21">
        <v>34394</v>
      </c>
      <c r="B736" s="58">
        <v>3.5</v>
      </c>
    </row>
    <row r="737" spans="1:2" x14ac:dyDescent="0.2">
      <c r="A737" s="21">
        <v>34425</v>
      </c>
      <c r="B737" s="58">
        <v>3.68</v>
      </c>
    </row>
    <row r="738" spans="1:2" x14ac:dyDescent="0.2">
      <c r="A738" s="21">
        <v>34455</v>
      </c>
      <c r="B738" s="58">
        <v>4.1399999999999997</v>
      </c>
    </row>
    <row r="739" spans="1:2" x14ac:dyDescent="0.2">
      <c r="A739" s="21">
        <v>34486</v>
      </c>
      <c r="B739" s="58">
        <v>4.1399999999999997</v>
      </c>
    </row>
    <row r="740" spans="1:2" x14ac:dyDescent="0.2">
      <c r="A740" s="21">
        <v>34516</v>
      </c>
      <c r="B740" s="58">
        <v>4.33</v>
      </c>
    </row>
    <row r="741" spans="1:2" x14ac:dyDescent="0.2">
      <c r="A741" s="21">
        <v>34547</v>
      </c>
      <c r="B741" s="58">
        <v>4.4800000000000004</v>
      </c>
    </row>
    <row r="742" spans="1:2" x14ac:dyDescent="0.2">
      <c r="A742" s="21">
        <v>34578</v>
      </c>
      <c r="B742" s="58">
        <v>4.62</v>
      </c>
    </row>
    <row r="743" spans="1:2" x14ac:dyDescent="0.2">
      <c r="A743" s="21">
        <v>34608</v>
      </c>
      <c r="B743" s="58">
        <v>4.95</v>
      </c>
    </row>
    <row r="744" spans="1:2" x14ac:dyDescent="0.2">
      <c r="A744" s="21">
        <v>34639</v>
      </c>
      <c r="B744" s="58">
        <v>5.29</v>
      </c>
    </row>
    <row r="745" spans="1:2" x14ac:dyDescent="0.2">
      <c r="A745" s="21">
        <v>34669</v>
      </c>
      <c r="B745" s="58">
        <v>5.6</v>
      </c>
    </row>
    <row r="746" spans="1:2" x14ac:dyDescent="0.2">
      <c r="A746" s="21">
        <v>34700</v>
      </c>
      <c r="B746" s="58">
        <v>5.71</v>
      </c>
    </row>
    <row r="747" spans="1:2" x14ac:dyDescent="0.2">
      <c r="A747" s="21">
        <v>34731</v>
      </c>
      <c r="B747" s="58">
        <v>5.77</v>
      </c>
    </row>
    <row r="748" spans="1:2" x14ac:dyDescent="0.2">
      <c r="A748" s="21">
        <v>34759</v>
      </c>
      <c r="B748" s="58">
        <v>5.73</v>
      </c>
    </row>
    <row r="749" spans="1:2" x14ac:dyDescent="0.2">
      <c r="A749" s="21">
        <v>34790</v>
      </c>
      <c r="B749" s="58">
        <v>5.65</v>
      </c>
    </row>
    <row r="750" spans="1:2" x14ac:dyDescent="0.2">
      <c r="A750" s="21">
        <v>34820</v>
      </c>
      <c r="B750" s="58">
        <v>5.67</v>
      </c>
    </row>
    <row r="751" spans="1:2" x14ac:dyDescent="0.2">
      <c r="A751" s="21">
        <v>34851</v>
      </c>
      <c r="B751" s="58">
        <v>5.47</v>
      </c>
    </row>
    <row r="752" spans="1:2" x14ac:dyDescent="0.2">
      <c r="A752" s="21">
        <v>34881</v>
      </c>
      <c r="B752" s="58">
        <v>5.42</v>
      </c>
    </row>
    <row r="753" spans="1:2" x14ac:dyDescent="0.2">
      <c r="A753" s="21">
        <v>34912</v>
      </c>
      <c r="B753" s="58">
        <v>5.4</v>
      </c>
    </row>
    <row r="754" spans="1:2" x14ac:dyDescent="0.2">
      <c r="A754" s="21">
        <v>34943</v>
      </c>
      <c r="B754" s="58">
        <v>5.28</v>
      </c>
    </row>
    <row r="755" spans="1:2" x14ac:dyDescent="0.2">
      <c r="A755" s="21">
        <v>34973</v>
      </c>
      <c r="B755" s="58">
        <v>5.28</v>
      </c>
    </row>
    <row r="756" spans="1:2" x14ac:dyDescent="0.2">
      <c r="A756" s="21">
        <v>35004</v>
      </c>
      <c r="B756" s="58">
        <v>5.36</v>
      </c>
    </row>
    <row r="757" spans="1:2" x14ac:dyDescent="0.2">
      <c r="A757" s="21">
        <v>35034</v>
      </c>
      <c r="B757" s="58">
        <v>5.14</v>
      </c>
    </row>
    <row r="758" spans="1:2" x14ac:dyDescent="0.2">
      <c r="A758" s="21">
        <v>35065</v>
      </c>
      <c r="B758" s="58">
        <v>5</v>
      </c>
    </row>
    <row r="759" spans="1:2" x14ac:dyDescent="0.2">
      <c r="A759" s="21">
        <v>35096</v>
      </c>
      <c r="B759" s="58">
        <v>4.83</v>
      </c>
    </row>
    <row r="760" spans="1:2" x14ac:dyDescent="0.2">
      <c r="A760" s="21">
        <v>35125</v>
      </c>
      <c r="B760" s="58">
        <v>4.96</v>
      </c>
    </row>
    <row r="761" spans="1:2" x14ac:dyDescent="0.2">
      <c r="A761" s="21">
        <v>35156</v>
      </c>
      <c r="B761" s="58">
        <v>4.95</v>
      </c>
    </row>
    <row r="762" spans="1:2" x14ac:dyDescent="0.2">
      <c r="A762" s="21">
        <v>35186</v>
      </c>
      <c r="B762" s="58">
        <v>5.0199999999999996</v>
      </c>
    </row>
    <row r="763" spans="1:2" x14ac:dyDescent="0.2">
      <c r="A763" s="21">
        <v>35217</v>
      </c>
      <c r="B763" s="58">
        <v>5.09</v>
      </c>
    </row>
    <row r="764" spans="1:2" x14ac:dyDescent="0.2">
      <c r="A764" s="21">
        <v>35247</v>
      </c>
      <c r="B764" s="58">
        <v>5.15</v>
      </c>
    </row>
    <row r="765" spans="1:2" x14ac:dyDescent="0.2">
      <c r="A765" s="21">
        <v>35278</v>
      </c>
      <c r="B765" s="58">
        <v>5.05</v>
      </c>
    </row>
    <row r="766" spans="1:2" x14ac:dyDescent="0.2">
      <c r="A766" s="21">
        <v>35309</v>
      </c>
      <c r="B766" s="58">
        <v>5.09</v>
      </c>
    </row>
    <row r="767" spans="1:2" x14ac:dyDescent="0.2">
      <c r="A767" s="21">
        <v>35339</v>
      </c>
      <c r="B767" s="58">
        <v>4.99</v>
      </c>
    </row>
    <row r="768" spans="1:2" x14ac:dyDescent="0.2">
      <c r="A768" s="21">
        <v>35370</v>
      </c>
      <c r="B768" s="58">
        <v>5.03</v>
      </c>
    </row>
    <row r="769" spans="1:2" x14ac:dyDescent="0.2">
      <c r="A769" s="21">
        <v>35400</v>
      </c>
      <c r="B769" s="58">
        <v>4.91</v>
      </c>
    </row>
    <row r="770" spans="1:2" x14ac:dyDescent="0.2">
      <c r="A770" s="21">
        <v>35431</v>
      </c>
      <c r="B770" s="58">
        <v>5.03</v>
      </c>
    </row>
    <row r="771" spans="1:2" x14ac:dyDescent="0.2">
      <c r="A771" s="21">
        <v>35462</v>
      </c>
      <c r="B771" s="58">
        <v>5.01</v>
      </c>
    </row>
    <row r="772" spans="1:2" x14ac:dyDescent="0.2">
      <c r="A772" s="21">
        <v>35490</v>
      </c>
      <c r="B772" s="58">
        <v>5.14</v>
      </c>
    </row>
    <row r="773" spans="1:2" x14ac:dyDescent="0.2">
      <c r="A773" s="21">
        <v>35521</v>
      </c>
      <c r="B773" s="58">
        <v>5.16</v>
      </c>
    </row>
    <row r="774" spans="1:2" x14ac:dyDescent="0.2">
      <c r="A774" s="21">
        <v>35551</v>
      </c>
      <c r="B774" s="58">
        <v>5.05</v>
      </c>
    </row>
    <row r="775" spans="1:2" x14ac:dyDescent="0.2">
      <c r="A775" s="21">
        <v>35582</v>
      </c>
      <c r="B775" s="58">
        <v>4.93</v>
      </c>
    </row>
    <row r="776" spans="1:2" x14ac:dyDescent="0.2">
      <c r="A776" s="21">
        <v>35612</v>
      </c>
      <c r="B776" s="58">
        <v>5.05</v>
      </c>
    </row>
    <row r="777" spans="1:2" x14ac:dyDescent="0.2">
      <c r="A777" s="21">
        <v>35643</v>
      </c>
      <c r="B777" s="58">
        <v>5.14</v>
      </c>
    </row>
    <row r="778" spans="1:2" x14ac:dyDescent="0.2">
      <c r="A778" s="21">
        <v>35674</v>
      </c>
      <c r="B778" s="58">
        <v>4.95</v>
      </c>
    </row>
    <row r="779" spans="1:2" x14ac:dyDescent="0.2">
      <c r="A779" s="21">
        <v>35704</v>
      </c>
      <c r="B779" s="58">
        <v>4.97</v>
      </c>
    </row>
    <row r="780" spans="1:2" x14ac:dyDescent="0.2">
      <c r="A780" s="21">
        <v>35735</v>
      </c>
      <c r="B780" s="58">
        <v>5.14</v>
      </c>
    </row>
    <row r="781" spans="1:2" x14ac:dyDescent="0.2">
      <c r="A781" s="21">
        <v>35765</v>
      </c>
      <c r="B781" s="58">
        <v>5.16</v>
      </c>
    </row>
    <row r="782" spans="1:2" x14ac:dyDescent="0.2">
      <c r="A782" s="21">
        <v>35796</v>
      </c>
      <c r="B782" s="58">
        <v>5.04</v>
      </c>
    </row>
    <row r="783" spans="1:2" x14ac:dyDescent="0.2">
      <c r="A783" s="21">
        <v>35827</v>
      </c>
      <c r="B783" s="58">
        <v>5.09</v>
      </c>
    </row>
    <row r="784" spans="1:2" x14ac:dyDescent="0.2">
      <c r="A784" s="21">
        <v>35855</v>
      </c>
      <c r="B784" s="58">
        <v>5.03</v>
      </c>
    </row>
    <row r="785" spans="1:2" x14ac:dyDescent="0.2">
      <c r="A785" s="21">
        <v>35886</v>
      </c>
      <c r="B785" s="58">
        <v>4.95</v>
      </c>
    </row>
    <row r="786" spans="1:2" x14ac:dyDescent="0.2">
      <c r="A786" s="21">
        <v>35916</v>
      </c>
      <c r="B786" s="58">
        <v>5</v>
      </c>
    </row>
    <row r="787" spans="1:2" x14ac:dyDescent="0.2">
      <c r="A787" s="21">
        <v>35947</v>
      </c>
      <c r="B787" s="58">
        <v>4.9800000000000004</v>
      </c>
    </row>
    <row r="788" spans="1:2" x14ac:dyDescent="0.2">
      <c r="A788" s="21">
        <v>35977</v>
      </c>
      <c r="B788" s="58">
        <v>4.96</v>
      </c>
    </row>
    <row r="789" spans="1:2" x14ac:dyDescent="0.2">
      <c r="A789" s="21">
        <v>36008</v>
      </c>
      <c r="B789" s="58">
        <v>4.9000000000000004</v>
      </c>
    </row>
    <row r="790" spans="1:2" x14ac:dyDescent="0.2">
      <c r="A790" s="21">
        <v>36039</v>
      </c>
      <c r="B790" s="58">
        <v>4.6100000000000003</v>
      </c>
    </row>
    <row r="791" spans="1:2" x14ac:dyDescent="0.2">
      <c r="A791" s="21">
        <v>36069</v>
      </c>
      <c r="B791" s="58">
        <v>3.96</v>
      </c>
    </row>
    <row r="792" spans="1:2" x14ac:dyDescent="0.2">
      <c r="A792" s="21">
        <v>36100</v>
      </c>
      <c r="B792" s="58">
        <v>4.41</v>
      </c>
    </row>
    <row r="793" spans="1:2" x14ac:dyDescent="0.2">
      <c r="A793" s="21">
        <v>36130</v>
      </c>
      <c r="B793" s="58">
        <v>4.3899999999999997</v>
      </c>
    </row>
    <row r="794" spans="1:2" x14ac:dyDescent="0.2">
      <c r="A794" s="21">
        <v>36161</v>
      </c>
      <c r="B794" s="58">
        <v>4.34</v>
      </c>
    </row>
    <row r="795" spans="1:2" x14ac:dyDescent="0.2">
      <c r="A795" s="21">
        <v>36192</v>
      </c>
      <c r="B795" s="58">
        <v>4.4400000000000004</v>
      </c>
    </row>
    <row r="796" spans="1:2" x14ac:dyDescent="0.2">
      <c r="A796" s="21">
        <v>36220</v>
      </c>
      <c r="B796" s="58">
        <v>4.4400000000000004</v>
      </c>
    </row>
    <row r="797" spans="1:2" x14ac:dyDescent="0.2">
      <c r="A797" s="21">
        <v>36251</v>
      </c>
      <c r="B797" s="58">
        <v>4.29</v>
      </c>
    </row>
    <row r="798" spans="1:2" x14ac:dyDescent="0.2">
      <c r="A798" s="21">
        <v>36281</v>
      </c>
      <c r="B798" s="58">
        <v>4.5</v>
      </c>
    </row>
    <row r="799" spans="1:2" x14ac:dyDescent="0.2">
      <c r="A799" s="21">
        <v>36312</v>
      </c>
      <c r="B799" s="58">
        <v>4.57</v>
      </c>
    </row>
    <row r="800" spans="1:2" x14ac:dyDescent="0.2">
      <c r="A800" s="21">
        <v>36342</v>
      </c>
      <c r="B800" s="58">
        <v>4.55</v>
      </c>
    </row>
    <row r="801" spans="1:2" x14ac:dyDescent="0.2">
      <c r="A801" s="21">
        <v>36373</v>
      </c>
      <c r="B801" s="58">
        <v>4.72</v>
      </c>
    </row>
    <row r="802" spans="1:2" x14ac:dyDescent="0.2">
      <c r="A802" s="21">
        <v>36404</v>
      </c>
      <c r="B802" s="58">
        <v>4.68</v>
      </c>
    </row>
    <row r="803" spans="1:2" x14ac:dyDescent="0.2">
      <c r="A803" s="21">
        <v>36434</v>
      </c>
      <c r="B803" s="58">
        <v>4.8600000000000003</v>
      </c>
    </row>
    <row r="804" spans="1:2" x14ac:dyDescent="0.2">
      <c r="A804" s="21">
        <v>36465</v>
      </c>
      <c r="B804" s="58">
        <v>5.07</v>
      </c>
    </row>
    <row r="805" spans="1:2" x14ac:dyDescent="0.2">
      <c r="A805" s="21">
        <v>36495</v>
      </c>
      <c r="B805" s="58">
        <v>5.2</v>
      </c>
    </row>
    <row r="806" spans="1:2" x14ac:dyDescent="0.2">
      <c r="A806" s="21">
        <v>36526</v>
      </c>
      <c r="B806" s="58">
        <v>5.32</v>
      </c>
    </row>
    <row r="807" spans="1:2" x14ac:dyDescent="0.2">
      <c r="A807" s="21">
        <v>36557</v>
      </c>
      <c r="B807" s="58">
        <v>5.55</v>
      </c>
    </row>
    <row r="808" spans="1:2" x14ac:dyDescent="0.2">
      <c r="A808" s="21">
        <v>36586</v>
      </c>
      <c r="B808" s="58">
        <v>5.69</v>
      </c>
    </row>
    <row r="809" spans="1:2" x14ac:dyDescent="0.2">
      <c r="A809" s="21">
        <v>36617</v>
      </c>
      <c r="B809" s="58">
        <v>5.66</v>
      </c>
    </row>
    <row r="810" spans="1:2" x14ac:dyDescent="0.2">
      <c r="A810" s="21">
        <v>36647</v>
      </c>
      <c r="B810" s="58">
        <v>5.79</v>
      </c>
    </row>
    <row r="811" spans="1:2" x14ac:dyDescent="0.2">
      <c r="A811" s="21">
        <v>36678</v>
      </c>
      <c r="B811" s="58">
        <v>5.69</v>
      </c>
    </row>
    <row r="812" spans="1:2" x14ac:dyDescent="0.2">
      <c r="A812" s="21">
        <v>36708</v>
      </c>
      <c r="B812" s="58">
        <v>5.96</v>
      </c>
    </row>
    <row r="813" spans="1:2" x14ac:dyDescent="0.2">
      <c r="A813" s="21">
        <v>36739</v>
      </c>
      <c r="B813" s="58">
        <v>6.09</v>
      </c>
    </row>
    <row r="814" spans="1:2" x14ac:dyDescent="0.2">
      <c r="A814" s="21">
        <v>36770</v>
      </c>
      <c r="B814" s="58">
        <v>6</v>
      </c>
    </row>
    <row r="815" spans="1:2" x14ac:dyDescent="0.2">
      <c r="A815" s="21">
        <v>36800</v>
      </c>
      <c r="B815" s="58">
        <v>6.11</v>
      </c>
    </row>
    <row r="816" spans="1:2" x14ac:dyDescent="0.2">
      <c r="A816" s="21">
        <v>36831</v>
      </c>
      <c r="B816" s="58">
        <v>6.17</v>
      </c>
    </row>
    <row r="817" spans="1:2" x14ac:dyDescent="0.2">
      <c r="A817" s="21">
        <v>36861</v>
      </c>
      <c r="B817" s="58">
        <v>5.77</v>
      </c>
    </row>
    <row r="818" spans="1:2" x14ac:dyDescent="0.2">
      <c r="A818" s="21">
        <v>36892</v>
      </c>
      <c r="B818" s="58">
        <v>5.15</v>
      </c>
    </row>
    <row r="819" spans="1:2" x14ac:dyDescent="0.2">
      <c r="A819" s="21">
        <v>36923</v>
      </c>
      <c r="B819" s="58">
        <v>4.88</v>
      </c>
    </row>
    <row r="820" spans="1:2" x14ac:dyDescent="0.2">
      <c r="A820" s="21">
        <v>36951</v>
      </c>
      <c r="B820" s="58">
        <v>4.42</v>
      </c>
    </row>
    <row r="821" spans="1:2" x14ac:dyDescent="0.2">
      <c r="A821" s="21">
        <v>36982</v>
      </c>
      <c r="B821" s="58">
        <v>3.87</v>
      </c>
    </row>
    <row r="822" spans="1:2" x14ac:dyDescent="0.2">
      <c r="A822" s="21">
        <v>37012</v>
      </c>
      <c r="B822" s="58">
        <v>3.62</v>
      </c>
    </row>
    <row r="823" spans="1:2" x14ac:dyDescent="0.2">
      <c r="A823" s="21">
        <v>37043</v>
      </c>
      <c r="B823" s="58">
        <v>3.49</v>
      </c>
    </row>
    <row r="824" spans="1:2" x14ac:dyDescent="0.2">
      <c r="A824" s="21">
        <v>37073</v>
      </c>
      <c r="B824" s="58">
        <v>3.51</v>
      </c>
    </row>
    <row r="825" spans="1:2" x14ac:dyDescent="0.2">
      <c r="A825" s="21">
        <v>37104</v>
      </c>
      <c r="B825" s="58">
        <v>3.36</v>
      </c>
    </row>
    <row r="826" spans="1:2" x14ac:dyDescent="0.2">
      <c r="A826" s="21">
        <v>37135</v>
      </c>
      <c r="B826" s="58">
        <v>2.64</v>
      </c>
    </row>
    <row r="827" spans="1:2" x14ac:dyDescent="0.2">
      <c r="A827" s="21">
        <v>37165</v>
      </c>
      <c r="B827" s="58">
        <v>2.16</v>
      </c>
    </row>
    <row r="828" spans="1:2" x14ac:dyDescent="0.2">
      <c r="A828" s="21">
        <v>37196</v>
      </c>
      <c r="B828" s="58">
        <v>1.87</v>
      </c>
    </row>
    <row r="829" spans="1:2" x14ac:dyDescent="0.2">
      <c r="A829" s="21">
        <v>37226</v>
      </c>
      <c r="B829" s="58">
        <v>1.69</v>
      </c>
    </row>
    <row r="830" spans="1:2" x14ac:dyDescent="0.2">
      <c r="A830" s="21">
        <v>37257</v>
      </c>
      <c r="B830" s="58">
        <v>1.65</v>
      </c>
    </row>
    <row r="831" spans="1:2" x14ac:dyDescent="0.2">
      <c r="A831" s="21">
        <v>37288</v>
      </c>
      <c r="B831" s="58">
        <v>1.73</v>
      </c>
    </row>
    <row r="832" spans="1:2" x14ac:dyDescent="0.2">
      <c r="A832" s="21">
        <v>37316</v>
      </c>
      <c r="B832" s="58">
        <v>1.79</v>
      </c>
    </row>
    <row r="833" spans="1:2" x14ac:dyDescent="0.2">
      <c r="A833" s="21">
        <v>37347</v>
      </c>
      <c r="B833" s="58">
        <v>1.72</v>
      </c>
    </row>
    <row r="834" spans="1:2" x14ac:dyDescent="0.2">
      <c r="A834" s="21">
        <v>37377</v>
      </c>
      <c r="B834" s="58">
        <v>1.73</v>
      </c>
    </row>
    <row r="835" spans="1:2" x14ac:dyDescent="0.2">
      <c r="A835" s="21">
        <v>37408</v>
      </c>
      <c r="B835" s="58">
        <v>1.7</v>
      </c>
    </row>
    <row r="836" spans="1:2" x14ac:dyDescent="0.2">
      <c r="A836" s="21">
        <v>37438</v>
      </c>
      <c r="B836" s="58">
        <v>1.68</v>
      </c>
    </row>
    <row r="837" spans="1:2" x14ac:dyDescent="0.2">
      <c r="A837" s="21">
        <v>37469</v>
      </c>
      <c r="B837" s="58">
        <v>1.62</v>
      </c>
    </row>
    <row r="838" spans="1:2" x14ac:dyDescent="0.2">
      <c r="A838" s="21">
        <v>37500</v>
      </c>
      <c r="B838" s="58">
        <v>1.63</v>
      </c>
    </row>
    <row r="839" spans="1:2" x14ac:dyDescent="0.2">
      <c r="A839" s="21">
        <v>37530</v>
      </c>
      <c r="B839" s="58">
        <v>1.58</v>
      </c>
    </row>
    <row r="840" spans="1:2" x14ac:dyDescent="0.2">
      <c r="A840" s="21">
        <v>37561</v>
      </c>
      <c r="B840" s="58">
        <v>1.23</v>
      </c>
    </row>
    <row r="841" spans="1:2" x14ac:dyDescent="0.2">
      <c r="A841" s="21">
        <v>37591</v>
      </c>
      <c r="B841" s="58">
        <v>1.19</v>
      </c>
    </row>
    <row r="842" spans="1:2" x14ac:dyDescent="0.2">
      <c r="A842" s="21">
        <v>37622</v>
      </c>
      <c r="B842" s="58">
        <v>1.17</v>
      </c>
    </row>
    <row r="843" spans="1:2" x14ac:dyDescent="0.2">
      <c r="A843" s="21">
        <v>37653</v>
      </c>
      <c r="B843" s="58">
        <v>1.17</v>
      </c>
    </row>
    <row r="844" spans="1:2" x14ac:dyDescent="0.2">
      <c r="A844" s="21">
        <v>37681</v>
      </c>
      <c r="B844" s="58">
        <v>1.1299999999999999</v>
      </c>
    </row>
    <row r="845" spans="1:2" x14ac:dyDescent="0.2">
      <c r="A845" s="21">
        <v>37712</v>
      </c>
      <c r="B845" s="58">
        <v>1.1299999999999999</v>
      </c>
    </row>
    <row r="846" spans="1:2" x14ac:dyDescent="0.2">
      <c r="A846" s="21">
        <v>37742</v>
      </c>
      <c r="B846" s="58">
        <v>1.07</v>
      </c>
    </row>
    <row r="847" spans="1:2" x14ac:dyDescent="0.2">
      <c r="A847" s="21">
        <v>37773</v>
      </c>
      <c r="B847" s="58">
        <v>0.92</v>
      </c>
    </row>
    <row r="848" spans="1:2" x14ac:dyDescent="0.2">
      <c r="A848" s="21">
        <v>37803</v>
      </c>
      <c r="B848" s="58">
        <v>0.9</v>
      </c>
    </row>
    <row r="849" spans="1:2" x14ac:dyDescent="0.2">
      <c r="A849" s="21">
        <v>37834</v>
      </c>
      <c r="B849" s="58">
        <v>0.95</v>
      </c>
    </row>
    <row r="850" spans="1:2" x14ac:dyDescent="0.2">
      <c r="A850" s="21">
        <v>37865</v>
      </c>
      <c r="B850" s="58">
        <v>0.94</v>
      </c>
    </row>
    <row r="851" spans="1:2" x14ac:dyDescent="0.2">
      <c r="A851" s="21">
        <v>37895</v>
      </c>
      <c r="B851" s="58">
        <v>0.92</v>
      </c>
    </row>
    <row r="852" spans="1:2" x14ac:dyDescent="0.2">
      <c r="A852" s="21">
        <v>37926</v>
      </c>
      <c r="B852" s="58">
        <v>0.93</v>
      </c>
    </row>
    <row r="853" spans="1:2" x14ac:dyDescent="0.2">
      <c r="A853" s="21">
        <v>37956</v>
      </c>
      <c r="B853" s="58">
        <v>0.9</v>
      </c>
    </row>
    <row r="854" spans="1:2" x14ac:dyDescent="0.2">
      <c r="A854" s="21">
        <v>37987</v>
      </c>
      <c r="B854" s="58">
        <v>0.88</v>
      </c>
    </row>
    <row r="855" spans="1:2" x14ac:dyDescent="0.2">
      <c r="A855" s="21">
        <v>38018</v>
      </c>
      <c r="B855" s="58">
        <v>0.93</v>
      </c>
    </row>
    <row r="856" spans="1:2" x14ac:dyDescent="0.2">
      <c r="A856" s="21">
        <v>38047</v>
      </c>
      <c r="B856" s="58">
        <v>0.94</v>
      </c>
    </row>
    <row r="857" spans="1:2" x14ac:dyDescent="0.2">
      <c r="A857" s="21">
        <v>38078</v>
      </c>
      <c r="B857" s="58">
        <v>0.94</v>
      </c>
    </row>
    <row r="858" spans="1:2" x14ac:dyDescent="0.2">
      <c r="A858" s="21">
        <v>38108</v>
      </c>
      <c r="B858" s="58">
        <v>1.02</v>
      </c>
    </row>
    <row r="859" spans="1:2" x14ac:dyDescent="0.2">
      <c r="A859" s="21">
        <v>38139</v>
      </c>
      <c r="B859" s="58">
        <v>1.27</v>
      </c>
    </row>
    <row r="860" spans="1:2" x14ac:dyDescent="0.2">
      <c r="A860" s="21">
        <v>38169</v>
      </c>
      <c r="B860" s="58">
        <v>1.33</v>
      </c>
    </row>
    <row r="861" spans="1:2" x14ac:dyDescent="0.2">
      <c r="A861" s="21">
        <v>38200</v>
      </c>
      <c r="B861" s="58">
        <v>1.48</v>
      </c>
    </row>
    <row r="862" spans="1:2" x14ac:dyDescent="0.2">
      <c r="A862" s="21">
        <v>38231</v>
      </c>
      <c r="B862" s="58">
        <v>1.65</v>
      </c>
    </row>
    <row r="863" spans="1:2" x14ac:dyDescent="0.2">
      <c r="A863" s="21">
        <v>38261</v>
      </c>
      <c r="B863" s="58">
        <v>1.76</v>
      </c>
    </row>
    <row r="864" spans="1:2" x14ac:dyDescent="0.2">
      <c r="A864" s="21">
        <v>38292</v>
      </c>
      <c r="B864" s="58">
        <v>2.0699999999999998</v>
      </c>
    </row>
    <row r="865" spans="1:2" x14ac:dyDescent="0.2">
      <c r="A865" s="21">
        <v>38322</v>
      </c>
      <c r="B865" s="58">
        <v>2.19</v>
      </c>
    </row>
    <row r="866" spans="1:2" x14ac:dyDescent="0.2">
      <c r="A866" s="21">
        <v>38353</v>
      </c>
      <c r="B866" s="58">
        <v>2.33</v>
      </c>
    </row>
    <row r="867" spans="1:2" x14ac:dyDescent="0.2">
      <c r="A867" s="21">
        <v>38384</v>
      </c>
      <c r="B867" s="58">
        <v>2.54</v>
      </c>
    </row>
    <row r="868" spans="1:2" x14ac:dyDescent="0.2">
      <c r="A868" s="21">
        <v>38412</v>
      </c>
      <c r="B868" s="58">
        <v>2.74</v>
      </c>
    </row>
    <row r="869" spans="1:2" x14ac:dyDescent="0.2">
      <c r="A869" s="21">
        <v>38443</v>
      </c>
      <c r="B869" s="58">
        <v>2.78</v>
      </c>
    </row>
    <row r="870" spans="1:2" x14ac:dyDescent="0.2">
      <c r="A870" s="21">
        <v>38473</v>
      </c>
      <c r="B870" s="58">
        <v>2.84</v>
      </c>
    </row>
    <row r="871" spans="1:2" x14ac:dyDescent="0.2">
      <c r="A871" s="21">
        <v>38504</v>
      </c>
      <c r="B871" s="58">
        <v>2.97</v>
      </c>
    </row>
    <row r="872" spans="1:2" x14ac:dyDescent="0.2">
      <c r="A872" s="21">
        <v>38534</v>
      </c>
      <c r="B872" s="58">
        <v>3.22</v>
      </c>
    </row>
    <row r="873" spans="1:2" x14ac:dyDescent="0.2">
      <c r="A873" s="21">
        <v>38565</v>
      </c>
      <c r="B873" s="58">
        <v>3.44</v>
      </c>
    </row>
    <row r="874" spans="1:2" x14ac:dyDescent="0.2">
      <c r="A874" s="21">
        <v>38596</v>
      </c>
      <c r="B874" s="58">
        <v>3.42</v>
      </c>
    </row>
    <row r="875" spans="1:2" x14ac:dyDescent="0.2">
      <c r="A875" s="21">
        <v>38626</v>
      </c>
      <c r="B875" s="58">
        <v>3.71</v>
      </c>
    </row>
    <row r="876" spans="1:2" x14ac:dyDescent="0.2">
      <c r="A876" s="21">
        <v>38657</v>
      </c>
      <c r="B876" s="58">
        <v>3.88</v>
      </c>
    </row>
    <row r="877" spans="1:2" x14ac:dyDescent="0.2">
      <c r="A877" s="21">
        <v>38687</v>
      </c>
      <c r="B877" s="58">
        <v>3.89</v>
      </c>
    </row>
    <row r="878" spans="1:2" x14ac:dyDescent="0.2">
      <c r="A878" s="21">
        <v>38718</v>
      </c>
      <c r="B878" s="58">
        <v>4.24</v>
      </c>
    </row>
    <row r="879" spans="1:2" x14ac:dyDescent="0.2">
      <c r="A879" s="21">
        <v>38749</v>
      </c>
      <c r="B879" s="58">
        <v>4.43</v>
      </c>
    </row>
    <row r="880" spans="1:2" x14ac:dyDescent="0.2">
      <c r="A880" s="21">
        <v>38777</v>
      </c>
      <c r="B880" s="58">
        <v>4.51</v>
      </c>
    </row>
    <row r="881" spans="1:2" x14ac:dyDescent="0.2">
      <c r="A881" s="21">
        <v>38808</v>
      </c>
      <c r="B881" s="58">
        <v>4.5999999999999996</v>
      </c>
    </row>
    <row r="882" spans="1:2" x14ac:dyDescent="0.2">
      <c r="A882" s="21">
        <v>38838</v>
      </c>
      <c r="B882" s="58">
        <v>4.72</v>
      </c>
    </row>
    <row r="883" spans="1:2" x14ac:dyDescent="0.2">
      <c r="A883" s="21">
        <v>38869</v>
      </c>
      <c r="B883" s="58">
        <v>4.79</v>
      </c>
    </row>
    <row r="884" spans="1:2" x14ac:dyDescent="0.2">
      <c r="A884" s="21">
        <v>38899</v>
      </c>
      <c r="B884" s="58">
        <v>4.95</v>
      </c>
    </row>
    <row r="885" spans="1:2" x14ac:dyDescent="0.2">
      <c r="A885" s="21">
        <v>38930</v>
      </c>
      <c r="B885" s="58">
        <v>4.96</v>
      </c>
    </row>
    <row r="886" spans="1:2" x14ac:dyDescent="0.2">
      <c r="A886" s="21">
        <v>38961</v>
      </c>
      <c r="B886" s="58">
        <v>4.8099999999999996</v>
      </c>
    </row>
    <row r="887" spans="1:2" x14ac:dyDescent="0.2">
      <c r="A887" s="21">
        <v>38991</v>
      </c>
      <c r="B887" s="58">
        <v>4.92</v>
      </c>
    </row>
    <row r="888" spans="1:2" x14ac:dyDescent="0.2">
      <c r="A888" s="21">
        <v>39022</v>
      </c>
      <c r="B888" s="58">
        <v>4.9400000000000004</v>
      </c>
    </row>
    <row r="889" spans="1:2" x14ac:dyDescent="0.2">
      <c r="A889" s="21">
        <v>39052</v>
      </c>
      <c r="B889" s="58">
        <v>4.8499999999999996</v>
      </c>
    </row>
    <row r="890" spans="1:2" x14ac:dyDescent="0.2">
      <c r="A890" s="21">
        <v>39083</v>
      </c>
      <c r="B890" s="58">
        <v>4.9800000000000004</v>
      </c>
    </row>
    <row r="891" spans="1:2" x14ac:dyDescent="0.2">
      <c r="A891" s="21">
        <v>39114</v>
      </c>
      <c r="B891" s="58">
        <v>5.03</v>
      </c>
    </row>
    <row r="892" spans="1:2" x14ac:dyDescent="0.2">
      <c r="A892" s="21">
        <v>39142</v>
      </c>
      <c r="B892" s="58">
        <v>4.9400000000000004</v>
      </c>
    </row>
    <row r="893" spans="1:2" x14ac:dyDescent="0.2">
      <c r="A893" s="21">
        <v>39173</v>
      </c>
      <c r="B893" s="58">
        <v>4.87</v>
      </c>
    </row>
    <row r="894" spans="1:2" x14ac:dyDescent="0.2">
      <c r="A894" s="21">
        <v>39203</v>
      </c>
      <c r="B894" s="58">
        <v>4.7300000000000004</v>
      </c>
    </row>
    <row r="895" spans="1:2" x14ac:dyDescent="0.2">
      <c r="A895" s="21">
        <v>39234</v>
      </c>
      <c r="B895" s="58">
        <v>4.6100000000000003</v>
      </c>
    </row>
    <row r="896" spans="1:2" x14ac:dyDescent="0.2">
      <c r="A896" s="21">
        <v>39264</v>
      </c>
      <c r="B896" s="58">
        <v>4.82</v>
      </c>
    </row>
    <row r="897" spans="1:2" x14ac:dyDescent="0.2">
      <c r="A897" s="21">
        <v>39295</v>
      </c>
      <c r="B897" s="58">
        <v>4.2</v>
      </c>
    </row>
    <row r="898" spans="1:2" x14ac:dyDescent="0.2">
      <c r="A898" s="21">
        <v>39326</v>
      </c>
      <c r="B898" s="58">
        <v>3.89</v>
      </c>
    </row>
    <row r="899" spans="1:2" x14ac:dyDescent="0.2">
      <c r="A899" s="21">
        <v>39356</v>
      </c>
      <c r="B899" s="58">
        <v>3.9</v>
      </c>
    </row>
    <row r="900" spans="1:2" x14ac:dyDescent="0.2">
      <c r="A900" s="21">
        <v>39387</v>
      </c>
      <c r="B900" s="58">
        <v>3.27</v>
      </c>
    </row>
    <row r="901" spans="1:2" x14ac:dyDescent="0.2">
      <c r="A901" s="21">
        <v>39417</v>
      </c>
      <c r="B901" s="58">
        <v>3</v>
      </c>
    </row>
    <row r="902" spans="1:2" x14ac:dyDescent="0.2">
      <c r="A902" s="21">
        <v>39448</v>
      </c>
      <c r="B902" s="58">
        <v>2.75</v>
      </c>
    </row>
    <row r="903" spans="1:2" x14ac:dyDescent="0.2">
      <c r="A903" s="21">
        <v>39479</v>
      </c>
      <c r="B903" s="58">
        <v>2.12</v>
      </c>
    </row>
    <row r="904" spans="1:2" x14ac:dyDescent="0.2">
      <c r="A904" s="21">
        <v>39508</v>
      </c>
      <c r="B904" s="58">
        <v>1.26</v>
      </c>
    </row>
    <row r="905" spans="1:2" x14ac:dyDescent="0.2">
      <c r="A905" s="21">
        <v>39539</v>
      </c>
      <c r="B905" s="58">
        <v>1.29</v>
      </c>
    </row>
    <row r="906" spans="1:2" x14ac:dyDescent="0.2">
      <c r="A906" s="21">
        <v>39569</v>
      </c>
      <c r="B906" s="58">
        <v>1.73</v>
      </c>
    </row>
    <row r="907" spans="1:2" x14ac:dyDescent="0.2">
      <c r="A907" s="21">
        <v>39600</v>
      </c>
      <c r="B907" s="58">
        <v>1.86</v>
      </c>
    </row>
    <row r="908" spans="1:2" x14ac:dyDescent="0.2">
      <c r="A908" s="21">
        <v>39630</v>
      </c>
      <c r="B908" s="58">
        <v>1.63</v>
      </c>
    </row>
    <row r="909" spans="1:2" x14ac:dyDescent="0.2">
      <c r="A909" s="21">
        <v>39661</v>
      </c>
      <c r="B909" s="58">
        <v>1.72</v>
      </c>
    </row>
    <row r="910" spans="1:2" x14ac:dyDescent="0.2">
      <c r="A910" s="21">
        <v>39692</v>
      </c>
      <c r="B910" s="58">
        <v>1.1299999999999999</v>
      </c>
    </row>
    <row r="911" spans="1:2" x14ac:dyDescent="0.2">
      <c r="A911" s="21">
        <v>39722</v>
      </c>
      <c r="B911" s="58">
        <v>0.67</v>
      </c>
    </row>
    <row r="912" spans="1:2" x14ac:dyDescent="0.2">
      <c r="A912" s="21">
        <v>39753</v>
      </c>
      <c r="B912" s="58">
        <v>0.19</v>
      </c>
    </row>
    <row r="913" spans="1:2" x14ac:dyDescent="0.2">
      <c r="A913" s="21">
        <v>39783</v>
      </c>
      <c r="B913" s="58">
        <v>0.03</v>
      </c>
    </row>
    <row r="914" spans="1:2" x14ac:dyDescent="0.2">
      <c r="A914" s="21">
        <v>39814</v>
      </c>
      <c r="B914" s="58">
        <v>0.13</v>
      </c>
    </row>
    <row r="915" spans="1:2" x14ac:dyDescent="0.2">
      <c r="A915" s="21">
        <v>39845</v>
      </c>
      <c r="B915" s="58">
        <v>0.3</v>
      </c>
    </row>
    <row r="916" spans="1:2" x14ac:dyDescent="0.2">
      <c r="A916" s="21">
        <v>39873</v>
      </c>
      <c r="B916" s="58">
        <v>0.21</v>
      </c>
    </row>
    <row r="917" spans="1:2" x14ac:dyDescent="0.2">
      <c r="A917" s="21">
        <v>39904</v>
      </c>
      <c r="B917" s="58">
        <v>0.16</v>
      </c>
    </row>
    <row r="918" spans="1:2" x14ac:dyDescent="0.2">
      <c r="A918" s="21">
        <v>39934</v>
      </c>
      <c r="B918" s="58">
        <v>0.18</v>
      </c>
    </row>
    <row r="919" spans="1:2" x14ac:dyDescent="0.2">
      <c r="A919" s="21">
        <v>39965</v>
      </c>
      <c r="B919" s="58">
        <v>0.18</v>
      </c>
    </row>
    <row r="920" spans="1:2" x14ac:dyDescent="0.2">
      <c r="A920" s="21">
        <v>39995</v>
      </c>
      <c r="B920" s="58">
        <v>0.18</v>
      </c>
    </row>
    <row r="921" spans="1:2" x14ac:dyDescent="0.2">
      <c r="A921" s="21">
        <v>40026</v>
      </c>
      <c r="B921" s="58">
        <v>0.17</v>
      </c>
    </row>
    <row r="922" spans="1:2" x14ac:dyDescent="0.2">
      <c r="A922" s="21">
        <v>40057</v>
      </c>
      <c r="B922" s="58">
        <v>0.12</v>
      </c>
    </row>
    <row r="923" spans="1:2" x14ac:dyDescent="0.2">
      <c r="A923" s="21">
        <v>40087</v>
      </c>
      <c r="B923" s="58">
        <v>7.0000000000000007E-2</v>
      </c>
    </row>
    <row r="924" spans="1:2" x14ac:dyDescent="0.2">
      <c r="A924" s="21">
        <v>40118</v>
      </c>
      <c r="B924" s="58">
        <v>0.05</v>
      </c>
    </row>
    <row r="925" spans="1:2" x14ac:dyDescent="0.2">
      <c r="A925" s="21">
        <v>40148</v>
      </c>
      <c r="B925" s="58">
        <v>0.05</v>
      </c>
    </row>
    <row r="926" spans="1:2" x14ac:dyDescent="0.2">
      <c r="A926" s="21">
        <v>40179</v>
      </c>
      <c r="B926" s="58">
        <v>0.06</v>
      </c>
    </row>
    <row r="927" spans="1:2" x14ac:dyDescent="0.2">
      <c r="A927" s="21">
        <v>40210</v>
      </c>
      <c r="B927" s="58">
        <v>0.11</v>
      </c>
    </row>
    <row r="928" spans="1:2" x14ac:dyDescent="0.2">
      <c r="A928" s="21">
        <v>40238</v>
      </c>
      <c r="B928" s="58">
        <v>0.15</v>
      </c>
    </row>
    <row r="929" spans="1:2" x14ac:dyDescent="0.2">
      <c r="A929" s="21">
        <v>40269</v>
      </c>
      <c r="B929" s="58">
        <v>0.16</v>
      </c>
    </row>
    <row r="930" spans="1:2" x14ac:dyDescent="0.2">
      <c r="A930" s="21">
        <v>40299</v>
      </c>
      <c r="B930" s="58">
        <v>0.16</v>
      </c>
    </row>
    <row r="931" spans="1:2" x14ac:dyDescent="0.2">
      <c r="A931" s="21">
        <v>40330</v>
      </c>
      <c r="B931" s="58">
        <v>0.12</v>
      </c>
    </row>
    <row r="932" spans="1:2" x14ac:dyDescent="0.2">
      <c r="A932" s="21">
        <v>40360</v>
      </c>
      <c r="B932" s="58">
        <v>0.16</v>
      </c>
    </row>
    <row r="933" spans="1:2" x14ac:dyDescent="0.2">
      <c r="A933" s="21">
        <v>40391</v>
      </c>
      <c r="B933" s="58">
        <v>0.16</v>
      </c>
    </row>
    <row r="934" spans="1:2" x14ac:dyDescent="0.2">
      <c r="A934" s="21">
        <v>40422</v>
      </c>
      <c r="B934" s="58">
        <v>0.15</v>
      </c>
    </row>
    <row r="935" spans="1:2" x14ac:dyDescent="0.2">
      <c r="A935" s="21">
        <v>40452</v>
      </c>
      <c r="B935" s="58">
        <v>0.13</v>
      </c>
    </row>
    <row r="936" spans="1:2" x14ac:dyDescent="0.2">
      <c r="A936" s="21">
        <v>40483</v>
      </c>
      <c r="B936" s="58">
        <v>0.14000000000000001</v>
      </c>
    </row>
    <row r="937" spans="1:2" x14ac:dyDescent="0.2">
      <c r="A937" s="21">
        <v>40513</v>
      </c>
      <c r="B937" s="58">
        <v>0.14000000000000001</v>
      </c>
    </row>
    <row r="938" spans="1:2" x14ac:dyDescent="0.2">
      <c r="A938" s="21">
        <v>40544</v>
      </c>
      <c r="B938" s="58">
        <v>0.15</v>
      </c>
    </row>
    <row r="939" spans="1:2" x14ac:dyDescent="0.2">
      <c r="A939" s="21">
        <v>40575</v>
      </c>
      <c r="B939" s="58">
        <v>0.13</v>
      </c>
    </row>
    <row r="940" spans="1:2" x14ac:dyDescent="0.2">
      <c r="A940" s="21">
        <v>40603</v>
      </c>
      <c r="B940" s="58">
        <v>0.1</v>
      </c>
    </row>
    <row r="941" spans="1:2" x14ac:dyDescent="0.2">
      <c r="A941" s="21">
        <v>40634</v>
      </c>
      <c r="B941" s="58">
        <v>0.06</v>
      </c>
    </row>
    <row r="942" spans="1:2" x14ac:dyDescent="0.2">
      <c r="A942" s="21">
        <v>40664</v>
      </c>
      <c r="B942" s="58">
        <v>0.04</v>
      </c>
    </row>
    <row r="943" spans="1:2" x14ac:dyDescent="0.2">
      <c r="A943" s="21">
        <v>40695</v>
      </c>
      <c r="B943" s="58">
        <v>0.04</v>
      </c>
    </row>
    <row r="944" spans="1:2" x14ac:dyDescent="0.2">
      <c r="A944" s="21">
        <v>40725</v>
      </c>
      <c r="B944" s="58">
        <v>0.04</v>
      </c>
    </row>
    <row r="945" spans="1:2" x14ac:dyDescent="0.2">
      <c r="A945" s="21">
        <v>40756</v>
      </c>
      <c r="B945" s="58">
        <v>0.02</v>
      </c>
    </row>
    <row r="946" spans="1:2" x14ac:dyDescent="0.2">
      <c r="A946" s="21">
        <v>40787</v>
      </c>
      <c r="B946" s="58">
        <v>0.01</v>
      </c>
    </row>
    <row r="947" spans="1:2" x14ac:dyDescent="0.2">
      <c r="A947" s="21">
        <v>40817</v>
      </c>
      <c r="B947" s="58">
        <v>0.02</v>
      </c>
    </row>
    <row r="948" spans="1:2" x14ac:dyDescent="0.2">
      <c r="A948" s="21">
        <v>40848</v>
      </c>
      <c r="B948" s="58">
        <v>0.01</v>
      </c>
    </row>
    <row r="949" spans="1:2" x14ac:dyDescent="0.2">
      <c r="A949" s="21">
        <v>40878</v>
      </c>
      <c r="B949" s="58">
        <v>0.01</v>
      </c>
    </row>
    <row r="950" spans="1:2" x14ac:dyDescent="0.2">
      <c r="A950" s="21">
        <v>40909</v>
      </c>
      <c r="B950" s="58">
        <v>0.03</v>
      </c>
    </row>
    <row r="951" spans="1:2" x14ac:dyDescent="0.2">
      <c r="A951" s="21">
        <v>40940</v>
      </c>
      <c r="B951" s="58">
        <v>0.09</v>
      </c>
    </row>
    <row r="952" spans="1:2" x14ac:dyDescent="0.2">
      <c r="A952" s="21">
        <v>40969</v>
      </c>
      <c r="B952" s="58">
        <v>0.08</v>
      </c>
    </row>
    <row r="953" spans="1:2" x14ac:dyDescent="0.2">
      <c r="A953" s="21">
        <v>41000</v>
      </c>
      <c r="B953" s="58">
        <v>0.08</v>
      </c>
    </row>
    <row r="954" spans="1:2" x14ac:dyDescent="0.2">
      <c r="A954" s="21">
        <v>41030</v>
      </c>
      <c r="B954" s="58">
        <v>0.09</v>
      </c>
    </row>
    <row r="955" spans="1:2" x14ac:dyDescent="0.2">
      <c r="B955" s="58"/>
    </row>
    <row r="956" spans="1:2" x14ac:dyDescent="0.2">
      <c r="B956" s="58"/>
    </row>
    <row r="957" spans="1:2" x14ac:dyDescent="0.2">
      <c r="B957" s="58"/>
    </row>
    <row r="958" spans="1:2" x14ac:dyDescent="0.2">
      <c r="B958" s="58"/>
    </row>
    <row r="959" spans="1:2" x14ac:dyDescent="0.2">
      <c r="B959" s="58"/>
    </row>
    <row r="960" spans="1:2" x14ac:dyDescent="0.2">
      <c r="B960" s="58"/>
    </row>
    <row r="961" spans="2:2" x14ac:dyDescent="0.2">
      <c r="B961" s="58"/>
    </row>
    <row r="962" spans="2:2" x14ac:dyDescent="0.2">
      <c r="B962" s="58"/>
    </row>
    <row r="963" spans="2:2" x14ac:dyDescent="0.2">
      <c r="B963" s="58"/>
    </row>
    <row r="964" spans="2:2" x14ac:dyDescent="0.2">
      <c r="B964" s="58"/>
    </row>
    <row r="965" spans="2:2" x14ac:dyDescent="0.2">
      <c r="B965" s="58"/>
    </row>
    <row r="966" spans="2:2" x14ac:dyDescent="0.2">
      <c r="B966" s="58"/>
    </row>
    <row r="967" spans="2:2" x14ac:dyDescent="0.2">
      <c r="B967" s="58"/>
    </row>
    <row r="968" spans="2:2" x14ac:dyDescent="0.2">
      <c r="B968" s="58"/>
    </row>
    <row r="969" spans="2:2" x14ac:dyDescent="0.2">
      <c r="B969" s="58"/>
    </row>
    <row r="970" spans="2:2" x14ac:dyDescent="0.2">
      <c r="B970" s="58"/>
    </row>
    <row r="971" spans="2:2" x14ac:dyDescent="0.2">
      <c r="B971" s="58"/>
    </row>
    <row r="972" spans="2:2" x14ac:dyDescent="0.2">
      <c r="B972" s="58"/>
    </row>
    <row r="973" spans="2:2" x14ac:dyDescent="0.2">
      <c r="B973" s="58"/>
    </row>
    <row r="974" spans="2:2" x14ac:dyDescent="0.2">
      <c r="B974" s="58"/>
    </row>
    <row r="975" spans="2:2" x14ac:dyDescent="0.2">
      <c r="B975" s="58"/>
    </row>
    <row r="976" spans="2:2" x14ac:dyDescent="0.2">
      <c r="B976" s="58"/>
    </row>
    <row r="977" spans="2:2" x14ac:dyDescent="0.2">
      <c r="B977" s="58"/>
    </row>
    <row r="978" spans="2:2" x14ac:dyDescent="0.2">
      <c r="B978" s="58"/>
    </row>
    <row r="979" spans="2:2" x14ac:dyDescent="0.2">
      <c r="B979" s="58"/>
    </row>
    <row r="980" spans="2:2" x14ac:dyDescent="0.2">
      <c r="B980" s="58"/>
    </row>
    <row r="981" spans="2:2" x14ac:dyDescent="0.2">
      <c r="B981" s="58"/>
    </row>
    <row r="982" spans="2:2" x14ac:dyDescent="0.2">
      <c r="B982" s="58"/>
    </row>
    <row r="983" spans="2:2" x14ac:dyDescent="0.2">
      <c r="B983" s="58"/>
    </row>
    <row r="984" spans="2:2" x14ac:dyDescent="0.2">
      <c r="B984" s="58"/>
    </row>
    <row r="985" spans="2:2" x14ac:dyDescent="0.2">
      <c r="B985" s="58"/>
    </row>
    <row r="986" spans="2:2" x14ac:dyDescent="0.2">
      <c r="B986" s="58"/>
    </row>
    <row r="987" spans="2:2" x14ac:dyDescent="0.2">
      <c r="B987" s="58"/>
    </row>
    <row r="988" spans="2:2" x14ac:dyDescent="0.2">
      <c r="B988" s="58"/>
    </row>
    <row r="989" spans="2:2" x14ac:dyDescent="0.2">
      <c r="B989" s="58"/>
    </row>
    <row r="990" spans="2:2" x14ac:dyDescent="0.2">
      <c r="B990" s="58"/>
    </row>
    <row r="991" spans="2:2" x14ac:dyDescent="0.2">
      <c r="B991" s="58"/>
    </row>
    <row r="992" spans="2:2" x14ac:dyDescent="0.2">
      <c r="B992" s="58"/>
    </row>
    <row r="993" spans="2:2" x14ac:dyDescent="0.2">
      <c r="B993" s="58"/>
    </row>
    <row r="994" spans="2:2" x14ac:dyDescent="0.2">
      <c r="B994" s="58"/>
    </row>
    <row r="995" spans="2:2" x14ac:dyDescent="0.2">
      <c r="B995" s="58"/>
    </row>
    <row r="996" spans="2:2" x14ac:dyDescent="0.2">
      <c r="B996" s="58"/>
    </row>
    <row r="997" spans="2:2" x14ac:dyDescent="0.2">
      <c r="B997" s="58"/>
    </row>
    <row r="998" spans="2:2" x14ac:dyDescent="0.2">
      <c r="B998" s="58"/>
    </row>
    <row r="999" spans="2:2" x14ac:dyDescent="0.2">
      <c r="B999" s="58"/>
    </row>
    <row r="1000" spans="2:2" x14ac:dyDescent="0.2">
      <c r="B1000" s="58"/>
    </row>
    <row r="1001" spans="2:2" x14ac:dyDescent="0.2">
      <c r="B1001" s="58"/>
    </row>
    <row r="1002" spans="2:2" x14ac:dyDescent="0.2">
      <c r="B1002" s="58"/>
    </row>
    <row r="1003" spans="2:2" x14ac:dyDescent="0.2">
      <c r="B1003" s="58"/>
    </row>
    <row r="1004" spans="2:2" x14ac:dyDescent="0.2">
      <c r="B1004" s="58"/>
    </row>
    <row r="1005" spans="2:2" x14ac:dyDescent="0.2">
      <c r="B1005" s="58"/>
    </row>
    <row r="1006" spans="2:2" x14ac:dyDescent="0.2">
      <c r="B1006" s="58"/>
    </row>
    <row r="1007" spans="2:2" x14ac:dyDescent="0.2">
      <c r="B1007" s="58"/>
    </row>
    <row r="1008" spans="2:2" x14ac:dyDescent="0.2">
      <c r="B1008" s="58"/>
    </row>
    <row r="1009" spans="2:2" x14ac:dyDescent="0.2">
      <c r="B1009" s="58"/>
    </row>
    <row r="1010" spans="2:2" x14ac:dyDescent="0.2">
      <c r="B1010" s="58"/>
    </row>
    <row r="1011" spans="2:2" x14ac:dyDescent="0.2">
      <c r="B1011" s="58"/>
    </row>
    <row r="1012" spans="2:2" x14ac:dyDescent="0.2">
      <c r="B1012" s="58"/>
    </row>
    <row r="1013" spans="2:2" x14ac:dyDescent="0.2">
      <c r="B1013" s="58"/>
    </row>
    <row r="1014" spans="2:2" x14ac:dyDescent="0.2">
      <c r="B1014" s="58"/>
    </row>
    <row r="1015" spans="2:2" x14ac:dyDescent="0.2">
      <c r="B1015" s="58"/>
    </row>
    <row r="1016" spans="2:2" x14ac:dyDescent="0.2">
      <c r="B1016" s="58"/>
    </row>
    <row r="1017" spans="2:2" x14ac:dyDescent="0.2">
      <c r="B1017" s="58"/>
    </row>
    <row r="1018" spans="2:2" x14ac:dyDescent="0.2">
      <c r="B1018" s="58"/>
    </row>
    <row r="1019" spans="2:2" x14ac:dyDescent="0.2">
      <c r="B1019" s="58"/>
    </row>
    <row r="1020" spans="2:2" x14ac:dyDescent="0.2">
      <c r="B1020" s="58"/>
    </row>
    <row r="1021" spans="2:2" x14ac:dyDescent="0.2">
      <c r="B1021" s="58"/>
    </row>
    <row r="1022" spans="2:2" x14ac:dyDescent="0.2">
      <c r="B1022" s="58"/>
    </row>
    <row r="1023" spans="2:2" x14ac:dyDescent="0.2">
      <c r="B1023" s="58"/>
    </row>
    <row r="1024" spans="2:2" x14ac:dyDescent="0.2">
      <c r="B1024" s="58"/>
    </row>
    <row r="1025" spans="2:2" x14ac:dyDescent="0.2">
      <c r="B1025" s="58"/>
    </row>
    <row r="1026" spans="2:2" x14ac:dyDescent="0.2">
      <c r="B1026" s="58"/>
    </row>
    <row r="1027" spans="2:2" x14ac:dyDescent="0.2">
      <c r="B1027" s="58"/>
    </row>
    <row r="1028" spans="2:2" x14ac:dyDescent="0.2">
      <c r="B1028" s="58"/>
    </row>
    <row r="1029" spans="2:2" x14ac:dyDescent="0.2">
      <c r="B1029" s="58"/>
    </row>
    <row r="1030" spans="2:2" x14ac:dyDescent="0.2">
      <c r="B1030" s="58"/>
    </row>
    <row r="1031" spans="2:2" x14ac:dyDescent="0.2">
      <c r="B1031" s="58"/>
    </row>
    <row r="1032" spans="2:2" x14ac:dyDescent="0.2">
      <c r="B1032" s="58"/>
    </row>
    <row r="1033" spans="2:2" x14ac:dyDescent="0.2">
      <c r="B1033" s="58"/>
    </row>
    <row r="1034" spans="2:2" x14ac:dyDescent="0.2">
      <c r="B1034" s="58"/>
    </row>
    <row r="1035" spans="2:2" x14ac:dyDescent="0.2">
      <c r="B1035" s="58"/>
    </row>
    <row r="1036" spans="2:2" x14ac:dyDescent="0.2">
      <c r="B1036" s="58"/>
    </row>
    <row r="1037" spans="2:2" x14ac:dyDescent="0.2">
      <c r="B1037" s="58"/>
    </row>
    <row r="1038" spans="2:2" x14ac:dyDescent="0.2">
      <c r="B1038" s="58"/>
    </row>
    <row r="1039" spans="2:2" x14ac:dyDescent="0.2">
      <c r="B1039" s="58"/>
    </row>
    <row r="1040" spans="2:2" x14ac:dyDescent="0.2">
      <c r="B1040" s="58"/>
    </row>
    <row r="1041" spans="2:2" x14ac:dyDescent="0.2">
      <c r="B1041" s="58"/>
    </row>
    <row r="1042" spans="2:2" x14ac:dyDescent="0.2">
      <c r="B1042" s="58"/>
    </row>
    <row r="1043" spans="2:2" x14ac:dyDescent="0.2">
      <c r="B1043" s="58"/>
    </row>
    <row r="1044" spans="2:2" x14ac:dyDescent="0.2">
      <c r="B1044" s="58"/>
    </row>
    <row r="1045" spans="2:2" x14ac:dyDescent="0.2">
      <c r="B1045" s="58"/>
    </row>
    <row r="1046" spans="2:2" x14ac:dyDescent="0.2">
      <c r="B1046" s="58"/>
    </row>
    <row r="1047" spans="2:2" x14ac:dyDescent="0.2">
      <c r="B1047" s="58"/>
    </row>
    <row r="1048" spans="2:2" x14ac:dyDescent="0.2">
      <c r="B1048" s="58"/>
    </row>
    <row r="1049" spans="2:2" x14ac:dyDescent="0.2">
      <c r="B1049" s="58"/>
    </row>
    <row r="1050" spans="2:2" x14ac:dyDescent="0.2">
      <c r="B1050" s="58"/>
    </row>
    <row r="1051" spans="2:2" x14ac:dyDescent="0.2">
      <c r="B1051" s="58"/>
    </row>
    <row r="1052" spans="2:2" x14ac:dyDescent="0.2">
      <c r="B1052" s="58"/>
    </row>
    <row r="1053" spans="2:2" x14ac:dyDescent="0.2">
      <c r="B1053" s="58"/>
    </row>
    <row r="1054" spans="2:2" x14ac:dyDescent="0.2">
      <c r="B1054" s="58"/>
    </row>
    <row r="1055" spans="2:2" x14ac:dyDescent="0.2">
      <c r="B1055" s="58"/>
    </row>
    <row r="1056" spans="2:2" x14ac:dyDescent="0.2">
      <c r="B1056" s="58"/>
    </row>
    <row r="1057" spans="2:2" x14ac:dyDescent="0.2">
      <c r="B1057" s="58"/>
    </row>
    <row r="1058" spans="2:2" x14ac:dyDescent="0.2">
      <c r="B1058" s="58"/>
    </row>
    <row r="1059" spans="2:2" x14ac:dyDescent="0.2">
      <c r="B1059" s="58"/>
    </row>
    <row r="1060" spans="2:2" x14ac:dyDescent="0.2">
      <c r="B1060" s="58"/>
    </row>
    <row r="1061" spans="2:2" x14ac:dyDescent="0.2">
      <c r="B1061" s="58"/>
    </row>
    <row r="1062" spans="2:2" x14ac:dyDescent="0.2">
      <c r="B1062" s="58"/>
    </row>
    <row r="1063" spans="2:2" x14ac:dyDescent="0.2">
      <c r="B1063" s="58"/>
    </row>
    <row r="1064" spans="2:2" x14ac:dyDescent="0.2">
      <c r="B1064" s="58"/>
    </row>
    <row r="1065" spans="2:2" x14ac:dyDescent="0.2">
      <c r="B1065" s="58"/>
    </row>
    <row r="1066" spans="2:2" x14ac:dyDescent="0.2">
      <c r="B1066" s="58"/>
    </row>
    <row r="1067" spans="2:2" x14ac:dyDescent="0.2">
      <c r="B1067" s="58"/>
    </row>
    <row r="1068" spans="2:2" x14ac:dyDescent="0.2">
      <c r="B1068" s="58"/>
    </row>
    <row r="1069" spans="2:2" x14ac:dyDescent="0.2">
      <c r="B1069" s="58"/>
    </row>
    <row r="1070" spans="2:2" x14ac:dyDescent="0.2">
      <c r="B1070" s="58"/>
    </row>
    <row r="1071" spans="2:2" x14ac:dyDescent="0.2">
      <c r="B1071" s="58"/>
    </row>
    <row r="1072" spans="2:2" x14ac:dyDescent="0.2">
      <c r="B1072" s="58"/>
    </row>
    <row r="1073" spans="2:2" x14ac:dyDescent="0.2">
      <c r="B1073" s="58"/>
    </row>
    <row r="1074" spans="2:2" x14ac:dyDescent="0.2">
      <c r="B1074" s="58"/>
    </row>
    <row r="1075" spans="2:2" x14ac:dyDescent="0.2">
      <c r="B1075" s="58"/>
    </row>
    <row r="1076" spans="2:2" x14ac:dyDescent="0.2">
      <c r="B1076" s="58"/>
    </row>
    <row r="1077" spans="2:2" x14ac:dyDescent="0.2">
      <c r="B1077" s="58"/>
    </row>
    <row r="1078" spans="2:2" x14ac:dyDescent="0.2">
      <c r="B1078" s="58"/>
    </row>
    <row r="1079" spans="2:2" x14ac:dyDescent="0.2">
      <c r="B1079" s="58"/>
    </row>
    <row r="1080" spans="2:2" x14ac:dyDescent="0.2">
      <c r="B1080" s="58"/>
    </row>
    <row r="1081" spans="2:2" x14ac:dyDescent="0.2">
      <c r="B1081" s="58"/>
    </row>
    <row r="1082" spans="2:2" x14ac:dyDescent="0.2">
      <c r="B1082" s="58"/>
    </row>
    <row r="1083" spans="2:2" x14ac:dyDescent="0.2">
      <c r="B1083" s="58"/>
    </row>
    <row r="1084" spans="2:2" x14ac:dyDescent="0.2">
      <c r="B1084" s="58"/>
    </row>
    <row r="1085" spans="2:2" x14ac:dyDescent="0.2">
      <c r="B1085" s="58"/>
    </row>
    <row r="1086" spans="2:2" x14ac:dyDescent="0.2">
      <c r="B1086" s="58"/>
    </row>
    <row r="1087" spans="2:2" x14ac:dyDescent="0.2">
      <c r="B1087" s="58"/>
    </row>
    <row r="1088" spans="2:2" x14ac:dyDescent="0.2">
      <c r="B1088" s="58"/>
    </row>
    <row r="1089" spans="2:2" x14ac:dyDescent="0.2">
      <c r="B1089" s="58"/>
    </row>
    <row r="1090" spans="2:2" x14ac:dyDescent="0.2">
      <c r="B1090" s="58"/>
    </row>
    <row r="1091" spans="2:2" x14ac:dyDescent="0.2">
      <c r="B1091" s="58"/>
    </row>
    <row r="1092" spans="2:2" x14ac:dyDescent="0.2">
      <c r="B1092" s="58"/>
    </row>
    <row r="1093" spans="2:2" x14ac:dyDescent="0.2">
      <c r="B1093" s="58"/>
    </row>
    <row r="1094" spans="2:2" x14ac:dyDescent="0.2">
      <c r="B1094" s="58"/>
    </row>
    <row r="1095" spans="2:2" x14ac:dyDescent="0.2">
      <c r="B1095" s="58"/>
    </row>
    <row r="1096" spans="2:2" x14ac:dyDescent="0.2">
      <c r="B1096" s="58"/>
    </row>
    <row r="1097" spans="2:2" x14ac:dyDescent="0.2">
      <c r="B1097" s="58"/>
    </row>
    <row r="1098" spans="2:2" x14ac:dyDescent="0.2">
      <c r="B1098" s="58"/>
    </row>
    <row r="1099" spans="2:2" x14ac:dyDescent="0.2">
      <c r="B1099" s="58"/>
    </row>
    <row r="1100" spans="2:2" x14ac:dyDescent="0.2">
      <c r="B1100" s="58"/>
    </row>
    <row r="1101" spans="2:2" x14ac:dyDescent="0.2">
      <c r="B1101" s="58"/>
    </row>
    <row r="1102" spans="2:2" x14ac:dyDescent="0.2">
      <c r="B1102" s="58"/>
    </row>
    <row r="1103" spans="2:2" x14ac:dyDescent="0.2">
      <c r="B1103" s="58"/>
    </row>
    <row r="1104" spans="2:2" x14ac:dyDescent="0.2">
      <c r="B1104" s="58"/>
    </row>
    <row r="1105" spans="2:2" x14ac:dyDescent="0.2">
      <c r="B1105" s="58"/>
    </row>
    <row r="1106" spans="2:2" x14ac:dyDescent="0.2">
      <c r="B1106" s="5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8"/>
  <dimension ref="A1:J305"/>
  <sheetViews>
    <sheetView zoomScaleNormal="100" workbookViewId="0">
      <selection sqref="A1:H1"/>
    </sheetView>
  </sheetViews>
  <sheetFormatPr defaultRowHeight="14.25" x14ac:dyDescent="0.2"/>
  <cols>
    <col min="1" max="1" width="14.5" customWidth="1"/>
    <col min="3" max="3" width="9.75" customWidth="1"/>
    <col min="5" max="5" width="18.125" bestFit="1" customWidth="1"/>
  </cols>
  <sheetData>
    <row r="1" spans="1:10" ht="18" x14ac:dyDescent="0.25">
      <c r="A1" s="422" t="s">
        <v>49</v>
      </c>
      <c r="B1" s="422"/>
      <c r="C1" s="422"/>
      <c r="D1" s="422"/>
      <c r="E1" s="422"/>
      <c r="F1" s="422"/>
      <c r="G1" s="422"/>
      <c r="H1" s="422"/>
    </row>
    <row r="3" spans="1:10" s="18" customFormat="1" ht="42.75" x14ac:dyDescent="0.2">
      <c r="A3" s="19" t="s">
        <v>21</v>
      </c>
      <c r="B3" s="19" t="s">
        <v>72</v>
      </c>
      <c r="C3" s="19" t="s">
        <v>73</v>
      </c>
      <c r="D3" s="19" t="s">
        <v>74</v>
      </c>
      <c r="F3" s="440" t="e">
        <f ca="1">"The formula in cell "&amp;CHAR(COLUMN(C4)+64)&amp;ROW(C4)&amp;" translates from discount basis to annualized interest rate: "&amp;CHAR(10)&amp;ggetformula(C4)</f>
        <v>#NAME?</v>
      </c>
      <c r="G3" s="440"/>
      <c r="H3" s="440"/>
    </row>
    <row r="4" spans="1:10" x14ac:dyDescent="0.2">
      <c r="A4" s="22">
        <v>31868</v>
      </c>
      <c r="B4" s="20">
        <v>5.64</v>
      </c>
      <c r="C4" s="16">
        <f>LN(100/(100-B4))</f>
        <v>5.8052931448617041E-2</v>
      </c>
      <c r="D4" s="16">
        <f>C4/12</f>
        <v>4.8377442873847537E-3</v>
      </c>
      <c r="E4" t="e">
        <f ca="1">getformula(D4)</f>
        <v>#NAME?</v>
      </c>
      <c r="F4" s="440"/>
      <c r="G4" s="440"/>
      <c r="H4" s="440"/>
      <c r="I4" s="18"/>
      <c r="J4" s="18"/>
    </row>
    <row r="5" spans="1:10" x14ac:dyDescent="0.2">
      <c r="A5" s="22">
        <v>31898</v>
      </c>
      <c r="B5" s="20">
        <v>5.66</v>
      </c>
      <c r="C5" s="16">
        <f t="shared" ref="C5:C68" si="0">LN(100/(100-B5))</f>
        <v>5.8264908131975657E-2</v>
      </c>
      <c r="D5" s="16">
        <f t="shared" ref="D5:D68" si="1">C5/12</f>
        <v>4.8554090109979714E-3</v>
      </c>
      <c r="E5" t="e">
        <f t="shared" ref="E5:E10" ca="1" si="2">getformula(D5)</f>
        <v>#NAME?</v>
      </c>
      <c r="F5" s="440"/>
      <c r="G5" s="440"/>
      <c r="H5" s="440"/>
      <c r="I5" s="18"/>
      <c r="J5" s="18"/>
    </row>
    <row r="6" spans="1:10" x14ac:dyDescent="0.2">
      <c r="A6" s="22">
        <v>31929</v>
      </c>
      <c r="B6" s="20">
        <v>5.67</v>
      </c>
      <c r="C6" s="16">
        <f t="shared" si="0"/>
        <v>5.8370913326329509E-2</v>
      </c>
      <c r="D6" s="16">
        <f t="shared" si="1"/>
        <v>4.8642427771941254E-3</v>
      </c>
      <c r="E6" t="e">
        <f t="shared" ca="1" si="2"/>
        <v>#NAME?</v>
      </c>
    </row>
    <row r="7" spans="1:10" x14ac:dyDescent="0.2">
      <c r="A7" s="22">
        <v>31959</v>
      </c>
      <c r="B7" s="20">
        <v>5.69</v>
      </c>
      <c r="C7" s="16">
        <f t="shared" si="0"/>
        <v>5.8582957432297959E-2</v>
      </c>
      <c r="D7" s="16">
        <f t="shared" si="1"/>
        <v>4.881913119358163E-3</v>
      </c>
      <c r="E7" t="e">
        <f t="shared" ca="1" si="2"/>
        <v>#NAME?</v>
      </c>
    </row>
    <row r="8" spans="1:10" x14ac:dyDescent="0.2">
      <c r="A8" s="22">
        <v>31990</v>
      </c>
      <c r="B8" s="20">
        <v>6.04</v>
      </c>
      <c r="C8" s="16">
        <f t="shared" si="0"/>
        <v>6.2301026197379462E-2</v>
      </c>
      <c r="D8" s="16">
        <f t="shared" si="1"/>
        <v>5.1917521831149555E-3</v>
      </c>
      <c r="E8" t="e">
        <f t="shared" ca="1" si="2"/>
        <v>#NAME?</v>
      </c>
    </row>
    <row r="9" spans="1:10" x14ac:dyDescent="0.2">
      <c r="A9" s="22">
        <v>32021</v>
      </c>
      <c r="B9" s="20">
        <v>6.4</v>
      </c>
      <c r="C9" s="16">
        <f t="shared" si="0"/>
        <v>6.6139802504544987E-2</v>
      </c>
      <c r="D9" s="16">
        <f t="shared" si="1"/>
        <v>5.5116502087120822E-3</v>
      </c>
      <c r="E9" t="e">
        <f t="shared" ca="1" si="2"/>
        <v>#NAME?</v>
      </c>
    </row>
    <row r="10" spans="1:10" x14ac:dyDescent="0.2">
      <c r="A10" s="22">
        <v>32051</v>
      </c>
      <c r="B10" s="20">
        <v>6.13</v>
      </c>
      <c r="C10" s="16">
        <f t="shared" si="0"/>
        <v>6.3259339639190865E-2</v>
      </c>
      <c r="D10" s="16">
        <f t="shared" si="1"/>
        <v>5.2716116365992384E-3</v>
      </c>
      <c r="E10" t="e">
        <f t="shared" ca="1" si="2"/>
        <v>#NAME?</v>
      </c>
    </row>
    <row r="11" spans="1:10" x14ac:dyDescent="0.2">
      <c r="A11" s="22">
        <v>32082</v>
      </c>
      <c r="B11" s="20">
        <v>5.69</v>
      </c>
      <c r="C11" s="16">
        <f t="shared" si="0"/>
        <v>5.8582957432297959E-2</v>
      </c>
      <c r="D11" s="16">
        <f t="shared" si="1"/>
        <v>4.881913119358163E-3</v>
      </c>
    </row>
    <row r="12" spans="1:10" x14ac:dyDescent="0.2">
      <c r="A12" s="22">
        <v>32112</v>
      </c>
      <c r="B12" s="20">
        <v>5.77</v>
      </c>
      <c r="C12" s="16">
        <f t="shared" si="0"/>
        <v>5.9431583769426512E-2</v>
      </c>
      <c r="D12" s="16">
        <f t="shared" si="1"/>
        <v>4.9526319807855429E-3</v>
      </c>
    </row>
    <row r="13" spans="1:10" x14ac:dyDescent="0.2">
      <c r="A13" s="22">
        <v>32143</v>
      </c>
      <c r="B13" s="20">
        <v>5.81</v>
      </c>
      <c r="C13" s="16">
        <f t="shared" si="0"/>
        <v>5.9856167153365683E-2</v>
      </c>
      <c r="D13" s="16">
        <f t="shared" si="1"/>
        <v>4.9880139294471403E-3</v>
      </c>
    </row>
    <row r="14" spans="1:10" x14ac:dyDescent="0.2">
      <c r="A14" s="22">
        <v>32174</v>
      </c>
      <c r="B14" s="20">
        <v>5.66</v>
      </c>
      <c r="C14" s="16">
        <f t="shared" si="0"/>
        <v>5.8264908131975657E-2</v>
      </c>
      <c r="D14" s="16">
        <f t="shared" si="1"/>
        <v>4.8554090109979714E-3</v>
      </c>
    </row>
    <row r="15" spans="1:10" x14ac:dyDescent="0.2">
      <c r="A15" s="22">
        <v>32203</v>
      </c>
      <c r="B15" s="20">
        <v>5.7</v>
      </c>
      <c r="C15" s="16">
        <f t="shared" si="0"/>
        <v>5.8688996348679578E-2</v>
      </c>
      <c r="D15" s="16">
        <f t="shared" si="1"/>
        <v>4.8907496957232982E-3</v>
      </c>
    </row>
    <row r="16" spans="1:10" x14ac:dyDescent="0.2">
      <c r="A16" s="22">
        <v>32234</v>
      </c>
      <c r="B16" s="20">
        <v>5.91</v>
      </c>
      <c r="C16" s="16">
        <f t="shared" si="0"/>
        <v>6.0918414969417023E-2</v>
      </c>
      <c r="D16" s="16">
        <f t="shared" si="1"/>
        <v>5.0765345807847516E-3</v>
      </c>
    </row>
    <row r="17" spans="1:4" x14ac:dyDescent="0.2">
      <c r="A17" s="22">
        <v>32264</v>
      </c>
      <c r="B17" s="20">
        <v>6.26</v>
      </c>
      <c r="C17" s="16">
        <f t="shared" si="0"/>
        <v>6.4645193493531455E-2</v>
      </c>
      <c r="D17" s="16">
        <f t="shared" si="1"/>
        <v>5.3870994577942879E-3</v>
      </c>
    </row>
    <row r="18" spans="1:4" x14ac:dyDescent="0.2">
      <c r="A18" s="22">
        <v>32295</v>
      </c>
      <c r="B18" s="20">
        <v>6.46</v>
      </c>
      <c r="C18" s="16">
        <f t="shared" si="0"/>
        <v>6.6781033690351169E-2</v>
      </c>
      <c r="D18" s="16">
        <f t="shared" si="1"/>
        <v>5.5650861408625971E-3</v>
      </c>
    </row>
    <row r="19" spans="1:4" x14ac:dyDescent="0.2">
      <c r="A19" s="22">
        <v>32325</v>
      </c>
      <c r="B19" s="20">
        <v>6.73</v>
      </c>
      <c r="C19" s="16">
        <f t="shared" si="0"/>
        <v>6.9671673249319194E-2</v>
      </c>
      <c r="D19" s="16">
        <f t="shared" si="1"/>
        <v>5.8059727707765992E-3</v>
      </c>
    </row>
    <row r="20" spans="1:4" x14ac:dyDescent="0.2">
      <c r="A20" s="22">
        <v>32356</v>
      </c>
      <c r="B20" s="20">
        <v>7.06</v>
      </c>
      <c r="C20" s="16">
        <f t="shared" si="0"/>
        <v>7.3216062331259185E-2</v>
      </c>
      <c r="D20" s="16">
        <f t="shared" si="1"/>
        <v>6.1013385276049324E-3</v>
      </c>
    </row>
    <row r="21" spans="1:4" x14ac:dyDescent="0.2">
      <c r="A21" s="22">
        <v>32387</v>
      </c>
      <c r="B21" s="20">
        <v>7.24</v>
      </c>
      <c r="C21" s="16">
        <f t="shared" si="0"/>
        <v>7.5154673600760474E-2</v>
      </c>
      <c r="D21" s="16">
        <f t="shared" si="1"/>
        <v>6.2628894667300398E-3</v>
      </c>
    </row>
    <row r="22" spans="1:4" x14ac:dyDescent="0.2">
      <c r="A22" s="22">
        <v>32417</v>
      </c>
      <c r="B22" s="20">
        <v>7.35</v>
      </c>
      <c r="C22" s="16">
        <f t="shared" si="0"/>
        <v>7.6341233256722471E-2</v>
      </c>
      <c r="D22" s="16">
        <f t="shared" si="1"/>
        <v>6.3617694380602059E-3</v>
      </c>
    </row>
    <row r="23" spans="1:4" x14ac:dyDescent="0.2">
      <c r="A23" s="22">
        <v>32448</v>
      </c>
      <c r="B23" s="20">
        <v>7.76</v>
      </c>
      <c r="C23" s="16">
        <f t="shared" si="0"/>
        <v>8.0776310027287926E-2</v>
      </c>
      <c r="D23" s="16">
        <f t="shared" si="1"/>
        <v>6.7313591689406602E-3</v>
      </c>
    </row>
    <row r="24" spans="1:4" x14ac:dyDescent="0.2">
      <c r="A24" s="22">
        <v>32478</v>
      </c>
      <c r="B24" s="20">
        <v>8.07</v>
      </c>
      <c r="C24" s="16">
        <f t="shared" si="0"/>
        <v>8.4142768112427935E-2</v>
      </c>
      <c r="D24" s="16">
        <f t="shared" si="1"/>
        <v>7.0118973427023279E-3</v>
      </c>
    </row>
    <row r="25" spans="1:4" x14ac:dyDescent="0.2">
      <c r="A25" s="22">
        <v>32509</v>
      </c>
      <c r="B25" s="20">
        <v>8.27</v>
      </c>
      <c r="C25" s="16">
        <f t="shared" si="0"/>
        <v>8.6320706466527133E-2</v>
      </c>
      <c r="D25" s="16">
        <f t="shared" si="1"/>
        <v>7.1933922055439281E-3</v>
      </c>
    </row>
    <row r="26" spans="1:4" x14ac:dyDescent="0.2">
      <c r="A26" s="22">
        <v>32540</v>
      </c>
      <c r="B26" s="20">
        <v>8.5299999999999994</v>
      </c>
      <c r="C26" s="16">
        <f t="shared" si="0"/>
        <v>8.9159136319818241E-2</v>
      </c>
      <c r="D26" s="16">
        <f t="shared" si="1"/>
        <v>7.4299280266515201E-3</v>
      </c>
    </row>
    <row r="27" spans="1:4" x14ac:dyDescent="0.2">
      <c r="A27" s="22">
        <v>32568</v>
      </c>
      <c r="B27" s="20">
        <v>8.82</v>
      </c>
      <c r="C27" s="16">
        <f t="shared" si="0"/>
        <v>9.2334611202795874E-2</v>
      </c>
      <c r="D27" s="16">
        <f t="shared" si="1"/>
        <v>7.6945509335663229E-3</v>
      </c>
    </row>
    <row r="28" spans="1:4" x14ac:dyDescent="0.2">
      <c r="A28" s="22">
        <v>32599</v>
      </c>
      <c r="B28" s="20">
        <v>8.65</v>
      </c>
      <c r="C28" s="16">
        <f t="shared" si="0"/>
        <v>9.0471903164075704E-2</v>
      </c>
      <c r="D28" s="16">
        <f t="shared" si="1"/>
        <v>7.5393252636729753E-3</v>
      </c>
    </row>
    <row r="29" spans="1:4" x14ac:dyDescent="0.2">
      <c r="A29" s="22">
        <v>32629</v>
      </c>
      <c r="B29" s="20">
        <v>8.43</v>
      </c>
      <c r="C29" s="16">
        <f t="shared" si="0"/>
        <v>8.8066478868450745E-2</v>
      </c>
      <c r="D29" s="16">
        <f t="shared" si="1"/>
        <v>7.3388732390375624E-3</v>
      </c>
    </row>
    <row r="30" spans="1:4" x14ac:dyDescent="0.2">
      <c r="A30" s="22">
        <v>32660</v>
      </c>
      <c r="B30" s="20">
        <v>8.15</v>
      </c>
      <c r="C30" s="16">
        <f t="shared" si="0"/>
        <v>8.5013374326956867E-2</v>
      </c>
      <c r="D30" s="16">
        <f t="shared" si="1"/>
        <v>7.0844478605797392E-3</v>
      </c>
    </row>
    <row r="31" spans="1:4" x14ac:dyDescent="0.2">
      <c r="A31" s="22">
        <v>32690</v>
      </c>
      <c r="B31" s="20">
        <v>7.88</v>
      </c>
      <c r="C31" s="16">
        <f t="shared" si="0"/>
        <v>8.2078111035606777E-2</v>
      </c>
      <c r="D31" s="16">
        <f t="shared" si="1"/>
        <v>6.839842586300565E-3</v>
      </c>
    </row>
    <row r="32" spans="1:4" x14ac:dyDescent="0.2">
      <c r="A32" s="22">
        <v>32721</v>
      </c>
      <c r="B32" s="20">
        <v>7.9</v>
      </c>
      <c r="C32" s="16">
        <f t="shared" si="0"/>
        <v>8.2295242726830239E-2</v>
      </c>
      <c r="D32" s="16">
        <f t="shared" si="1"/>
        <v>6.85793689390252E-3</v>
      </c>
    </row>
    <row r="33" spans="1:4" x14ac:dyDescent="0.2">
      <c r="A33" s="22">
        <v>32752</v>
      </c>
      <c r="B33" s="20">
        <v>7.75</v>
      </c>
      <c r="C33" s="16">
        <f t="shared" si="0"/>
        <v>8.0667903067454708E-2</v>
      </c>
      <c r="D33" s="16">
        <f t="shared" si="1"/>
        <v>6.7223252556212259E-3</v>
      </c>
    </row>
    <row r="34" spans="1:4" x14ac:dyDescent="0.2">
      <c r="A34" s="22">
        <v>32782</v>
      </c>
      <c r="B34" s="20">
        <v>7.64</v>
      </c>
      <c r="C34" s="16">
        <f t="shared" si="0"/>
        <v>7.947620150179685E-2</v>
      </c>
      <c r="D34" s="16">
        <f t="shared" si="1"/>
        <v>6.6230167918164039E-3</v>
      </c>
    </row>
    <row r="35" spans="1:4" x14ac:dyDescent="0.2">
      <c r="A35" s="22">
        <v>32813</v>
      </c>
      <c r="B35" s="20">
        <v>7.69</v>
      </c>
      <c r="C35" s="16">
        <f t="shared" si="0"/>
        <v>8.0017707986031139E-2</v>
      </c>
      <c r="D35" s="16">
        <f t="shared" si="1"/>
        <v>6.6681423321692619E-3</v>
      </c>
    </row>
    <row r="36" spans="1:4" x14ac:dyDescent="0.2">
      <c r="A36" s="22">
        <v>32843</v>
      </c>
      <c r="B36" s="20">
        <v>7.63</v>
      </c>
      <c r="C36" s="16">
        <f t="shared" si="0"/>
        <v>7.936793538357266E-2</v>
      </c>
      <c r="D36" s="16">
        <f t="shared" si="1"/>
        <v>6.6139946152977214E-3</v>
      </c>
    </row>
    <row r="37" spans="1:4" x14ac:dyDescent="0.2">
      <c r="A37" s="22">
        <v>32874</v>
      </c>
      <c r="B37" s="20">
        <v>7.64</v>
      </c>
      <c r="C37" s="16">
        <f t="shared" si="0"/>
        <v>7.947620150179685E-2</v>
      </c>
      <c r="D37" s="16">
        <f t="shared" si="1"/>
        <v>6.6230167918164039E-3</v>
      </c>
    </row>
    <row r="38" spans="1:4" x14ac:dyDescent="0.2">
      <c r="A38" s="22">
        <v>32905</v>
      </c>
      <c r="B38" s="20">
        <v>7.74</v>
      </c>
      <c r="C38" s="16">
        <f t="shared" si="0"/>
        <v>8.0559507858416785E-2</v>
      </c>
      <c r="D38" s="16">
        <f t="shared" si="1"/>
        <v>6.713292321534732E-3</v>
      </c>
    </row>
    <row r="39" spans="1:4" x14ac:dyDescent="0.2">
      <c r="A39" s="22">
        <v>32933</v>
      </c>
      <c r="B39" s="20">
        <v>7.9</v>
      </c>
      <c r="C39" s="16">
        <f t="shared" si="0"/>
        <v>8.2295242726830239E-2</v>
      </c>
      <c r="D39" s="16">
        <f t="shared" si="1"/>
        <v>6.85793689390252E-3</v>
      </c>
    </row>
    <row r="40" spans="1:4" x14ac:dyDescent="0.2">
      <c r="A40" s="22">
        <v>32964</v>
      </c>
      <c r="B40" s="20">
        <v>7.77</v>
      </c>
      <c r="C40" s="16">
        <f t="shared" si="0"/>
        <v>8.0884728740463874E-2</v>
      </c>
      <c r="D40" s="16">
        <f t="shared" si="1"/>
        <v>6.7403940617053225E-3</v>
      </c>
    </row>
    <row r="41" spans="1:4" x14ac:dyDescent="0.2">
      <c r="A41" s="22">
        <v>32994</v>
      </c>
      <c r="B41" s="20">
        <v>7.74</v>
      </c>
      <c r="C41" s="16">
        <f t="shared" si="0"/>
        <v>8.0559507858416785E-2</v>
      </c>
      <c r="D41" s="16">
        <f t="shared" si="1"/>
        <v>6.713292321534732E-3</v>
      </c>
    </row>
    <row r="42" spans="1:4" x14ac:dyDescent="0.2">
      <c r="A42" s="22">
        <v>33025</v>
      </c>
      <c r="B42" s="20">
        <v>7.73</v>
      </c>
      <c r="C42" s="16">
        <f t="shared" si="0"/>
        <v>8.0451124397626902E-2</v>
      </c>
      <c r="D42" s="16">
        <f t="shared" si="1"/>
        <v>6.7042603664689083E-3</v>
      </c>
    </row>
    <row r="43" spans="1:4" x14ac:dyDescent="0.2">
      <c r="A43" s="22">
        <v>33055</v>
      </c>
      <c r="B43" s="20">
        <v>7.62</v>
      </c>
      <c r="C43" s="16">
        <f t="shared" si="0"/>
        <v>7.9259680985632061E-2</v>
      </c>
      <c r="D43" s="16">
        <f t="shared" si="1"/>
        <v>6.6049734154693387E-3</v>
      </c>
    </row>
    <row r="44" spans="1:4" x14ac:dyDescent="0.2">
      <c r="A44" s="22">
        <v>33086</v>
      </c>
      <c r="B44" s="20">
        <v>7.45</v>
      </c>
      <c r="C44" s="16">
        <f t="shared" si="0"/>
        <v>7.7421146968584806E-2</v>
      </c>
      <c r="D44" s="16">
        <f t="shared" si="1"/>
        <v>6.4517622473820669E-3</v>
      </c>
    </row>
    <row r="45" spans="1:4" x14ac:dyDescent="0.2">
      <c r="A45" s="22">
        <v>33117</v>
      </c>
      <c r="B45" s="20">
        <v>7.36</v>
      </c>
      <c r="C45" s="16">
        <f t="shared" si="0"/>
        <v>7.6449172163406173E-2</v>
      </c>
      <c r="D45" s="16">
        <f t="shared" si="1"/>
        <v>6.3707643469505144E-3</v>
      </c>
    </row>
    <row r="46" spans="1:4" x14ac:dyDescent="0.2">
      <c r="A46" s="22">
        <v>33147</v>
      </c>
      <c r="B46" s="20">
        <v>7.17</v>
      </c>
      <c r="C46" s="16">
        <f t="shared" si="0"/>
        <v>7.4400322576250164E-2</v>
      </c>
      <c r="D46" s="16">
        <f t="shared" si="1"/>
        <v>6.2000268813541806E-3</v>
      </c>
    </row>
    <row r="47" spans="1:4" x14ac:dyDescent="0.2">
      <c r="A47" s="22">
        <v>33178</v>
      </c>
      <c r="B47" s="20">
        <v>7.06</v>
      </c>
      <c r="C47" s="16">
        <f t="shared" si="0"/>
        <v>7.3216062331259185E-2</v>
      </c>
      <c r="D47" s="16">
        <f t="shared" si="1"/>
        <v>6.1013385276049324E-3</v>
      </c>
    </row>
    <row r="48" spans="1:4" x14ac:dyDescent="0.2">
      <c r="A48" s="22">
        <v>33208</v>
      </c>
      <c r="B48" s="20">
        <v>6.74</v>
      </c>
      <c r="C48" s="16">
        <f t="shared" si="0"/>
        <v>6.9778894607916475E-2</v>
      </c>
      <c r="D48" s="16">
        <f t="shared" si="1"/>
        <v>5.8149078839930396E-3</v>
      </c>
    </row>
    <row r="49" spans="1:4" x14ac:dyDescent="0.2">
      <c r="A49" s="22">
        <v>33239</v>
      </c>
      <c r="B49" s="20">
        <v>6.22</v>
      </c>
      <c r="C49" s="16">
        <f t="shared" si="0"/>
        <v>6.4218572326651041E-2</v>
      </c>
      <c r="D49" s="16">
        <f t="shared" si="1"/>
        <v>5.351547693887587E-3</v>
      </c>
    </row>
    <row r="50" spans="1:4" x14ac:dyDescent="0.2">
      <c r="A50" s="22">
        <v>33270</v>
      </c>
      <c r="B50" s="20">
        <v>5.94</v>
      </c>
      <c r="C50" s="16">
        <f t="shared" si="0"/>
        <v>6.1237309471189494E-2</v>
      </c>
      <c r="D50" s="16">
        <f t="shared" si="1"/>
        <v>5.1031091225991242E-3</v>
      </c>
    </row>
    <row r="51" spans="1:4" x14ac:dyDescent="0.2">
      <c r="A51" s="22">
        <v>33298</v>
      </c>
      <c r="B51" s="20">
        <v>5.91</v>
      </c>
      <c r="C51" s="16">
        <f t="shared" si="0"/>
        <v>6.0918414969417023E-2</v>
      </c>
      <c r="D51" s="16">
        <f t="shared" si="1"/>
        <v>5.0765345807847516E-3</v>
      </c>
    </row>
    <row r="52" spans="1:4" x14ac:dyDescent="0.2">
      <c r="A52" s="22">
        <v>33329</v>
      </c>
      <c r="B52" s="20">
        <v>5.65</v>
      </c>
      <c r="C52" s="16">
        <f t="shared" si="0"/>
        <v>5.815891417353216E-2</v>
      </c>
      <c r="D52" s="16">
        <f t="shared" si="1"/>
        <v>4.8465761811276797E-3</v>
      </c>
    </row>
    <row r="53" spans="1:4" x14ac:dyDescent="0.2">
      <c r="A53" s="22">
        <v>33359</v>
      </c>
      <c r="B53" s="20">
        <v>5.46</v>
      </c>
      <c r="C53" s="16">
        <f t="shared" si="0"/>
        <v>5.6147160623000986E-2</v>
      </c>
      <c r="D53" s="16">
        <f t="shared" si="1"/>
        <v>4.6789300519167491E-3</v>
      </c>
    </row>
    <row r="54" spans="1:4" x14ac:dyDescent="0.2">
      <c r="A54" s="22">
        <v>33390</v>
      </c>
      <c r="B54" s="20">
        <v>5.57</v>
      </c>
      <c r="C54" s="16">
        <f t="shared" si="0"/>
        <v>5.7311366713113467E-2</v>
      </c>
      <c r="D54" s="16">
        <f t="shared" si="1"/>
        <v>4.7759472260927886E-3</v>
      </c>
    </row>
    <row r="55" spans="1:4" x14ac:dyDescent="0.2">
      <c r="A55" s="22">
        <v>33420</v>
      </c>
      <c r="B55" s="20">
        <v>5.58</v>
      </c>
      <c r="C55" s="16">
        <f t="shared" si="0"/>
        <v>5.7417270869950583E-2</v>
      </c>
      <c r="D55" s="16">
        <f t="shared" si="1"/>
        <v>4.7847725724958819E-3</v>
      </c>
    </row>
    <row r="56" spans="1:4" x14ac:dyDescent="0.2">
      <c r="A56" s="22">
        <v>33451</v>
      </c>
      <c r="B56" s="20">
        <v>5.33</v>
      </c>
      <c r="C56" s="16">
        <f t="shared" si="0"/>
        <v>5.477302584729149E-2</v>
      </c>
      <c r="D56" s="16">
        <f t="shared" si="1"/>
        <v>4.5644188206076242E-3</v>
      </c>
    </row>
    <row r="57" spans="1:4" x14ac:dyDescent="0.2">
      <c r="A57" s="22">
        <v>33482</v>
      </c>
      <c r="B57" s="20">
        <v>5.22</v>
      </c>
      <c r="C57" s="16">
        <f t="shared" si="0"/>
        <v>5.3611769448649052E-2</v>
      </c>
      <c r="D57" s="16">
        <f t="shared" si="1"/>
        <v>4.4676474540540877E-3</v>
      </c>
    </row>
    <row r="58" spans="1:4" x14ac:dyDescent="0.2">
      <c r="A58" s="22">
        <v>33512</v>
      </c>
      <c r="B58" s="20">
        <v>4.99</v>
      </c>
      <c r="C58" s="16">
        <f t="shared" si="0"/>
        <v>5.1188036769433239E-2</v>
      </c>
      <c r="D58" s="16">
        <f t="shared" si="1"/>
        <v>4.2656697307861032E-3</v>
      </c>
    </row>
    <row r="59" spans="1:4" x14ac:dyDescent="0.2">
      <c r="A59" s="22">
        <v>33543</v>
      </c>
      <c r="B59" s="20">
        <v>4.5599999999999996</v>
      </c>
      <c r="C59" s="16">
        <f t="shared" si="0"/>
        <v>4.667240819843075E-2</v>
      </c>
      <c r="D59" s="16">
        <f t="shared" si="1"/>
        <v>3.889367349869229E-3</v>
      </c>
    </row>
    <row r="60" spans="1:4" x14ac:dyDescent="0.2">
      <c r="A60" s="22">
        <v>33573</v>
      </c>
      <c r="B60" s="20">
        <v>4.07</v>
      </c>
      <c r="C60" s="16">
        <f t="shared" si="0"/>
        <v>4.1551427158235031E-2</v>
      </c>
      <c r="D60" s="16">
        <f t="shared" si="1"/>
        <v>3.4626189298529193E-3</v>
      </c>
    </row>
    <row r="61" spans="1:4" x14ac:dyDescent="0.2">
      <c r="A61" s="22">
        <v>33604</v>
      </c>
      <c r="B61" s="20">
        <v>3.8</v>
      </c>
      <c r="C61" s="16">
        <f t="shared" si="0"/>
        <v>3.8740828316430616E-2</v>
      </c>
      <c r="D61" s="16">
        <f t="shared" si="1"/>
        <v>3.2284023597025512E-3</v>
      </c>
    </row>
    <row r="62" spans="1:4" x14ac:dyDescent="0.2">
      <c r="A62" s="22">
        <v>33635</v>
      </c>
      <c r="B62" s="20">
        <v>3.84</v>
      </c>
      <c r="C62" s="16">
        <f t="shared" si="0"/>
        <v>3.9156715201193883E-2</v>
      </c>
      <c r="D62" s="16">
        <f t="shared" si="1"/>
        <v>3.2630596000994901E-3</v>
      </c>
    </row>
    <row r="63" spans="1:4" x14ac:dyDescent="0.2">
      <c r="A63" s="22">
        <v>33664</v>
      </c>
      <c r="B63" s="20">
        <v>4.04</v>
      </c>
      <c r="C63" s="16">
        <f t="shared" si="0"/>
        <v>4.1238748016597625E-2</v>
      </c>
      <c r="D63" s="16">
        <f t="shared" si="1"/>
        <v>3.4365623347164687E-3</v>
      </c>
    </row>
    <row r="64" spans="1:4" x14ac:dyDescent="0.2">
      <c r="A64" s="22">
        <v>33695</v>
      </c>
      <c r="B64" s="20">
        <v>3.75</v>
      </c>
      <c r="C64" s="16">
        <f t="shared" si="0"/>
        <v>3.8221212820197671E-2</v>
      </c>
      <c r="D64" s="16">
        <f t="shared" si="1"/>
        <v>3.1851010683498059E-3</v>
      </c>
    </row>
    <row r="65" spans="1:4" x14ac:dyDescent="0.2">
      <c r="A65" s="22">
        <v>33725</v>
      </c>
      <c r="B65" s="20">
        <v>3.63</v>
      </c>
      <c r="C65" s="16">
        <f t="shared" si="0"/>
        <v>3.6975236124895255E-2</v>
      </c>
      <c r="D65" s="16">
        <f t="shared" si="1"/>
        <v>3.0812696770746045E-3</v>
      </c>
    </row>
    <row r="66" spans="1:4" x14ac:dyDescent="0.2">
      <c r="A66" s="22">
        <v>33756</v>
      </c>
      <c r="B66" s="20">
        <v>3.66</v>
      </c>
      <c r="C66" s="16">
        <f t="shared" si="0"/>
        <v>3.7286584786016562E-2</v>
      </c>
      <c r="D66" s="16">
        <f t="shared" si="1"/>
        <v>3.1072153988347135E-3</v>
      </c>
    </row>
    <row r="67" spans="1:4" x14ac:dyDescent="0.2">
      <c r="A67" s="22">
        <v>33786</v>
      </c>
      <c r="B67" s="20">
        <v>3.21</v>
      </c>
      <c r="C67" s="16">
        <f t="shared" si="0"/>
        <v>3.262650282709411E-2</v>
      </c>
      <c r="D67" s="16">
        <f t="shared" si="1"/>
        <v>2.7188752355911758E-3</v>
      </c>
    </row>
    <row r="68" spans="1:4" x14ac:dyDescent="0.2">
      <c r="A68" s="22">
        <v>33817</v>
      </c>
      <c r="B68" s="20">
        <v>3.13</v>
      </c>
      <c r="C68" s="16">
        <f t="shared" si="0"/>
        <v>3.1800312549797712E-2</v>
      </c>
      <c r="D68" s="16">
        <f t="shared" si="1"/>
        <v>2.6500260458164758E-3</v>
      </c>
    </row>
    <row r="69" spans="1:4" x14ac:dyDescent="0.2">
      <c r="A69" s="22">
        <v>33848</v>
      </c>
      <c r="B69" s="20">
        <v>2.91</v>
      </c>
      <c r="C69" s="16">
        <f t="shared" ref="C69:C132" si="3">LN(100/(100-B69))</f>
        <v>2.9531802606037785E-2</v>
      </c>
      <c r="D69" s="16">
        <f t="shared" ref="D69:D132" si="4">C69/12</f>
        <v>2.4609835505031486E-3</v>
      </c>
    </row>
    <row r="70" spans="1:4" x14ac:dyDescent="0.2">
      <c r="A70" s="22">
        <v>33878</v>
      </c>
      <c r="B70" s="20">
        <v>2.86</v>
      </c>
      <c r="C70" s="16">
        <f t="shared" si="3"/>
        <v>2.901694907049264E-2</v>
      </c>
      <c r="D70" s="16">
        <f t="shared" si="4"/>
        <v>2.4180790892077198E-3</v>
      </c>
    </row>
    <row r="71" spans="1:4" x14ac:dyDescent="0.2">
      <c r="A71" s="22">
        <v>33909</v>
      </c>
      <c r="B71" s="20">
        <v>3.13</v>
      </c>
      <c r="C71" s="16">
        <f t="shared" si="3"/>
        <v>3.1800312549797712E-2</v>
      </c>
      <c r="D71" s="16">
        <f t="shared" si="4"/>
        <v>2.6500260458164758E-3</v>
      </c>
    </row>
    <row r="72" spans="1:4" x14ac:dyDescent="0.2">
      <c r="A72" s="22">
        <v>33939</v>
      </c>
      <c r="B72" s="20">
        <v>3.22</v>
      </c>
      <c r="C72" s="16">
        <f t="shared" si="3"/>
        <v>3.2729824622918867E-2</v>
      </c>
      <c r="D72" s="16">
        <f t="shared" si="4"/>
        <v>2.7274853852432388E-3</v>
      </c>
    </row>
    <row r="73" spans="1:4" x14ac:dyDescent="0.2">
      <c r="A73" s="22">
        <v>33970</v>
      </c>
      <c r="B73" s="20">
        <v>3</v>
      </c>
      <c r="C73" s="16">
        <f t="shared" si="3"/>
        <v>3.0459207484708439E-2</v>
      </c>
      <c r="D73" s="16">
        <f t="shared" si="4"/>
        <v>2.5382672903923697E-3</v>
      </c>
    </row>
    <row r="74" spans="1:4" x14ac:dyDescent="0.2">
      <c r="A74" s="22">
        <v>34001</v>
      </c>
      <c r="B74" s="20">
        <v>2.93</v>
      </c>
      <c r="C74" s="16">
        <f t="shared" si="3"/>
        <v>2.9737818263956606E-2</v>
      </c>
      <c r="D74" s="16">
        <f t="shared" si="4"/>
        <v>2.4781515219963837E-3</v>
      </c>
    </row>
    <row r="75" spans="1:4" x14ac:dyDescent="0.2">
      <c r="A75" s="22">
        <v>34029</v>
      </c>
      <c r="B75" s="20">
        <v>2.95</v>
      </c>
      <c r="C75" s="16">
        <f t="shared" si="3"/>
        <v>2.9943876373072234E-2</v>
      </c>
      <c r="D75" s="16">
        <f t="shared" si="4"/>
        <v>2.4953230310893527E-3</v>
      </c>
    </row>
    <row r="76" spans="1:4" x14ac:dyDescent="0.2">
      <c r="A76" s="22">
        <v>34060</v>
      </c>
      <c r="B76" s="20">
        <v>2.87</v>
      </c>
      <c r="C76" s="16">
        <f t="shared" si="3"/>
        <v>2.9119898573852211E-2</v>
      </c>
      <c r="D76" s="16">
        <f t="shared" si="4"/>
        <v>2.4266582144876841E-3</v>
      </c>
    </row>
    <row r="77" spans="1:4" x14ac:dyDescent="0.2">
      <c r="A77" s="22">
        <v>34090</v>
      </c>
      <c r="B77" s="20">
        <v>2.96</v>
      </c>
      <c r="C77" s="16">
        <f t="shared" si="3"/>
        <v>3.0046921352296641E-2</v>
      </c>
      <c r="D77" s="16">
        <f t="shared" si="4"/>
        <v>2.5039101126913869E-3</v>
      </c>
    </row>
    <row r="78" spans="1:4" x14ac:dyDescent="0.2">
      <c r="A78" s="22">
        <v>34121</v>
      </c>
      <c r="B78" s="20">
        <v>3.07</v>
      </c>
      <c r="C78" s="16">
        <f t="shared" si="3"/>
        <v>3.1181117483574772E-2</v>
      </c>
      <c r="D78" s="16">
        <f t="shared" si="4"/>
        <v>2.5984264569645643E-3</v>
      </c>
    </row>
    <row r="79" spans="1:4" x14ac:dyDescent="0.2">
      <c r="A79" s="22">
        <v>34151</v>
      </c>
      <c r="B79" s="20">
        <v>3.04</v>
      </c>
      <c r="C79" s="16">
        <f t="shared" si="3"/>
        <v>3.0871663667087147E-2</v>
      </c>
      <c r="D79" s="16">
        <f t="shared" si="4"/>
        <v>2.5726386389239289E-3</v>
      </c>
    </row>
    <row r="80" spans="1:4" x14ac:dyDescent="0.2">
      <c r="A80" s="22">
        <v>34182</v>
      </c>
      <c r="B80" s="20">
        <v>3.02</v>
      </c>
      <c r="C80" s="16">
        <f t="shared" si="3"/>
        <v>3.0665414310885153E-2</v>
      </c>
      <c r="D80" s="16">
        <f t="shared" si="4"/>
        <v>2.5554511925737627E-3</v>
      </c>
    </row>
    <row r="81" spans="1:4" x14ac:dyDescent="0.2">
      <c r="A81" s="22">
        <v>34213</v>
      </c>
      <c r="B81" s="20">
        <v>2.95</v>
      </c>
      <c r="C81" s="16">
        <f t="shared" si="3"/>
        <v>2.9943876373072234E-2</v>
      </c>
      <c r="D81" s="16">
        <f t="shared" si="4"/>
        <v>2.4953230310893527E-3</v>
      </c>
    </row>
    <row r="82" spans="1:4" x14ac:dyDescent="0.2">
      <c r="A82" s="22">
        <v>34243</v>
      </c>
      <c r="B82" s="20">
        <v>3.02</v>
      </c>
      <c r="C82" s="16">
        <f t="shared" si="3"/>
        <v>3.0665414310885153E-2</v>
      </c>
      <c r="D82" s="16">
        <f t="shared" si="4"/>
        <v>2.5554511925737627E-3</v>
      </c>
    </row>
    <row r="83" spans="1:4" x14ac:dyDescent="0.2">
      <c r="A83" s="22">
        <v>34274</v>
      </c>
      <c r="B83" s="20">
        <v>3.1</v>
      </c>
      <c r="C83" s="16">
        <f t="shared" si="3"/>
        <v>3.1490667091370675E-2</v>
      </c>
      <c r="D83" s="16">
        <f t="shared" si="4"/>
        <v>2.6242222576142228E-3</v>
      </c>
    </row>
    <row r="84" spans="1:4" x14ac:dyDescent="0.2">
      <c r="A84" s="22">
        <v>34304</v>
      </c>
      <c r="B84" s="20">
        <v>3.06</v>
      </c>
      <c r="C84" s="16">
        <f t="shared" si="3"/>
        <v>3.1077955570861491E-2</v>
      </c>
      <c r="D84" s="16">
        <f t="shared" si="4"/>
        <v>2.5898296309051242E-3</v>
      </c>
    </row>
    <row r="85" spans="1:4" x14ac:dyDescent="0.2">
      <c r="A85" s="22">
        <v>34335</v>
      </c>
      <c r="B85" s="20">
        <v>2.98</v>
      </c>
      <c r="C85" s="16">
        <f t="shared" si="3"/>
        <v>3.0253043171020871E-2</v>
      </c>
      <c r="D85" s="16">
        <f t="shared" si="4"/>
        <v>2.5210869309184058E-3</v>
      </c>
    </row>
    <row r="86" spans="1:4" x14ac:dyDescent="0.2">
      <c r="A86" s="22">
        <v>34366</v>
      </c>
      <c r="B86" s="20">
        <v>3.25</v>
      </c>
      <c r="C86" s="16">
        <f t="shared" si="3"/>
        <v>3.3039854078200093E-2</v>
      </c>
      <c r="D86" s="16">
        <f t="shared" si="4"/>
        <v>2.7533211731833409E-3</v>
      </c>
    </row>
    <row r="87" spans="1:4" x14ac:dyDescent="0.2">
      <c r="A87" s="22">
        <v>34394</v>
      </c>
      <c r="B87" s="20">
        <v>3.5</v>
      </c>
      <c r="C87" s="16">
        <f t="shared" si="3"/>
        <v>3.5627177643151035E-2</v>
      </c>
      <c r="D87" s="16">
        <f t="shared" si="4"/>
        <v>2.9689314702625864E-3</v>
      </c>
    </row>
    <row r="88" spans="1:4" x14ac:dyDescent="0.2">
      <c r="A88" s="22">
        <v>34425</v>
      </c>
      <c r="B88" s="20">
        <v>3.68</v>
      </c>
      <c r="C88" s="16">
        <f t="shared" si="3"/>
        <v>3.7494204427580433E-2</v>
      </c>
      <c r="D88" s="16">
        <f t="shared" si="4"/>
        <v>3.1245170356317027E-3</v>
      </c>
    </row>
    <row r="89" spans="1:4" x14ac:dyDescent="0.2">
      <c r="A89" s="22">
        <v>34455</v>
      </c>
      <c r="B89" s="20">
        <v>4.1399999999999997</v>
      </c>
      <c r="C89" s="16">
        <f t="shared" si="3"/>
        <v>4.228139225660614E-2</v>
      </c>
      <c r="D89" s="16">
        <f t="shared" si="4"/>
        <v>3.5234493547171785E-3</v>
      </c>
    </row>
    <row r="90" spans="1:4" x14ac:dyDescent="0.2">
      <c r="A90" s="22">
        <v>34486</v>
      </c>
      <c r="B90" s="20">
        <v>4.1399999999999997</v>
      </c>
      <c r="C90" s="16">
        <f t="shared" si="3"/>
        <v>4.228139225660614E-2</v>
      </c>
      <c r="D90" s="16">
        <f t="shared" si="4"/>
        <v>3.5234493547171785E-3</v>
      </c>
    </row>
    <row r="91" spans="1:4" x14ac:dyDescent="0.2">
      <c r="A91" s="22">
        <v>34516</v>
      </c>
      <c r="B91" s="20">
        <v>4.33</v>
      </c>
      <c r="C91" s="16">
        <f t="shared" si="3"/>
        <v>4.4265416298015406E-2</v>
      </c>
      <c r="D91" s="16">
        <f t="shared" si="4"/>
        <v>3.6887846915012838E-3</v>
      </c>
    </row>
    <row r="92" spans="1:4" x14ac:dyDescent="0.2">
      <c r="A92" s="22">
        <v>34547</v>
      </c>
      <c r="B92" s="20">
        <v>4.4800000000000004</v>
      </c>
      <c r="C92" s="16">
        <f t="shared" si="3"/>
        <v>4.5834536343799533E-2</v>
      </c>
      <c r="D92" s="16">
        <f t="shared" si="4"/>
        <v>3.8195446953166279E-3</v>
      </c>
    </row>
    <row r="93" spans="1:4" x14ac:dyDescent="0.2">
      <c r="A93" s="22">
        <v>34578</v>
      </c>
      <c r="B93" s="20">
        <v>4.62</v>
      </c>
      <c r="C93" s="16">
        <f t="shared" si="3"/>
        <v>4.7301273118013083E-2</v>
      </c>
      <c r="D93" s="16">
        <f t="shared" si="4"/>
        <v>3.9417727598344233E-3</v>
      </c>
    </row>
    <row r="94" spans="1:4" x14ac:dyDescent="0.2">
      <c r="A94" s="22">
        <v>34608</v>
      </c>
      <c r="B94" s="20">
        <v>4.95</v>
      </c>
      <c r="C94" s="16">
        <f t="shared" si="3"/>
        <v>5.0767117053653221E-2</v>
      </c>
      <c r="D94" s="16">
        <f t="shared" si="4"/>
        <v>4.2305930878044351E-3</v>
      </c>
    </row>
    <row r="95" spans="1:4" x14ac:dyDescent="0.2">
      <c r="A95" s="22">
        <v>34639</v>
      </c>
      <c r="B95" s="20">
        <v>5.29</v>
      </c>
      <c r="C95" s="16">
        <f t="shared" si="3"/>
        <v>5.4350594750081381E-2</v>
      </c>
      <c r="D95" s="16">
        <f t="shared" si="4"/>
        <v>4.5292162291734484E-3</v>
      </c>
    </row>
    <row r="96" spans="1:4" x14ac:dyDescent="0.2">
      <c r="A96" s="22">
        <v>34669</v>
      </c>
      <c r="B96" s="20">
        <v>5.6</v>
      </c>
      <c r="C96" s="16">
        <f t="shared" si="3"/>
        <v>5.7629112836636215E-2</v>
      </c>
      <c r="D96" s="16">
        <f t="shared" si="4"/>
        <v>4.8024260697196843E-3</v>
      </c>
    </row>
    <row r="97" spans="1:4" x14ac:dyDescent="0.2">
      <c r="A97" s="22">
        <v>34700</v>
      </c>
      <c r="B97" s="20">
        <v>5.71</v>
      </c>
      <c r="C97" s="16">
        <f t="shared" si="3"/>
        <v>5.8795046510505378E-2</v>
      </c>
      <c r="D97" s="16">
        <f t="shared" si="4"/>
        <v>4.8995872092087818E-3</v>
      </c>
    </row>
    <row r="98" spans="1:4" x14ac:dyDescent="0.2">
      <c r="A98" s="22">
        <v>34731</v>
      </c>
      <c r="B98" s="20">
        <v>5.77</v>
      </c>
      <c r="C98" s="16">
        <f t="shared" si="3"/>
        <v>5.9431583769426512E-2</v>
      </c>
      <c r="D98" s="16">
        <f t="shared" si="4"/>
        <v>4.9526319807855429E-3</v>
      </c>
    </row>
    <row r="99" spans="1:4" x14ac:dyDescent="0.2">
      <c r="A99" s="22">
        <v>34759</v>
      </c>
      <c r="B99" s="20">
        <v>5.73</v>
      </c>
      <c r="C99" s="16">
        <f t="shared" si="3"/>
        <v>5.9007180580032438E-2</v>
      </c>
      <c r="D99" s="16">
        <f t="shared" si="4"/>
        <v>4.9172650483360362E-3</v>
      </c>
    </row>
    <row r="100" spans="1:4" x14ac:dyDescent="0.2">
      <c r="A100" s="22">
        <v>34790</v>
      </c>
      <c r="B100" s="20">
        <v>5.65</v>
      </c>
      <c r="C100" s="16">
        <f t="shared" si="3"/>
        <v>5.815891417353216E-2</v>
      </c>
      <c r="D100" s="16">
        <f t="shared" si="4"/>
        <v>4.8465761811276797E-3</v>
      </c>
    </row>
    <row r="101" spans="1:4" x14ac:dyDescent="0.2">
      <c r="A101" s="22">
        <v>34820</v>
      </c>
      <c r="B101" s="20">
        <v>5.67</v>
      </c>
      <c r="C101" s="16">
        <f t="shared" si="3"/>
        <v>5.8370913326329509E-2</v>
      </c>
      <c r="D101" s="16">
        <f t="shared" si="4"/>
        <v>4.8642427771941254E-3</v>
      </c>
    </row>
    <row r="102" spans="1:4" x14ac:dyDescent="0.2">
      <c r="A102" s="22">
        <v>34851</v>
      </c>
      <c r="B102" s="20">
        <v>5.47</v>
      </c>
      <c r="C102" s="16">
        <f t="shared" si="3"/>
        <v>5.6252941550798338E-2</v>
      </c>
      <c r="D102" s="16">
        <f t="shared" si="4"/>
        <v>4.6877451292331946E-3</v>
      </c>
    </row>
    <row r="103" spans="1:4" x14ac:dyDescent="0.2">
      <c r="A103" s="22">
        <v>34881</v>
      </c>
      <c r="B103" s="20">
        <v>5.42</v>
      </c>
      <c r="C103" s="16">
        <f t="shared" si="3"/>
        <v>5.5724148772361717E-2</v>
      </c>
      <c r="D103" s="16">
        <f t="shared" si="4"/>
        <v>4.6436790643634767E-3</v>
      </c>
    </row>
    <row r="104" spans="1:4" x14ac:dyDescent="0.2">
      <c r="A104" s="22">
        <v>34912</v>
      </c>
      <c r="B104" s="20">
        <v>5.4</v>
      </c>
      <c r="C104" s="16">
        <f t="shared" si="3"/>
        <v>5.5512709930258759E-2</v>
      </c>
      <c r="D104" s="16">
        <f t="shared" si="4"/>
        <v>4.6260591608548963E-3</v>
      </c>
    </row>
    <row r="105" spans="1:4" x14ac:dyDescent="0.2">
      <c r="A105" s="22">
        <v>34943</v>
      </c>
      <c r="B105" s="20">
        <v>5.28</v>
      </c>
      <c r="C105" s="16">
        <f t="shared" si="3"/>
        <v>5.4245014852395773E-2</v>
      </c>
      <c r="D105" s="16">
        <f t="shared" si="4"/>
        <v>4.5204179043663141E-3</v>
      </c>
    </row>
    <row r="106" spans="1:4" x14ac:dyDescent="0.2">
      <c r="A106" s="22">
        <v>34973</v>
      </c>
      <c r="B106" s="20">
        <v>5.28</v>
      </c>
      <c r="C106" s="16">
        <f t="shared" si="3"/>
        <v>5.4245014852395773E-2</v>
      </c>
      <c r="D106" s="16">
        <f t="shared" si="4"/>
        <v>4.5204179043663141E-3</v>
      </c>
    </row>
    <row r="107" spans="1:4" x14ac:dyDescent="0.2">
      <c r="A107" s="22">
        <v>35004</v>
      </c>
      <c r="B107" s="20">
        <v>5.36</v>
      </c>
      <c r="C107" s="16">
        <f t="shared" si="3"/>
        <v>5.5089966317960037E-2</v>
      </c>
      <c r="D107" s="16">
        <f t="shared" si="4"/>
        <v>4.5908305264966698E-3</v>
      </c>
    </row>
    <row r="108" spans="1:4" x14ac:dyDescent="0.2">
      <c r="A108" s="22">
        <v>35034</v>
      </c>
      <c r="B108" s="20">
        <v>5.14</v>
      </c>
      <c r="C108" s="16">
        <f t="shared" si="3"/>
        <v>5.2768065538655803E-2</v>
      </c>
      <c r="D108" s="16">
        <f t="shared" si="4"/>
        <v>4.3973387948879833E-3</v>
      </c>
    </row>
    <row r="109" spans="1:4" x14ac:dyDescent="0.2">
      <c r="A109" s="22">
        <v>35065</v>
      </c>
      <c r="B109" s="20">
        <v>5</v>
      </c>
      <c r="C109" s="16">
        <f t="shared" si="3"/>
        <v>5.1293294387550481E-2</v>
      </c>
      <c r="D109" s="16">
        <f t="shared" si="4"/>
        <v>4.2744411989625404E-3</v>
      </c>
    </row>
    <row r="110" spans="1:4" x14ac:dyDescent="0.2">
      <c r="A110" s="22">
        <v>35096</v>
      </c>
      <c r="B110" s="20">
        <v>4.83</v>
      </c>
      <c r="C110" s="16">
        <f t="shared" si="3"/>
        <v>4.9505419903839394E-2</v>
      </c>
      <c r="D110" s="16">
        <f t="shared" si="4"/>
        <v>4.1254516586532826E-3</v>
      </c>
    </row>
    <row r="111" spans="1:4" x14ac:dyDescent="0.2">
      <c r="A111" s="22">
        <v>35125</v>
      </c>
      <c r="B111" s="20">
        <v>4.96</v>
      </c>
      <c r="C111" s="16">
        <f t="shared" si="3"/>
        <v>5.0872330373756505E-2</v>
      </c>
      <c r="D111" s="16">
        <f t="shared" si="4"/>
        <v>4.2393608644797085E-3</v>
      </c>
    </row>
    <row r="112" spans="1:4" x14ac:dyDescent="0.2">
      <c r="A112" s="22">
        <v>35156</v>
      </c>
      <c r="B112" s="20">
        <v>4.95</v>
      </c>
      <c r="C112" s="16">
        <f t="shared" si="3"/>
        <v>5.0767117053653221E-2</v>
      </c>
      <c r="D112" s="16">
        <f t="shared" si="4"/>
        <v>4.2305930878044351E-3</v>
      </c>
    </row>
    <row r="113" spans="1:4" x14ac:dyDescent="0.2">
      <c r="A113" s="22">
        <v>35186</v>
      </c>
      <c r="B113" s="20">
        <v>5.0199999999999996</v>
      </c>
      <c r="C113" s="16">
        <f t="shared" si="3"/>
        <v>5.1503842867115616E-2</v>
      </c>
      <c r="D113" s="16">
        <f t="shared" si="4"/>
        <v>4.291986905592968E-3</v>
      </c>
    </row>
    <row r="114" spans="1:4" x14ac:dyDescent="0.2">
      <c r="A114" s="22">
        <v>35217</v>
      </c>
      <c r="B114" s="20">
        <v>5.09</v>
      </c>
      <c r="C114" s="16">
        <f t="shared" si="3"/>
        <v>5.2241111845690552E-2</v>
      </c>
      <c r="D114" s="16">
        <f t="shared" si="4"/>
        <v>4.3534259871408796E-3</v>
      </c>
    </row>
    <row r="115" spans="1:4" x14ac:dyDescent="0.2">
      <c r="A115" s="22">
        <v>35247</v>
      </c>
      <c r="B115" s="20">
        <v>5.15</v>
      </c>
      <c r="C115" s="16">
        <f t="shared" si="3"/>
        <v>5.2873489607068183E-2</v>
      </c>
      <c r="D115" s="16">
        <f t="shared" si="4"/>
        <v>4.4061241339223489E-3</v>
      </c>
    </row>
    <row r="116" spans="1:4" x14ac:dyDescent="0.2">
      <c r="A116" s="22">
        <v>35278</v>
      </c>
      <c r="B116" s="20">
        <v>5.05</v>
      </c>
      <c r="C116" s="16">
        <f t="shared" si="3"/>
        <v>5.181974872979643E-2</v>
      </c>
      <c r="D116" s="16">
        <f t="shared" si="4"/>
        <v>4.3183123941497028E-3</v>
      </c>
    </row>
    <row r="117" spans="1:4" x14ac:dyDescent="0.2">
      <c r="A117" s="22">
        <v>35309</v>
      </c>
      <c r="B117" s="20">
        <v>5.09</v>
      </c>
      <c r="C117" s="16">
        <f t="shared" si="3"/>
        <v>5.2241111845690552E-2</v>
      </c>
      <c r="D117" s="16">
        <f t="shared" si="4"/>
        <v>4.3534259871408796E-3</v>
      </c>
    </row>
    <row r="118" spans="1:4" x14ac:dyDescent="0.2">
      <c r="A118" s="22">
        <v>35339</v>
      </c>
      <c r="B118" s="20">
        <v>4.99</v>
      </c>
      <c r="C118" s="16">
        <f t="shared" si="3"/>
        <v>5.1188036769433239E-2</v>
      </c>
      <c r="D118" s="16">
        <f t="shared" si="4"/>
        <v>4.2656697307861032E-3</v>
      </c>
    </row>
    <row r="119" spans="1:4" x14ac:dyDescent="0.2">
      <c r="A119" s="22">
        <v>35370</v>
      </c>
      <c r="B119" s="20">
        <v>5.03</v>
      </c>
      <c r="C119" s="16">
        <f t="shared" si="3"/>
        <v>5.1609133733230214E-2</v>
      </c>
      <c r="D119" s="16">
        <f t="shared" si="4"/>
        <v>4.3007611444358515E-3</v>
      </c>
    </row>
    <row r="120" spans="1:4" x14ac:dyDescent="0.2">
      <c r="A120" s="22">
        <v>35400</v>
      </c>
      <c r="B120" s="20">
        <v>4.91</v>
      </c>
      <c r="C120" s="16">
        <f t="shared" si="3"/>
        <v>5.034637443673854E-2</v>
      </c>
      <c r="D120" s="16">
        <f t="shared" si="4"/>
        <v>4.1955312030615447E-3</v>
      </c>
    </row>
    <row r="121" spans="1:4" x14ac:dyDescent="0.2">
      <c r="A121" s="22">
        <v>35431</v>
      </c>
      <c r="B121" s="20">
        <v>5.03</v>
      </c>
      <c r="C121" s="16">
        <f t="shared" si="3"/>
        <v>5.1609133733230214E-2</v>
      </c>
      <c r="D121" s="16">
        <f t="shared" si="4"/>
        <v>4.3007611444358515E-3</v>
      </c>
    </row>
    <row r="122" spans="1:4" x14ac:dyDescent="0.2">
      <c r="A122" s="22">
        <v>35462</v>
      </c>
      <c r="B122" s="20">
        <v>5.01</v>
      </c>
      <c r="C122" s="16">
        <f t="shared" si="3"/>
        <v>5.1398563086000416E-2</v>
      </c>
      <c r="D122" s="16">
        <f t="shared" si="4"/>
        <v>4.2832135905000344E-3</v>
      </c>
    </row>
    <row r="123" spans="1:4" x14ac:dyDescent="0.2">
      <c r="A123" s="22">
        <v>35490</v>
      </c>
      <c r="B123" s="20">
        <v>5.14</v>
      </c>
      <c r="C123" s="16">
        <f t="shared" si="3"/>
        <v>5.2768065538655803E-2</v>
      </c>
      <c r="D123" s="16">
        <f t="shared" si="4"/>
        <v>4.3973387948879833E-3</v>
      </c>
    </row>
    <row r="124" spans="1:4" x14ac:dyDescent="0.2">
      <c r="A124" s="22">
        <v>35521</v>
      </c>
      <c r="B124" s="20">
        <v>5.16</v>
      </c>
      <c r="C124" s="16">
        <f t="shared" si="3"/>
        <v>5.2978924790886596E-2</v>
      </c>
      <c r="D124" s="16">
        <f t="shared" si="4"/>
        <v>4.4149103992405497E-3</v>
      </c>
    </row>
    <row r="125" spans="1:4" x14ac:dyDescent="0.2">
      <c r="A125" s="22">
        <v>35551</v>
      </c>
      <c r="B125" s="20">
        <v>5.05</v>
      </c>
      <c r="C125" s="16">
        <f t="shared" si="3"/>
        <v>5.181974872979643E-2</v>
      </c>
      <c r="D125" s="16">
        <f t="shared" si="4"/>
        <v>4.3183123941497028E-3</v>
      </c>
    </row>
    <row r="126" spans="1:4" x14ac:dyDescent="0.2">
      <c r="A126" s="22">
        <v>35582</v>
      </c>
      <c r="B126" s="20">
        <v>4.93</v>
      </c>
      <c r="C126" s="16">
        <f t="shared" si="3"/>
        <v>5.0556723617152306E-2</v>
      </c>
      <c r="D126" s="16">
        <f t="shared" si="4"/>
        <v>4.2130603014293591E-3</v>
      </c>
    </row>
    <row r="127" spans="1:4" x14ac:dyDescent="0.2">
      <c r="A127" s="22">
        <v>35612</v>
      </c>
      <c r="B127" s="20">
        <v>5.05</v>
      </c>
      <c r="C127" s="16">
        <f t="shared" si="3"/>
        <v>5.181974872979643E-2</v>
      </c>
      <c r="D127" s="16">
        <f t="shared" si="4"/>
        <v>4.3183123941497028E-3</v>
      </c>
    </row>
    <row r="128" spans="1:4" x14ac:dyDescent="0.2">
      <c r="A128" s="22">
        <v>35643</v>
      </c>
      <c r="B128" s="20">
        <v>5.14</v>
      </c>
      <c r="C128" s="16">
        <f t="shared" si="3"/>
        <v>5.2768065538655803E-2</v>
      </c>
      <c r="D128" s="16">
        <f t="shared" si="4"/>
        <v>4.3973387948879833E-3</v>
      </c>
    </row>
    <row r="129" spans="1:4" x14ac:dyDescent="0.2">
      <c r="A129" s="22">
        <v>35674</v>
      </c>
      <c r="B129" s="20">
        <v>4.95</v>
      </c>
      <c r="C129" s="16">
        <f t="shared" si="3"/>
        <v>5.0767117053653221E-2</v>
      </c>
      <c r="D129" s="16">
        <f t="shared" si="4"/>
        <v>4.2305930878044351E-3</v>
      </c>
    </row>
    <row r="130" spans="1:4" x14ac:dyDescent="0.2">
      <c r="A130" s="22">
        <v>35704</v>
      </c>
      <c r="B130" s="20">
        <v>4.97</v>
      </c>
      <c r="C130" s="16">
        <f t="shared" si="3"/>
        <v>5.097755476486758E-2</v>
      </c>
      <c r="D130" s="16">
        <f t="shared" si="4"/>
        <v>4.248129563738965E-3</v>
      </c>
    </row>
    <row r="131" spans="1:4" x14ac:dyDescent="0.2">
      <c r="A131" s="22">
        <v>35735</v>
      </c>
      <c r="B131" s="20">
        <v>5.14</v>
      </c>
      <c r="C131" s="16">
        <f t="shared" si="3"/>
        <v>5.2768065538655803E-2</v>
      </c>
      <c r="D131" s="16">
        <f t="shared" si="4"/>
        <v>4.3973387948879833E-3</v>
      </c>
    </row>
    <row r="132" spans="1:4" x14ac:dyDescent="0.2">
      <c r="A132" s="22">
        <v>35765</v>
      </c>
      <c r="B132" s="20">
        <v>5.16</v>
      </c>
      <c r="C132" s="16">
        <f t="shared" si="3"/>
        <v>5.2978924790886596E-2</v>
      </c>
      <c r="D132" s="16">
        <f t="shared" si="4"/>
        <v>4.4149103992405497E-3</v>
      </c>
    </row>
    <row r="133" spans="1:4" x14ac:dyDescent="0.2">
      <c r="A133" s="22">
        <v>35796</v>
      </c>
      <c r="B133" s="20">
        <v>5.04</v>
      </c>
      <c r="C133" s="16">
        <f t="shared" ref="C133:C196" si="5">LN(100/(100-B133))</f>
        <v>5.171443568667889E-2</v>
      </c>
      <c r="D133" s="16">
        <f t="shared" ref="D133:D196" si="6">C133/12</f>
        <v>4.3095363072232409E-3</v>
      </c>
    </row>
    <row r="134" spans="1:4" x14ac:dyDescent="0.2">
      <c r="A134" s="22">
        <v>35827</v>
      </c>
      <c r="B134" s="20">
        <v>5.09</v>
      </c>
      <c r="C134" s="16">
        <f t="shared" si="5"/>
        <v>5.2241111845690552E-2</v>
      </c>
      <c r="D134" s="16">
        <f t="shared" si="6"/>
        <v>4.3534259871408796E-3</v>
      </c>
    </row>
    <row r="135" spans="1:4" x14ac:dyDescent="0.2">
      <c r="A135" s="22">
        <v>35855</v>
      </c>
      <c r="B135" s="20">
        <v>5.03</v>
      </c>
      <c r="C135" s="16">
        <f t="shared" si="5"/>
        <v>5.1609133733230214E-2</v>
      </c>
      <c r="D135" s="16">
        <f t="shared" si="6"/>
        <v>4.3007611444358515E-3</v>
      </c>
    </row>
    <row r="136" spans="1:4" x14ac:dyDescent="0.2">
      <c r="A136" s="22">
        <v>35886</v>
      </c>
      <c r="B136" s="20">
        <v>4.95</v>
      </c>
      <c r="C136" s="16">
        <f t="shared" si="5"/>
        <v>5.0767117053653221E-2</v>
      </c>
      <c r="D136" s="16">
        <f t="shared" si="6"/>
        <v>4.2305930878044351E-3</v>
      </c>
    </row>
    <row r="137" spans="1:4" x14ac:dyDescent="0.2">
      <c r="A137" s="22">
        <v>35916</v>
      </c>
      <c r="B137" s="20">
        <v>5</v>
      </c>
      <c r="C137" s="16">
        <f t="shared" si="5"/>
        <v>5.1293294387550481E-2</v>
      </c>
      <c r="D137" s="16">
        <f t="shared" si="6"/>
        <v>4.2744411989625404E-3</v>
      </c>
    </row>
    <row r="138" spans="1:4" x14ac:dyDescent="0.2">
      <c r="A138" s="22">
        <v>35947</v>
      </c>
      <c r="B138" s="20">
        <v>4.9800000000000004</v>
      </c>
      <c r="C138" s="16">
        <f t="shared" si="5"/>
        <v>5.1082790229316243E-2</v>
      </c>
      <c r="D138" s="16">
        <f t="shared" si="6"/>
        <v>4.2568991857763533E-3</v>
      </c>
    </row>
    <row r="139" spans="1:4" x14ac:dyDescent="0.2">
      <c r="A139" s="22">
        <v>35977</v>
      </c>
      <c r="B139" s="20">
        <v>4.96</v>
      </c>
      <c r="C139" s="16">
        <f t="shared" si="5"/>
        <v>5.0872330373756505E-2</v>
      </c>
      <c r="D139" s="16">
        <f t="shared" si="6"/>
        <v>4.2393608644797085E-3</v>
      </c>
    </row>
    <row r="140" spans="1:4" x14ac:dyDescent="0.2">
      <c r="A140" s="22">
        <v>36008</v>
      </c>
      <c r="B140" s="20">
        <v>4.9000000000000004</v>
      </c>
      <c r="C140" s="16">
        <f t="shared" si="5"/>
        <v>5.0241216436746866E-2</v>
      </c>
      <c r="D140" s="16">
        <f t="shared" si="6"/>
        <v>4.1867680363955719E-3</v>
      </c>
    </row>
    <row r="141" spans="1:4" x14ac:dyDescent="0.2">
      <c r="A141" s="22">
        <v>36039</v>
      </c>
      <c r="B141" s="20">
        <v>4.6100000000000003</v>
      </c>
      <c r="C141" s="16">
        <f t="shared" si="5"/>
        <v>4.7196434830974576E-2</v>
      </c>
      <c r="D141" s="16">
        <f t="shared" si="6"/>
        <v>3.9330362359145483E-3</v>
      </c>
    </row>
    <row r="142" spans="1:4" x14ac:dyDescent="0.2">
      <c r="A142" s="22">
        <v>36069</v>
      </c>
      <c r="B142" s="20">
        <v>3.96</v>
      </c>
      <c r="C142" s="16">
        <f t="shared" si="5"/>
        <v>4.0405414635038737E-2</v>
      </c>
      <c r="D142" s="16">
        <f t="shared" si="6"/>
        <v>3.3671178862532281E-3</v>
      </c>
    </row>
    <row r="143" spans="1:4" x14ac:dyDescent="0.2">
      <c r="A143" s="22">
        <v>36100</v>
      </c>
      <c r="B143" s="20">
        <v>4.41</v>
      </c>
      <c r="C143" s="16">
        <f t="shared" si="5"/>
        <v>4.510197391242015E-2</v>
      </c>
      <c r="D143" s="16">
        <f t="shared" si="6"/>
        <v>3.7584978260350125E-3</v>
      </c>
    </row>
    <row r="144" spans="1:4" x14ac:dyDescent="0.2">
      <c r="A144" s="22">
        <v>36130</v>
      </c>
      <c r="B144" s="20">
        <v>4.3899999999999997</v>
      </c>
      <c r="C144" s="16">
        <f t="shared" si="5"/>
        <v>4.4892768890736713E-2</v>
      </c>
      <c r="D144" s="16">
        <f t="shared" si="6"/>
        <v>3.7410640742280596E-3</v>
      </c>
    </row>
    <row r="145" spans="1:4" x14ac:dyDescent="0.2">
      <c r="A145" s="22">
        <v>36161</v>
      </c>
      <c r="B145" s="20">
        <v>4.34</v>
      </c>
      <c r="C145" s="16">
        <f t="shared" si="5"/>
        <v>4.4369947735940482E-2</v>
      </c>
      <c r="D145" s="16">
        <f t="shared" si="6"/>
        <v>3.6974956446617067E-3</v>
      </c>
    </row>
    <row r="146" spans="1:4" x14ac:dyDescent="0.2">
      <c r="A146" s="22">
        <v>36192</v>
      </c>
      <c r="B146" s="20">
        <v>4.4400000000000004</v>
      </c>
      <c r="C146" s="16">
        <f t="shared" si="5"/>
        <v>4.541586353048261E-2</v>
      </c>
      <c r="D146" s="16">
        <f t="shared" si="6"/>
        <v>3.7846552942068842E-3</v>
      </c>
    </row>
    <row r="147" spans="1:4" x14ac:dyDescent="0.2">
      <c r="A147" s="22">
        <v>36220</v>
      </c>
      <c r="B147" s="20">
        <v>4.4400000000000004</v>
      </c>
      <c r="C147" s="16">
        <f t="shared" si="5"/>
        <v>4.541586353048261E-2</v>
      </c>
      <c r="D147" s="16">
        <f t="shared" si="6"/>
        <v>3.7846552942068842E-3</v>
      </c>
    </row>
    <row r="148" spans="1:4" x14ac:dyDescent="0.2">
      <c r="A148" s="22">
        <v>36251</v>
      </c>
      <c r="B148" s="20">
        <v>4.29</v>
      </c>
      <c r="C148" s="16">
        <f t="shared" si="5"/>
        <v>4.3847399780276415E-2</v>
      </c>
      <c r="D148" s="16">
        <f t="shared" si="6"/>
        <v>3.6539499816897014E-3</v>
      </c>
    </row>
    <row r="149" spans="1:4" x14ac:dyDescent="0.2">
      <c r="A149" s="22">
        <v>36281</v>
      </c>
      <c r="B149" s="20">
        <v>4.5</v>
      </c>
      <c r="C149" s="16">
        <f t="shared" si="5"/>
        <v>4.6043938501406798E-2</v>
      </c>
      <c r="D149" s="16">
        <f t="shared" si="6"/>
        <v>3.8369948751172333E-3</v>
      </c>
    </row>
    <row r="150" spans="1:4" x14ac:dyDescent="0.2">
      <c r="A150" s="22">
        <v>36312</v>
      </c>
      <c r="B150" s="20">
        <v>4.57</v>
      </c>
      <c r="C150" s="16">
        <f t="shared" si="5"/>
        <v>4.6777191558928781E-2</v>
      </c>
      <c r="D150" s="16">
        <f t="shared" si="6"/>
        <v>3.8980992965773984E-3</v>
      </c>
    </row>
    <row r="151" spans="1:4" x14ac:dyDescent="0.2">
      <c r="A151" s="22">
        <v>36342</v>
      </c>
      <c r="B151" s="20">
        <v>4.55</v>
      </c>
      <c r="C151" s="16">
        <f t="shared" si="5"/>
        <v>4.6567635816334642E-2</v>
      </c>
      <c r="D151" s="16">
        <f t="shared" si="6"/>
        <v>3.8806363180278868E-3</v>
      </c>
    </row>
    <row r="152" spans="1:4" x14ac:dyDescent="0.2">
      <c r="A152" s="22">
        <v>36373</v>
      </c>
      <c r="B152" s="20">
        <v>4.72</v>
      </c>
      <c r="C152" s="16">
        <f t="shared" si="5"/>
        <v>4.8350260941046767E-2</v>
      </c>
      <c r="D152" s="16">
        <f t="shared" si="6"/>
        <v>4.029188411753897E-3</v>
      </c>
    </row>
    <row r="153" spans="1:4" x14ac:dyDescent="0.2">
      <c r="A153" s="22">
        <v>36404</v>
      </c>
      <c r="B153" s="20">
        <v>4.68</v>
      </c>
      <c r="C153" s="16">
        <f t="shared" si="5"/>
        <v>4.7930533757550062E-2</v>
      </c>
      <c r="D153" s="16">
        <f t="shared" si="6"/>
        <v>3.9942111464625054E-3</v>
      </c>
    </row>
    <row r="154" spans="1:4" x14ac:dyDescent="0.2">
      <c r="A154" s="22">
        <v>36434</v>
      </c>
      <c r="B154" s="20">
        <v>4.8600000000000003</v>
      </c>
      <c r="C154" s="16">
        <f t="shared" si="5"/>
        <v>4.9820694983955985E-2</v>
      </c>
      <c r="D154" s="16">
        <f t="shared" si="6"/>
        <v>4.1517245819963321E-3</v>
      </c>
    </row>
    <row r="155" spans="1:4" x14ac:dyDescent="0.2">
      <c r="A155" s="22">
        <v>36465</v>
      </c>
      <c r="B155" s="20">
        <v>5.07</v>
      </c>
      <c r="C155" s="16">
        <f t="shared" si="5"/>
        <v>5.2030408094384278E-2</v>
      </c>
      <c r="D155" s="16">
        <f t="shared" si="6"/>
        <v>4.3358673411986902E-3</v>
      </c>
    </row>
    <row r="156" spans="1:4" x14ac:dyDescent="0.2">
      <c r="A156" s="22">
        <v>36495</v>
      </c>
      <c r="B156" s="20">
        <v>5.2</v>
      </c>
      <c r="C156" s="16">
        <f t="shared" si="5"/>
        <v>5.3400776727115247E-2</v>
      </c>
      <c r="D156" s="16">
        <f t="shared" si="6"/>
        <v>4.4500647272596042E-3</v>
      </c>
    </row>
    <row r="157" spans="1:4" x14ac:dyDescent="0.2">
      <c r="A157" s="22">
        <v>36526</v>
      </c>
      <c r="B157" s="20">
        <v>5.32</v>
      </c>
      <c r="C157" s="16">
        <f t="shared" si="5"/>
        <v>5.466740134230802E-2</v>
      </c>
      <c r="D157" s="16">
        <f t="shared" si="6"/>
        <v>4.5556167785256686E-3</v>
      </c>
    </row>
    <row r="158" spans="1:4" x14ac:dyDescent="0.2">
      <c r="A158" s="22">
        <v>36557</v>
      </c>
      <c r="B158" s="20">
        <v>5.55</v>
      </c>
      <c r="C158" s="16">
        <f t="shared" si="5"/>
        <v>5.7099592040572689E-2</v>
      </c>
      <c r="D158" s="16">
        <f t="shared" si="6"/>
        <v>4.7582993367143904E-3</v>
      </c>
    </row>
    <row r="159" spans="1:4" x14ac:dyDescent="0.2">
      <c r="A159" s="22">
        <v>36586</v>
      </c>
      <c r="B159" s="20">
        <v>5.69</v>
      </c>
      <c r="C159" s="16">
        <f t="shared" si="5"/>
        <v>5.8582957432297959E-2</v>
      </c>
      <c r="D159" s="16">
        <f t="shared" si="6"/>
        <v>4.881913119358163E-3</v>
      </c>
    </row>
    <row r="160" spans="1:4" x14ac:dyDescent="0.2">
      <c r="A160" s="22">
        <v>36617</v>
      </c>
      <c r="B160" s="20">
        <v>5.66</v>
      </c>
      <c r="C160" s="16">
        <f t="shared" si="5"/>
        <v>5.8264908131975657E-2</v>
      </c>
      <c r="D160" s="16">
        <f t="shared" si="6"/>
        <v>4.8554090109979714E-3</v>
      </c>
    </row>
    <row r="161" spans="1:4" x14ac:dyDescent="0.2">
      <c r="A161" s="22">
        <v>36647</v>
      </c>
      <c r="B161" s="20">
        <v>5.79</v>
      </c>
      <c r="C161" s="16">
        <f t="shared" si="5"/>
        <v>5.9643852927514979E-2</v>
      </c>
      <c r="D161" s="16">
        <f t="shared" si="6"/>
        <v>4.9703210772929149E-3</v>
      </c>
    </row>
    <row r="162" spans="1:4" x14ac:dyDescent="0.2">
      <c r="A162" s="22">
        <v>36678</v>
      </c>
      <c r="B162" s="20">
        <v>5.69</v>
      </c>
      <c r="C162" s="16">
        <f t="shared" si="5"/>
        <v>5.8582957432297959E-2</v>
      </c>
      <c r="D162" s="16">
        <f t="shared" si="6"/>
        <v>4.881913119358163E-3</v>
      </c>
    </row>
    <row r="163" spans="1:4" x14ac:dyDescent="0.2">
      <c r="A163" s="22">
        <v>36708</v>
      </c>
      <c r="B163" s="20">
        <v>5.96</v>
      </c>
      <c r="C163" s="16">
        <f t="shared" si="5"/>
        <v>6.1449962316222601E-2</v>
      </c>
      <c r="D163" s="16">
        <f t="shared" si="6"/>
        <v>5.1208301930185498E-3</v>
      </c>
    </row>
    <row r="164" spans="1:4" x14ac:dyDescent="0.2">
      <c r="A164" s="22">
        <v>36739</v>
      </c>
      <c r="B164" s="20">
        <v>6.09</v>
      </c>
      <c r="C164" s="16">
        <f t="shared" si="5"/>
        <v>6.2833309171569096E-2</v>
      </c>
      <c r="D164" s="16">
        <f t="shared" si="6"/>
        <v>5.2361090976307577E-3</v>
      </c>
    </row>
    <row r="165" spans="1:4" x14ac:dyDescent="0.2">
      <c r="A165" s="22">
        <v>36770</v>
      </c>
      <c r="B165" s="20">
        <v>6</v>
      </c>
      <c r="C165" s="16">
        <f t="shared" si="5"/>
        <v>6.1875403718087453E-2</v>
      </c>
      <c r="D165" s="16">
        <f t="shared" si="6"/>
        <v>5.1562836431739544E-3</v>
      </c>
    </row>
    <row r="166" spans="1:4" x14ac:dyDescent="0.2">
      <c r="A166" s="22">
        <v>36800</v>
      </c>
      <c r="B166" s="20">
        <v>6.11</v>
      </c>
      <c r="C166" s="16">
        <f t="shared" si="5"/>
        <v>6.3046301717635242E-2</v>
      </c>
      <c r="D166" s="16">
        <f t="shared" si="6"/>
        <v>5.2538584764696035E-3</v>
      </c>
    </row>
    <row r="167" spans="1:4" x14ac:dyDescent="0.2">
      <c r="A167" s="22">
        <v>36831</v>
      </c>
      <c r="B167" s="20">
        <v>6.17</v>
      </c>
      <c r="C167" s="16">
        <f t="shared" si="5"/>
        <v>6.3685551686133018E-2</v>
      </c>
      <c r="D167" s="16">
        <f t="shared" si="6"/>
        <v>5.3071293071777518E-3</v>
      </c>
    </row>
    <row r="168" spans="1:4" x14ac:dyDescent="0.2">
      <c r="A168" s="22">
        <v>36861</v>
      </c>
      <c r="B168" s="20">
        <v>5.77</v>
      </c>
      <c r="C168" s="16">
        <f t="shared" si="5"/>
        <v>5.9431583769426512E-2</v>
      </c>
      <c r="D168" s="16">
        <f t="shared" si="6"/>
        <v>4.9526319807855429E-3</v>
      </c>
    </row>
    <row r="169" spans="1:4" x14ac:dyDescent="0.2">
      <c r="A169" s="22">
        <v>36892</v>
      </c>
      <c r="B169" s="20">
        <v>5.15</v>
      </c>
      <c r="C169" s="16">
        <f t="shared" si="5"/>
        <v>5.2873489607068183E-2</v>
      </c>
      <c r="D169" s="16">
        <f t="shared" si="6"/>
        <v>4.4061241339223489E-3</v>
      </c>
    </row>
    <row r="170" spans="1:4" x14ac:dyDescent="0.2">
      <c r="A170" s="22">
        <v>36923</v>
      </c>
      <c r="B170" s="20">
        <v>4.88</v>
      </c>
      <c r="C170" s="16">
        <f t="shared" si="5"/>
        <v>5.003093360556498E-2</v>
      </c>
      <c r="D170" s="16">
        <f t="shared" si="6"/>
        <v>4.169244467130415E-3</v>
      </c>
    </row>
    <row r="171" spans="1:4" x14ac:dyDescent="0.2">
      <c r="A171" s="22">
        <v>36951</v>
      </c>
      <c r="B171" s="20">
        <v>4.42</v>
      </c>
      <c r="C171" s="16">
        <f t="shared" si="5"/>
        <v>4.5206592838079179E-2</v>
      </c>
      <c r="D171" s="16">
        <f t="shared" si="6"/>
        <v>3.7672160698399315E-3</v>
      </c>
    </row>
    <row r="172" spans="1:4" x14ac:dyDescent="0.2">
      <c r="A172" s="22">
        <v>36982</v>
      </c>
      <c r="B172" s="20">
        <v>3.87</v>
      </c>
      <c r="C172" s="16">
        <f t="shared" si="5"/>
        <v>3.9468743910366526E-2</v>
      </c>
      <c r="D172" s="16">
        <f t="shared" si="6"/>
        <v>3.2890619925305437E-3</v>
      </c>
    </row>
    <row r="173" spans="1:4" x14ac:dyDescent="0.2">
      <c r="A173" s="22">
        <v>37012</v>
      </c>
      <c r="B173" s="20">
        <v>3.62</v>
      </c>
      <c r="C173" s="16">
        <f t="shared" si="5"/>
        <v>3.6871474775904786E-2</v>
      </c>
      <c r="D173" s="16">
        <f t="shared" si="6"/>
        <v>3.0726228979920654E-3</v>
      </c>
    </row>
    <row r="174" spans="1:4" x14ac:dyDescent="0.2">
      <c r="A174" s="22">
        <v>37043</v>
      </c>
      <c r="B174" s="20">
        <v>3.49</v>
      </c>
      <c r="C174" s="16">
        <f t="shared" si="5"/>
        <v>3.5523556069046551E-2</v>
      </c>
      <c r="D174" s="16">
        <f t="shared" si="6"/>
        <v>2.9602963390872126E-3</v>
      </c>
    </row>
    <row r="175" spans="1:4" x14ac:dyDescent="0.2">
      <c r="A175" s="22">
        <v>37073</v>
      </c>
      <c r="B175" s="20">
        <v>3.51</v>
      </c>
      <c r="C175" s="16">
        <f t="shared" si="5"/>
        <v>3.5730809955798887E-2</v>
      </c>
      <c r="D175" s="16">
        <f t="shared" si="6"/>
        <v>2.9775674963165738E-3</v>
      </c>
    </row>
    <row r="176" spans="1:4" x14ac:dyDescent="0.2">
      <c r="A176" s="22">
        <v>37104</v>
      </c>
      <c r="B176" s="20">
        <v>3.36</v>
      </c>
      <c r="C176" s="16">
        <f t="shared" si="5"/>
        <v>3.4177451801586455E-2</v>
      </c>
      <c r="D176" s="16">
        <f t="shared" si="6"/>
        <v>2.8481209834655377E-3</v>
      </c>
    </row>
    <row r="177" spans="1:4" x14ac:dyDescent="0.2">
      <c r="A177" s="22">
        <v>37135</v>
      </c>
      <c r="B177" s="20">
        <v>2.64</v>
      </c>
      <c r="C177" s="16">
        <f t="shared" si="5"/>
        <v>2.6754737308819585E-2</v>
      </c>
      <c r="D177" s="16">
        <f t="shared" si="6"/>
        <v>2.229561442401632E-3</v>
      </c>
    </row>
    <row r="178" spans="1:4" x14ac:dyDescent="0.2">
      <c r="A178" s="22">
        <v>37165</v>
      </c>
      <c r="B178" s="20">
        <v>2.16</v>
      </c>
      <c r="C178" s="16">
        <f t="shared" si="5"/>
        <v>2.1836694609174451E-2</v>
      </c>
      <c r="D178" s="16">
        <f t="shared" si="6"/>
        <v>1.8197245507645375E-3</v>
      </c>
    </row>
    <row r="179" spans="1:4" x14ac:dyDescent="0.2">
      <c r="A179" s="22">
        <v>37196</v>
      </c>
      <c r="B179" s="20">
        <v>1.87</v>
      </c>
      <c r="C179" s="16">
        <f t="shared" si="5"/>
        <v>1.8877055769689254E-2</v>
      </c>
      <c r="D179" s="16">
        <f t="shared" si="6"/>
        <v>1.5730879808074378E-3</v>
      </c>
    </row>
    <row r="180" spans="1:4" x14ac:dyDescent="0.2">
      <c r="A180" s="22">
        <v>37226</v>
      </c>
      <c r="B180" s="20">
        <v>1.69</v>
      </c>
      <c r="C180" s="16">
        <f t="shared" si="5"/>
        <v>1.7044434609258436E-2</v>
      </c>
      <c r="D180" s="16">
        <f t="shared" si="6"/>
        <v>1.4203695507715363E-3</v>
      </c>
    </row>
    <row r="181" spans="1:4" x14ac:dyDescent="0.2">
      <c r="A181" s="22">
        <v>37257</v>
      </c>
      <c r="B181" s="20">
        <v>1.65</v>
      </c>
      <c r="C181" s="16">
        <f t="shared" si="5"/>
        <v>1.6637641153023439E-2</v>
      </c>
      <c r="D181" s="16">
        <f t="shared" si="6"/>
        <v>1.3864700960852865E-3</v>
      </c>
    </row>
    <row r="182" spans="1:4" x14ac:dyDescent="0.2">
      <c r="A182" s="22">
        <v>37288</v>
      </c>
      <c r="B182" s="20">
        <v>1.73</v>
      </c>
      <c r="C182" s="16">
        <f t="shared" si="5"/>
        <v>1.7451393613755861E-2</v>
      </c>
      <c r="D182" s="16">
        <f t="shared" si="6"/>
        <v>1.4542828011463217E-3</v>
      </c>
    </row>
    <row r="183" spans="1:4" x14ac:dyDescent="0.2">
      <c r="A183" s="22">
        <v>37316</v>
      </c>
      <c r="B183" s="20">
        <v>1.79</v>
      </c>
      <c r="C183" s="16">
        <f t="shared" si="5"/>
        <v>1.8062142818408473E-2</v>
      </c>
      <c r="D183" s="16">
        <f t="shared" si="6"/>
        <v>1.5051785682007061E-3</v>
      </c>
    </row>
    <row r="184" spans="1:4" x14ac:dyDescent="0.2">
      <c r="A184" s="22">
        <v>37347</v>
      </c>
      <c r="B184" s="20">
        <v>1.72</v>
      </c>
      <c r="C184" s="16">
        <f t="shared" si="5"/>
        <v>1.7349638335113014E-2</v>
      </c>
      <c r="D184" s="16">
        <f t="shared" si="6"/>
        <v>1.4458031945927513E-3</v>
      </c>
    </row>
    <row r="185" spans="1:4" x14ac:dyDescent="0.2">
      <c r="A185" s="22">
        <v>37377</v>
      </c>
      <c r="B185" s="20">
        <v>1.73</v>
      </c>
      <c r="C185" s="16">
        <f t="shared" si="5"/>
        <v>1.7451393613755861E-2</v>
      </c>
      <c r="D185" s="16">
        <f t="shared" si="6"/>
        <v>1.4542828011463217E-3</v>
      </c>
    </row>
    <row r="186" spans="1:4" x14ac:dyDescent="0.2">
      <c r="A186" s="22">
        <v>37408</v>
      </c>
      <c r="B186" s="20">
        <v>1.7</v>
      </c>
      <c r="C186" s="16">
        <f t="shared" si="5"/>
        <v>1.7146158834970584E-2</v>
      </c>
      <c r="D186" s="16">
        <f t="shared" si="6"/>
        <v>1.4288465695808819E-3</v>
      </c>
    </row>
    <row r="187" spans="1:4" x14ac:dyDescent="0.2">
      <c r="A187" s="22">
        <v>37438</v>
      </c>
      <c r="B187" s="20">
        <v>1.68</v>
      </c>
      <c r="C187" s="16">
        <f t="shared" si="5"/>
        <v>1.6942720730312135E-2</v>
      </c>
      <c r="D187" s="16">
        <f t="shared" si="6"/>
        <v>1.4118933941926779E-3</v>
      </c>
    </row>
    <row r="188" spans="1:4" x14ac:dyDescent="0.2">
      <c r="A188" s="22">
        <v>37469</v>
      </c>
      <c r="B188" s="20">
        <v>1.62</v>
      </c>
      <c r="C188" s="16">
        <f t="shared" si="5"/>
        <v>1.6332654620897728E-2</v>
      </c>
      <c r="D188" s="16">
        <f t="shared" si="6"/>
        <v>1.3610545517414774E-3</v>
      </c>
    </row>
    <row r="189" spans="1:4" x14ac:dyDescent="0.2">
      <c r="A189" s="22">
        <v>37500</v>
      </c>
      <c r="B189" s="20">
        <v>1.63</v>
      </c>
      <c r="C189" s="16">
        <f t="shared" si="5"/>
        <v>1.6434306463424815E-2</v>
      </c>
      <c r="D189" s="16">
        <f t="shared" si="6"/>
        <v>1.3695255386187346E-3</v>
      </c>
    </row>
    <row r="190" spans="1:4" x14ac:dyDescent="0.2">
      <c r="A190" s="22">
        <v>37530</v>
      </c>
      <c r="B190" s="20">
        <v>1.58</v>
      </c>
      <c r="C190" s="16">
        <f t="shared" si="5"/>
        <v>1.5926150550259196E-2</v>
      </c>
      <c r="D190" s="16">
        <f t="shared" si="6"/>
        <v>1.3271792125215997E-3</v>
      </c>
    </row>
    <row r="191" spans="1:4" x14ac:dyDescent="0.2">
      <c r="A191" s="22">
        <v>37561</v>
      </c>
      <c r="B191" s="20">
        <v>1.23</v>
      </c>
      <c r="C191" s="16">
        <f t="shared" si="5"/>
        <v>1.2376271068055375E-2</v>
      </c>
      <c r="D191" s="16">
        <f t="shared" si="6"/>
        <v>1.0313559223379478E-3</v>
      </c>
    </row>
    <row r="192" spans="1:4" x14ac:dyDescent="0.2">
      <c r="A192" s="22">
        <v>37591</v>
      </c>
      <c r="B192" s="20">
        <v>1.19</v>
      </c>
      <c r="C192" s="16">
        <f t="shared" si="5"/>
        <v>1.1971371781219981E-2</v>
      </c>
      <c r="D192" s="16">
        <f t="shared" si="6"/>
        <v>9.97614315101665E-4</v>
      </c>
    </row>
    <row r="193" spans="1:4" x14ac:dyDescent="0.2">
      <c r="A193" s="22">
        <v>37622</v>
      </c>
      <c r="B193" s="20">
        <v>1.17</v>
      </c>
      <c r="C193" s="16">
        <f t="shared" si="5"/>
        <v>1.1768983599998844E-2</v>
      </c>
      <c r="D193" s="16">
        <f t="shared" si="6"/>
        <v>9.8074863333323702E-4</v>
      </c>
    </row>
    <row r="194" spans="1:4" x14ac:dyDescent="0.2">
      <c r="A194" s="22">
        <v>37653</v>
      </c>
      <c r="B194" s="20">
        <v>1.17</v>
      </c>
      <c r="C194" s="16">
        <f t="shared" si="5"/>
        <v>1.1768983599998844E-2</v>
      </c>
      <c r="D194" s="16">
        <f t="shared" si="6"/>
        <v>9.8074863333323702E-4</v>
      </c>
    </row>
    <row r="195" spans="1:4" x14ac:dyDescent="0.2">
      <c r="A195" s="22">
        <v>37681</v>
      </c>
      <c r="B195" s="20">
        <v>1.1299999999999999</v>
      </c>
      <c r="C195" s="16">
        <f t="shared" si="5"/>
        <v>1.1364330079049786E-2</v>
      </c>
      <c r="D195" s="16">
        <f t="shared" si="6"/>
        <v>9.4702750658748217E-4</v>
      </c>
    </row>
    <row r="196" spans="1:4" x14ac:dyDescent="0.2">
      <c r="A196" s="22">
        <v>37712</v>
      </c>
      <c r="B196" s="20">
        <v>1.1299999999999999</v>
      </c>
      <c r="C196" s="16">
        <f t="shared" si="5"/>
        <v>1.1364330079049786E-2</v>
      </c>
      <c r="D196" s="16">
        <f t="shared" si="6"/>
        <v>9.4702750658748217E-4</v>
      </c>
    </row>
    <row r="197" spans="1:4" x14ac:dyDescent="0.2">
      <c r="A197" s="22">
        <v>37742</v>
      </c>
      <c r="B197" s="20">
        <v>1.07</v>
      </c>
      <c r="C197" s="16">
        <f t="shared" ref="C197:C260" si="7">LN(100/(100-B197))</f>
        <v>1.0757656652960071E-2</v>
      </c>
      <c r="D197" s="16">
        <f t="shared" ref="D197:D260" si="8">C197/12</f>
        <v>8.9647138774667258E-4</v>
      </c>
    </row>
    <row r="198" spans="1:4" x14ac:dyDescent="0.2">
      <c r="A198" s="22">
        <v>37773</v>
      </c>
      <c r="B198" s="20">
        <v>0.92</v>
      </c>
      <c r="C198" s="16">
        <f t="shared" si="7"/>
        <v>9.2425813669326506E-3</v>
      </c>
      <c r="D198" s="16">
        <f t="shared" si="8"/>
        <v>7.7021511391105418E-4</v>
      </c>
    </row>
    <row r="199" spans="1:4" x14ac:dyDescent="0.2">
      <c r="A199" s="22">
        <v>37803</v>
      </c>
      <c r="B199" s="20">
        <v>0.9</v>
      </c>
      <c r="C199" s="16">
        <f t="shared" si="7"/>
        <v>9.0407446521490239E-3</v>
      </c>
      <c r="D199" s="16">
        <f t="shared" si="8"/>
        <v>7.5339538767908536E-4</v>
      </c>
    </row>
    <row r="200" spans="1:4" x14ac:dyDescent="0.2">
      <c r="A200" s="22">
        <v>37834</v>
      </c>
      <c r="B200" s="20">
        <v>0.95</v>
      </c>
      <c r="C200" s="16">
        <f t="shared" si="7"/>
        <v>9.5454128435314058E-3</v>
      </c>
      <c r="D200" s="16">
        <f t="shared" si="8"/>
        <v>7.9545107029428382E-4</v>
      </c>
    </row>
    <row r="201" spans="1:4" x14ac:dyDescent="0.2">
      <c r="A201" s="22">
        <v>37865</v>
      </c>
      <c r="B201" s="20">
        <v>0.94</v>
      </c>
      <c r="C201" s="16">
        <f t="shared" si="7"/>
        <v>9.4444588279998052E-3</v>
      </c>
      <c r="D201" s="16">
        <f t="shared" si="8"/>
        <v>7.8703823566665047E-4</v>
      </c>
    </row>
    <row r="202" spans="1:4" x14ac:dyDescent="0.2">
      <c r="A202" s="22">
        <v>37895</v>
      </c>
      <c r="B202" s="20">
        <v>0.92</v>
      </c>
      <c r="C202" s="16">
        <f t="shared" si="7"/>
        <v>9.2425813669326506E-3</v>
      </c>
      <c r="D202" s="16">
        <f t="shared" si="8"/>
        <v>7.7021511391105418E-4</v>
      </c>
    </row>
    <row r="203" spans="1:4" x14ac:dyDescent="0.2">
      <c r="A203" s="22">
        <v>37926</v>
      </c>
      <c r="B203" s="20">
        <v>0.93</v>
      </c>
      <c r="C203" s="16">
        <f t="shared" si="7"/>
        <v>9.3435150031526623E-3</v>
      </c>
      <c r="D203" s="16">
        <f t="shared" si="8"/>
        <v>7.7862625026272182E-4</v>
      </c>
    </row>
    <row r="204" spans="1:4" x14ac:dyDescent="0.2">
      <c r="A204" s="22">
        <v>37956</v>
      </c>
      <c r="B204" s="20">
        <v>0.9</v>
      </c>
      <c r="C204" s="16">
        <f t="shared" si="7"/>
        <v>9.0407446521490239E-3</v>
      </c>
      <c r="D204" s="16">
        <f t="shared" si="8"/>
        <v>7.5339538767908536E-4</v>
      </c>
    </row>
    <row r="205" spans="1:4" x14ac:dyDescent="0.2">
      <c r="A205" s="22">
        <v>37987</v>
      </c>
      <c r="B205" s="20">
        <v>0.88</v>
      </c>
      <c r="C205" s="16">
        <f t="shared" si="7"/>
        <v>8.8389486672042321E-3</v>
      </c>
      <c r="D205" s="16">
        <f t="shared" si="8"/>
        <v>7.3657905560035267E-4</v>
      </c>
    </row>
    <row r="206" spans="1:4" x14ac:dyDescent="0.2">
      <c r="A206" s="22">
        <v>38018</v>
      </c>
      <c r="B206" s="20">
        <v>0.93</v>
      </c>
      <c r="C206" s="16">
        <f t="shared" si="7"/>
        <v>9.3435150031526623E-3</v>
      </c>
      <c r="D206" s="16">
        <f t="shared" si="8"/>
        <v>7.7862625026272182E-4</v>
      </c>
    </row>
    <row r="207" spans="1:4" x14ac:dyDescent="0.2">
      <c r="A207" s="22">
        <v>38047</v>
      </c>
      <c r="B207" s="20">
        <v>0.94</v>
      </c>
      <c r="C207" s="16">
        <f t="shared" si="7"/>
        <v>9.4444588279998052E-3</v>
      </c>
      <c r="D207" s="16">
        <f t="shared" si="8"/>
        <v>7.8703823566665047E-4</v>
      </c>
    </row>
    <row r="208" spans="1:4" x14ac:dyDescent="0.2">
      <c r="A208" s="22">
        <v>38078</v>
      </c>
      <c r="B208" s="20">
        <v>0.94</v>
      </c>
      <c r="C208" s="16">
        <f t="shared" si="7"/>
        <v>9.4444588279998052E-3</v>
      </c>
      <c r="D208" s="16">
        <f t="shared" si="8"/>
        <v>7.8703823566665047E-4</v>
      </c>
    </row>
    <row r="209" spans="1:4" x14ac:dyDescent="0.2">
      <c r="A209" s="22">
        <v>38108</v>
      </c>
      <c r="B209" s="20">
        <v>1.02</v>
      </c>
      <c r="C209" s="16">
        <f t="shared" si="7"/>
        <v>1.0252376464351232E-2</v>
      </c>
      <c r="D209" s="16">
        <f t="shared" si="8"/>
        <v>8.5436470536260267E-4</v>
      </c>
    </row>
    <row r="210" spans="1:4" x14ac:dyDescent="0.2">
      <c r="A210" s="22">
        <v>38139</v>
      </c>
      <c r="B210" s="20">
        <v>1.27</v>
      </c>
      <c r="C210" s="16">
        <f t="shared" si="7"/>
        <v>1.2781334364733171E-2</v>
      </c>
      <c r="D210" s="16">
        <f t="shared" si="8"/>
        <v>1.0651111970610976E-3</v>
      </c>
    </row>
    <row r="211" spans="1:4" x14ac:dyDescent="0.2">
      <c r="A211" s="22">
        <v>38169</v>
      </c>
      <c r="B211" s="20">
        <v>1.33</v>
      </c>
      <c r="C211" s="16">
        <f t="shared" si="7"/>
        <v>1.3389237119015952E-2</v>
      </c>
      <c r="D211" s="16">
        <f t="shared" si="8"/>
        <v>1.1157697599179959E-3</v>
      </c>
    </row>
    <row r="212" spans="1:4" x14ac:dyDescent="0.2">
      <c r="A212" s="22">
        <v>38200</v>
      </c>
      <c r="B212" s="20">
        <v>1.48</v>
      </c>
      <c r="C212" s="16">
        <f t="shared" si="7"/>
        <v>1.4910612735754281E-2</v>
      </c>
      <c r="D212" s="16">
        <f t="shared" si="8"/>
        <v>1.2425510613128566E-3</v>
      </c>
    </row>
    <row r="213" spans="1:4" x14ac:dyDescent="0.2">
      <c r="A213" s="22">
        <v>38231</v>
      </c>
      <c r="B213" s="20">
        <v>1.65</v>
      </c>
      <c r="C213" s="16">
        <f t="shared" si="7"/>
        <v>1.6637641153023439E-2</v>
      </c>
      <c r="D213" s="16">
        <f t="shared" si="8"/>
        <v>1.3864700960852865E-3</v>
      </c>
    </row>
    <row r="214" spans="1:4" x14ac:dyDescent="0.2">
      <c r="A214" s="22">
        <v>38261</v>
      </c>
      <c r="B214" s="20">
        <v>1.76</v>
      </c>
      <c r="C214" s="16">
        <f t="shared" si="7"/>
        <v>1.7756721589259044E-2</v>
      </c>
      <c r="D214" s="16">
        <f t="shared" si="8"/>
        <v>1.4797267991049203E-3</v>
      </c>
    </row>
    <row r="215" spans="1:4" x14ac:dyDescent="0.2">
      <c r="A215" s="22">
        <v>38292</v>
      </c>
      <c r="B215" s="20">
        <v>2.0699999999999998</v>
      </c>
      <c r="C215" s="16">
        <f t="shared" si="7"/>
        <v>2.0917248255388109E-2</v>
      </c>
      <c r="D215" s="16">
        <f t="shared" si="8"/>
        <v>1.7431040212823425E-3</v>
      </c>
    </row>
    <row r="216" spans="1:4" x14ac:dyDescent="0.2">
      <c r="A216" s="22">
        <v>38322</v>
      </c>
      <c r="B216" s="20">
        <v>2.19</v>
      </c>
      <c r="C216" s="16">
        <f t="shared" si="7"/>
        <v>2.2143364685689854E-2</v>
      </c>
      <c r="D216" s="16">
        <f t="shared" si="8"/>
        <v>1.8452803904741545E-3</v>
      </c>
    </row>
    <row r="217" spans="1:4" x14ac:dyDescent="0.2">
      <c r="A217" s="22">
        <v>38353</v>
      </c>
      <c r="B217" s="20">
        <v>2.33</v>
      </c>
      <c r="C217" s="16">
        <f t="shared" si="7"/>
        <v>2.3575736528705791E-2</v>
      </c>
      <c r="D217" s="16">
        <f t="shared" si="8"/>
        <v>1.9646447107254826E-3</v>
      </c>
    </row>
    <row r="218" spans="1:4" x14ac:dyDescent="0.2">
      <c r="A218" s="22">
        <v>38384</v>
      </c>
      <c r="B218" s="20">
        <v>2.54</v>
      </c>
      <c r="C218" s="16">
        <f t="shared" si="7"/>
        <v>2.5728148572731396E-2</v>
      </c>
      <c r="D218" s="16">
        <f t="shared" si="8"/>
        <v>2.1440123810609495E-3</v>
      </c>
    </row>
    <row r="219" spans="1:4" x14ac:dyDescent="0.2">
      <c r="A219" s="22">
        <v>38412</v>
      </c>
      <c r="B219" s="20">
        <v>2.74</v>
      </c>
      <c r="C219" s="16">
        <f t="shared" si="7"/>
        <v>2.7782381012451486E-2</v>
      </c>
      <c r="D219" s="16">
        <f t="shared" si="8"/>
        <v>2.3151984177042905E-3</v>
      </c>
    </row>
    <row r="220" spans="1:4" x14ac:dyDescent="0.2">
      <c r="A220" s="22">
        <v>38443</v>
      </c>
      <c r="B220" s="20">
        <v>2.78</v>
      </c>
      <c r="C220" s="16">
        <f t="shared" si="7"/>
        <v>2.8193734370781938E-2</v>
      </c>
      <c r="D220" s="16">
        <f t="shared" si="8"/>
        <v>2.349477864231828E-3</v>
      </c>
    </row>
    <row r="221" spans="1:4" x14ac:dyDescent="0.2">
      <c r="A221" s="22">
        <v>38473</v>
      </c>
      <c r="B221" s="20">
        <v>2.84</v>
      </c>
      <c r="C221" s="16">
        <f t="shared" si="7"/>
        <v>2.8811081854119656E-2</v>
      </c>
      <c r="D221" s="16">
        <f t="shared" si="8"/>
        <v>2.4009234878433045E-3</v>
      </c>
    </row>
    <row r="222" spans="1:4" x14ac:dyDescent="0.2">
      <c r="A222" s="22">
        <v>38504</v>
      </c>
      <c r="B222" s="20">
        <v>2.97</v>
      </c>
      <c r="C222" s="16">
        <f t="shared" si="7"/>
        <v>3.0149976950883315E-2</v>
      </c>
      <c r="D222" s="16">
        <f t="shared" si="8"/>
        <v>2.5124980792402764E-3</v>
      </c>
    </row>
    <row r="223" spans="1:4" x14ac:dyDescent="0.2">
      <c r="A223" s="22">
        <v>38534</v>
      </c>
      <c r="B223" s="20">
        <v>3.22</v>
      </c>
      <c r="C223" s="16">
        <f t="shared" si="7"/>
        <v>3.2729824622918867E-2</v>
      </c>
      <c r="D223" s="16">
        <f t="shared" si="8"/>
        <v>2.7274853852432388E-3</v>
      </c>
    </row>
    <row r="224" spans="1:4" x14ac:dyDescent="0.2">
      <c r="A224" s="22">
        <v>38565</v>
      </c>
      <c r="B224" s="20">
        <v>3.44</v>
      </c>
      <c r="C224" s="16">
        <f t="shared" si="7"/>
        <v>3.5005609198815311E-2</v>
      </c>
      <c r="D224" s="16">
        <f t="shared" si="8"/>
        <v>2.9171340999012761E-3</v>
      </c>
    </row>
    <row r="225" spans="1:4" x14ac:dyDescent="0.2">
      <c r="A225" s="22">
        <v>38596</v>
      </c>
      <c r="B225" s="20">
        <v>3.42</v>
      </c>
      <c r="C225" s="16">
        <f t="shared" si="7"/>
        <v>3.4798505542695549E-2</v>
      </c>
      <c r="D225" s="16">
        <f t="shared" si="8"/>
        <v>2.8998754618912957E-3</v>
      </c>
    </row>
    <row r="226" spans="1:4" x14ac:dyDescent="0.2">
      <c r="A226" s="22">
        <v>38626</v>
      </c>
      <c r="B226" s="20">
        <v>3.71</v>
      </c>
      <c r="C226" s="16">
        <f t="shared" si="7"/>
        <v>3.7805714735898666E-2</v>
      </c>
      <c r="D226" s="16">
        <f t="shared" si="8"/>
        <v>3.1504762279915555E-3</v>
      </c>
    </row>
    <row r="227" spans="1:4" x14ac:dyDescent="0.2">
      <c r="A227" s="22">
        <v>38657</v>
      </c>
      <c r="B227" s="20">
        <v>3.88</v>
      </c>
      <c r="C227" s="16">
        <f t="shared" si="7"/>
        <v>3.9572775119823225E-2</v>
      </c>
      <c r="D227" s="16">
        <f t="shared" si="8"/>
        <v>3.2977312599852689E-3</v>
      </c>
    </row>
    <row r="228" spans="1:4" x14ac:dyDescent="0.2">
      <c r="A228" s="22">
        <v>38687</v>
      </c>
      <c r="B228" s="20">
        <v>3.89</v>
      </c>
      <c r="C228" s="16">
        <f t="shared" si="7"/>
        <v>3.9676817152898287E-2</v>
      </c>
      <c r="D228" s="16">
        <f t="shared" si="8"/>
        <v>3.3064014294081905E-3</v>
      </c>
    </row>
    <row r="229" spans="1:4" x14ac:dyDescent="0.2">
      <c r="A229" s="22">
        <v>38718</v>
      </c>
      <c r="B229" s="20">
        <v>4.24</v>
      </c>
      <c r="C229" s="16">
        <f t="shared" si="7"/>
        <v>4.3325124738373709E-2</v>
      </c>
      <c r="D229" s="16">
        <f t="shared" si="8"/>
        <v>3.6104270615311424E-3</v>
      </c>
    </row>
    <row r="230" spans="1:4" x14ac:dyDescent="0.2">
      <c r="A230" s="22">
        <v>38749</v>
      </c>
      <c r="B230" s="20">
        <v>4.43</v>
      </c>
      <c r="C230" s="16">
        <f t="shared" si="7"/>
        <v>4.5311222710003207E-2</v>
      </c>
      <c r="D230" s="16">
        <f t="shared" si="8"/>
        <v>3.7759352258336007E-3</v>
      </c>
    </row>
    <row r="231" spans="1:4" x14ac:dyDescent="0.2">
      <c r="A231" s="22">
        <v>38777</v>
      </c>
      <c r="B231" s="20">
        <v>4.51</v>
      </c>
      <c r="C231" s="16">
        <f t="shared" si="7"/>
        <v>4.6148656025980173E-2</v>
      </c>
      <c r="D231" s="16">
        <f t="shared" si="8"/>
        <v>3.8457213354983477E-3</v>
      </c>
    </row>
    <row r="232" spans="1:4" x14ac:dyDescent="0.2">
      <c r="A232" s="22">
        <v>38808</v>
      </c>
      <c r="B232" s="20">
        <v>4.5999999999999996</v>
      </c>
      <c r="C232" s="16">
        <f t="shared" si="7"/>
        <v>4.7091607533850374E-2</v>
      </c>
      <c r="D232" s="16">
        <f t="shared" si="8"/>
        <v>3.9243006278208642E-3</v>
      </c>
    </row>
    <row r="233" spans="1:4" x14ac:dyDescent="0.2">
      <c r="A233" s="22">
        <v>38838</v>
      </c>
      <c r="B233" s="20">
        <v>4.72</v>
      </c>
      <c r="C233" s="16">
        <f t="shared" si="7"/>
        <v>4.8350260941046767E-2</v>
      </c>
      <c r="D233" s="16">
        <f t="shared" si="8"/>
        <v>4.029188411753897E-3</v>
      </c>
    </row>
    <row r="234" spans="1:4" x14ac:dyDescent="0.2">
      <c r="A234" s="22">
        <v>38869</v>
      </c>
      <c r="B234" s="20">
        <v>4.79</v>
      </c>
      <c r="C234" s="16">
        <f t="shared" si="7"/>
        <v>4.9085207690491336E-2</v>
      </c>
      <c r="D234" s="16">
        <f t="shared" si="8"/>
        <v>4.0904339742076114E-3</v>
      </c>
    </row>
    <row r="235" spans="1:4" x14ac:dyDescent="0.2">
      <c r="A235" s="22">
        <v>38899</v>
      </c>
      <c r="B235" s="20">
        <v>4.95</v>
      </c>
      <c r="C235" s="16">
        <f t="shared" si="7"/>
        <v>5.0767117053653221E-2</v>
      </c>
      <c r="D235" s="16">
        <f t="shared" si="8"/>
        <v>4.2305930878044351E-3</v>
      </c>
    </row>
    <row r="236" spans="1:4" x14ac:dyDescent="0.2">
      <c r="A236" s="22">
        <v>38930</v>
      </c>
      <c r="B236" s="20">
        <v>4.96</v>
      </c>
      <c r="C236" s="16">
        <f t="shared" si="7"/>
        <v>5.0872330373756505E-2</v>
      </c>
      <c r="D236" s="16">
        <f t="shared" si="8"/>
        <v>4.2393608644797085E-3</v>
      </c>
    </row>
    <row r="237" spans="1:4" x14ac:dyDescent="0.2">
      <c r="A237" s="22">
        <v>38961</v>
      </c>
      <c r="B237" s="20">
        <v>4.8099999999999996</v>
      </c>
      <c r="C237" s="16">
        <f t="shared" si="7"/>
        <v>4.9295291724877538E-2</v>
      </c>
      <c r="D237" s="16">
        <f t="shared" si="8"/>
        <v>4.1079409770731282E-3</v>
      </c>
    </row>
    <row r="238" spans="1:4" x14ac:dyDescent="0.2">
      <c r="A238" s="22">
        <v>38991</v>
      </c>
      <c r="B238" s="20">
        <v>4.92</v>
      </c>
      <c r="C238" s="16">
        <f t="shared" si="7"/>
        <v>5.0451543496098199E-2</v>
      </c>
      <c r="D238" s="16">
        <f t="shared" si="8"/>
        <v>4.2042952913415163E-3</v>
      </c>
    </row>
    <row r="239" spans="1:4" x14ac:dyDescent="0.2">
      <c r="A239" s="22">
        <v>39022</v>
      </c>
      <c r="B239" s="20">
        <v>4.9400000000000004</v>
      </c>
      <c r="C239" s="16">
        <f t="shared" si="7"/>
        <v>5.0661914802228057E-2</v>
      </c>
      <c r="D239" s="16">
        <f t="shared" si="8"/>
        <v>4.2218262335190051E-3</v>
      </c>
    </row>
    <row r="240" spans="1:4" x14ac:dyDescent="0.2">
      <c r="A240" s="22">
        <v>39052</v>
      </c>
      <c r="B240" s="20">
        <v>4.8499999999999996</v>
      </c>
      <c r="C240" s="16">
        <f t="shared" si="7"/>
        <v>4.9715592245932735E-2</v>
      </c>
      <c r="D240" s="16">
        <f t="shared" si="8"/>
        <v>4.1429660204943949E-3</v>
      </c>
    </row>
    <row r="241" spans="1:4" x14ac:dyDescent="0.2">
      <c r="A241" s="22">
        <v>39083</v>
      </c>
      <c r="B241" s="20">
        <v>4.9800000000000004</v>
      </c>
      <c r="C241" s="16">
        <f t="shared" si="7"/>
        <v>5.1082790229316243E-2</v>
      </c>
      <c r="D241" s="16">
        <f t="shared" si="8"/>
        <v>4.2568991857763533E-3</v>
      </c>
    </row>
    <row r="242" spans="1:4" x14ac:dyDescent="0.2">
      <c r="A242" s="22">
        <v>39114</v>
      </c>
      <c r="B242" s="20">
        <v>5.03</v>
      </c>
      <c r="C242" s="16">
        <f t="shared" si="7"/>
        <v>5.1609133733230214E-2</v>
      </c>
      <c r="D242" s="16">
        <f t="shared" si="8"/>
        <v>4.3007611444358515E-3</v>
      </c>
    </row>
    <row r="243" spans="1:4" x14ac:dyDescent="0.2">
      <c r="A243" s="22">
        <v>39142</v>
      </c>
      <c r="B243" s="20">
        <v>4.9400000000000004</v>
      </c>
      <c r="C243" s="16">
        <f t="shared" si="7"/>
        <v>5.0661914802228057E-2</v>
      </c>
      <c r="D243" s="16">
        <f t="shared" si="8"/>
        <v>4.2218262335190051E-3</v>
      </c>
    </row>
    <row r="244" spans="1:4" x14ac:dyDescent="0.2">
      <c r="A244" s="22">
        <v>39173</v>
      </c>
      <c r="B244" s="20">
        <v>4.87</v>
      </c>
      <c r="C244" s="16">
        <f t="shared" si="7"/>
        <v>4.9925808769725841E-2</v>
      </c>
      <c r="D244" s="16">
        <f t="shared" si="8"/>
        <v>4.1604840641438203E-3</v>
      </c>
    </row>
    <row r="245" spans="1:4" x14ac:dyDescent="0.2">
      <c r="A245" s="22">
        <v>39203</v>
      </c>
      <c r="B245" s="20">
        <v>4.7300000000000004</v>
      </c>
      <c r="C245" s="16">
        <f t="shared" si="7"/>
        <v>4.8455220269403333E-2</v>
      </c>
      <c r="D245" s="16">
        <f t="shared" si="8"/>
        <v>4.0379350224502781E-3</v>
      </c>
    </row>
    <row r="246" spans="1:4" x14ac:dyDescent="0.2">
      <c r="A246" s="22">
        <v>39234</v>
      </c>
      <c r="B246" s="20">
        <v>4.6100000000000003</v>
      </c>
      <c r="C246" s="16">
        <f t="shared" si="7"/>
        <v>4.7196434830974576E-2</v>
      </c>
      <c r="D246" s="16">
        <f t="shared" si="8"/>
        <v>3.9330362359145483E-3</v>
      </c>
    </row>
    <row r="247" spans="1:4" x14ac:dyDescent="0.2">
      <c r="A247" s="22">
        <v>39264</v>
      </c>
      <c r="B247" s="20">
        <v>4.82</v>
      </c>
      <c r="C247" s="16">
        <f t="shared" si="7"/>
        <v>4.9400350295126912E-2</v>
      </c>
      <c r="D247" s="16">
        <f t="shared" si="8"/>
        <v>4.1166958579272423E-3</v>
      </c>
    </row>
    <row r="248" spans="1:4" x14ac:dyDescent="0.2">
      <c r="A248" s="22">
        <v>39295</v>
      </c>
      <c r="B248" s="20">
        <v>4.2</v>
      </c>
      <c r="C248" s="16">
        <f t="shared" si="7"/>
        <v>4.2907501011276598E-2</v>
      </c>
      <c r="D248" s="16">
        <f t="shared" si="8"/>
        <v>3.5756250842730497E-3</v>
      </c>
    </row>
    <row r="249" spans="1:4" x14ac:dyDescent="0.2">
      <c r="A249" s="22">
        <v>39326</v>
      </c>
      <c r="B249" s="20">
        <v>3.89</v>
      </c>
      <c r="C249" s="16">
        <f t="shared" si="7"/>
        <v>3.9676817152898287E-2</v>
      </c>
      <c r="D249" s="16">
        <f t="shared" si="8"/>
        <v>3.3064014294081905E-3</v>
      </c>
    </row>
    <row r="250" spans="1:4" x14ac:dyDescent="0.2">
      <c r="A250" s="22">
        <v>39356</v>
      </c>
      <c r="B250" s="20">
        <v>3.9</v>
      </c>
      <c r="C250" s="16">
        <f t="shared" si="7"/>
        <v>3.9780870011844667E-2</v>
      </c>
      <c r="D250" s="16">
        <f t="shared" si="8"/>
        <v>3.3150725009870557E-3</v>
      </c>
    </row>
    <row r="251" spans="1:4" x14ac:dyDescent="0.2">
      <c r="A251" s="22">
        <v>39387</v>
      </c>
      <c r="B251" s="20">
        <v>3.27</v>
      </c>
      <c r="C251" s="16">
        <f t="shared" si="7"/>
        <v>3.3246593793635655E-2</v>
      </c>
      <c r="D251" s="16">
        <f t="shared" si="8"/>
        <v>2.7705494828029714E-3</v>
      </c>
    </row>
    <row r="252" spans="1:4" x14ac:dyDescent="0.2">
      <c r="A252" s="22">
        <v>39417</v>
      </c>
      <c r="B252" s="20">
        <v>3</v>
      </c>
      <c r="C252" s="16">
        <f t="shared" si="7"/>
        <v>3.0459207484708439E-2</v>
      </c>
      <c r="D252" s="16">
        <f t="shared" si="8"/>
        <v>2.5382672903923697E-3</v>
      </c>
    </row>
    <row r="253" spans="1:4" x14ac:dyDescent="0.2">
      <c r="A253" s="22">
        <v>39448</v>
      </c>
      <c r="B253" s="20">
        <v>2.75</v>
      </c>
      <c r="C253" s="16">
        <f t="shared" si="7"/>
        <v>2.7885203489535642E-2</v>
      </c>
      <c r="D253" s="16">
        <f t="shared" si="8"/>
        <v>2.3237669574613035E-3</v>
      </c>
    </row>
    <row r="254" spans="1:4" x14ac:dyDescent="0.2">
      <c r="A254" s="22">
        <v>39479</v>
      </c>
      <c r="B254" s="20">
        <v>2.12</v>
      </c>
      <c r="C254" s="16">
        <f t="shared" si="7"/>
        <v>2.1427947413620484E-2</v>
      </c>
      <c r="D254" s="16">
        <f t="shared" si="8"/>
        <v>1.7856622844683737E-3</v>
      </c>
    </row>
    <row r="255" spans="1:4" x14ac:dyDescent="0.2">
      <c r="A255" s="22">
        <v>39508</v>
      </c>
      <c r="B255" s="20">
        <v>1.26</v>
      </c>
      <c r="C255" s="16">
        <f t="shared" si="7"/>
        <v>1.2680053157374631E-2</v>
      </c>
      <c r="D255" s="16">
        <f t="shared" si="8"/>
        <v>1.0566710964478858E-3</v>
      </c>
    </row>
    <row r="256" spans="1:4" x14ac:dyDescent="0.2">
      <c r="A256" s="22">
        <v>39539</v>
      </c>
      <c r="B256" s="20">
        <v>1.29</v>
      </c>
      <c r="C256" s="16">
        <f t="shared" si="7"/>
        <v>1.298392755829493E-2</v>
      </c>
      <c r="D256" s="16">
        <f t="shared" si="8"/>
        <v>1.0819939631912443E-3</v>
      </c>
    </row>
    <row r="257" spans="1:4" x14ac:dyDescent="0.2">
      <c r="A257" s="22">
        <v>39569</v>
      </c>
      <c r="B257" s="20">
        <v>1.73</v>
      </c>
      <c r="C257" s="16">
        <f t="shared" si="7"/>
        <v>1.7451393613755861E-2</v>
      </c>
      <c r="D257" s="16">
        <f t="shared" si="8"/>
        <v>1.4542828011463217E-3</v>
      </c>
    </row>
    <row r="258" spans="1:4" x14ac:dyDescent="0.2">
      <c r="A258" s="22">
        <v>39600</v>
      </c>
      <c r="B258" s="20">
        <v>1.86</v>
      </c>
      <c r="C258" s="16">
        <f t="shared" si="7"/>
        <v>1.8775155326333986E-2</v>
      </c>
      <c r="D258" s="16">
        <f t="shared" si="8"/>
        <v>1.5645962771944988E-3</v>
      </c>
    </row>
    <row r="259" spans="1:4" x14ac:dyDescent="0.2">
      <c r="A259" s="22">
        <v>39630</v>
      </c>
      <c r="B259" s="20">
        <v>1.63</v>
      </c>
      <c r="C259" s="16">
        <f t="shared" si="7"/>
        <v>1.6434306463424815E-2</v>
      </c>
      <c r="D259" s="16">
        <f t="shared" si="8"/>
        <v>1.3695255386187346E-3</v>
      </c>
    </row>
    <row r="260" spans="1:4" x14ac:dyDescent="0.2">
      <c r="A260" s="22">
        <v>39661</v>
      </c>
      <c r="B260" s="20">
        <v>1.72</v>
      </c>
      <c r="C260" s="16">
        <f t="shared" si="7"/>
        <v>1.7349638335113014E-2</v>
      </c>
      <c r="D260" s="16">
        <f t="shared" si="8"/>
        <v>1.4458031945927513E-3</v>
      </c>
    </row>
    <row r="261" spans="1:4" x14ac:dyDescent="0.2">
      <c r="A261" s="22">
        <v>39692</v>
      </c>
      <c r="B261" s="20">
        <v>1.1299999999999999</v>
      </c>
      <c r="C261" s="16">
        <f t="shared" ref="C261:C305" si="9">LN(100/(100-B261))</f>
        <v>1.1364330079049786E-2</v>
      </c>
      <c r="D261" s="16">
        <f t="shared" ref="D261:D305" si="10">C261/12</f>
        <v>9.4702750658748217E-4</v>
      </c>
    </row>
    <row r="262" spans="1:4" x14ac:dyDescent="0.2">
      <c r="A262" s="22">
        <v>39722</v>
      </c>
      <c r="B262" s="20">
        <v>0.67</v>
      </c>
      <c r="C262" s="16">
        <f t="shared" si="9"/>
        <v>6.7225457608267323E-3</v>
      </c>
      <c r="D262" s="16">
        <f t="shared" si="10"/>
        <v>5.6021214673556102E-4</v>
      </c>
    </row>
    <row r="263" spans="1:4" x14ac:dyDescent="0.2">
      <c r="A263" s="22">
        <v>39753</v>
      </c>
      <c r="B263" s="20">
        <v>0.19</v>
      </c>
      <c r="C263" s="16">
        <f t="shared" si="9"/>
        <v>1.9018072895963891E-3</v>
      </c>
      <c r="D263" s="16">
        <f t="shared" si="10"/>
        <v>1.5848394079969908E-4</v>
      </c>
    </row>
    <row r="264" spans="1:4" x14ac:dyDescent="0.2">
      <c r="A264" s="22">
        <v>39783</v>
      </c>
      <c r="B264" s="20">
        <v>0.03</v>
      </c>
      <c r="C264" s="16">
        <f t="shared" si="9"/>
        <v>3.0004500900196061E-4</v>
      </c>
      <c r="D264" s="16">
        <f t="shared" si="10"/>
        <v>2.5003750750163386E-5</v>
      </c>
    </row>
    <row r="265" spans="1:4" x14ac:dyDescent="0.2">
      <c r="A265" s="22">
        <v>39814</v>
      </c>
      <c r="B265" s="20">
        <v>0.13</v>
      </c>
      <c r="C265" s="16">
        <f t="shared" si="9"/>
        <v>1.3008457330481557E-3</v>
      </c>
      <c r="D265" s="16">
        <f t="shared" si="10"/>
        <v>1.0840381108734631E-4</v>
      </c>
    </row>
    <row r="266" spans="1:4" x14ac:dyDescent="0.2">
      <c r="A266" s="22">
        <v>39845</v>
      </c>
      <c r="B266" s="20">
        <v>0.3</v>
      </c>
      <c r="C266" s="16">
        <f t="shared" si="9"/>
        <v>3.0045090202987222E-3</v>
      </c>
      <c r="D266" s="16">
        <f t="shared" si="10"/>
        <v>2.5037575169156018E-4</v>
      </c>
    </row>
    <row r="267" spans="1:4" x14ac:dyDescent="0.2">
      <c r="A267" s="22">
        <v>39873</v>
      </c>
      <c r="B267" s="20">
        <v>0.21</v>
      </c>
      <c r="C267" s="16">
        <f t="shared" si="9"/>
        <v>2.1022080918700592E-3</v>
      </c>
      <c r="D267" s="16">
        <f t="shared" si="10"/>
        <v>1.7518400765583828E-4</v>
      </c>
    </row>
    <row r="268" spans="1:4" x14ac:dyDescent="0.2">
      <c r="A268" s="22">
        <v>39904</v>
      </c>
      <c r="B268" s="20">
        <v>0.16</v>
      </c>
      <c r="C268" s="16">
        <f t="shared" si="9"/>
        <v>1.6012813669738276E-3</v>
      </c>
      <c r="D268" s="16">
        <f t="shared" si="10"/>
        <v>1.3344011391448564E-4</v>
      </c>
    </row>
    <row r="269" spans="1:4" x14ac:dyDescent="0.2">
      <c r="A269" s="22">
        <v>39934</v>
      </c>
      <c r="B269" s="20">
        <v>0.18</v>
      </c>
      <c r="C269" s="16">
        <f t="shared" si="9"/>
        <v>1.8016219466282205E-3</v>
      </c>
      <c r="D269" s="16">
        <f t="shared" si="10"/>
        <v>1.5013516221901838E-4</v>
      </c>
    </row>
    <row r="270" spans="1:4" x14ac:dyDescent="0.2">
      <c r="A270" s="22">
        <v>39965</v>
      </c>
      <c r="B270" s="20">
        <v>0.18</v>
      </c>
      <c r="C270" s="16">
        <f t="shared" si="9"/>
        <v>1.8016219466282205E-3</v>
      </c>
      <c r="D270" s="16">
        <f t="shared" si="10"/>
        <v>1.5013516221901838E-4</v>
      </c>
    </row>
    <row r="271" spans="1:4" x14ac:dyDescent="0.2">
      <c r="A271" s="22">
        <v>39995</v>
      </c>
      <c r="B271" s="20">
        <v>0.18</v>
      </c>
      <c r="C271" s="16">
        <f t="shared" si="9"/>
        <v>1.8016219466282205E-3</v>
      </c>
      <c r="D271" s="16">
        <f t="shared" si="10"/>
        <v>1.5013516221901838E-4</v>
      </c>
    </row>
    <row r="272" spans="1:4" x14ac:dyDescent="0.2">
      <c r="A272" s="22">
        <v>40026</v>
      </c>
      <c r="B272" s="20">
        <v>0.17</v>
      </c>
      <c r="C272" s="16">
        <f t="shared" si="9"/>
        <v>1.7014466397576504E-3</v>
      </c>
      <c r="D272" s="16">
        <f t="shared" si="10"/>
        <v>1.4178721997980419E-4</v>
      </c>
    </row>
    <row r="273" spans="1:4" x14ac:dyDescent="0.2">
      <c r="A273" s="22">
        <v>40057</v>
      </c>
      <c r="B273" s="20">
        <v>0.12</v>
      </c>
      <c r="C273" s="16">
        <f t="shared" si="9"/>
        <v>1.2007205765188873E-3</v>
      </c>
      <c r="D273" s="16">
        <f t="shared" si="10"/>
        <v>1.0006004804324061E-4</v>
      </c>
    </row>
    <row r="274" spans="1:4" x14ac:dyDescent="0.2">
      <c r="A274" s="22">
        <v>40087</v>
      </c>
      <c r="B274" s="20">
        <v>7.0000000000000007E-2</v>
      </c>
      <c r="C274" s="16">
        <f t="shared" si="9"/>
        <v>7.0024511439328039E-4</v>
      </c>
      <c r="D274" s="16">
        <f t="shared" si="10"/>
        <v>5.8353759532773368E-5</v>
      </c>
    </row>
    <row r="275" spans="1:4" x14ac:dyDescent="0.2">
      <c r="A275" s="22">
        <v>40118</v>
      </c>
      <c r="B275" s="20">
        <v>0.05</v>
      </c>
      <c r="C275" s="16">
        <f t="shared" si="9"/>
        <v>5.001250416823734E-4</v>
      </c>
      <c r="D275" s="16">
        <f t="shared" si="10"/>
        <v>4.1677086806864452E-5</v>
      </c>
    </row>
    <row r="276" spans="1:4" x14ac:dyDescent="0.2">
      <c r="A276" s="22">
        <v>40148</v>
      </c>
      <c r="B276" s="20">
        <v>0.05</v>
      </c>
      <c r="C276" s="16">
        <f t="shared" si="9"/>
        <v>5.001250416823734E-4</v>
      </c>
      <c r="D276" s="16">
        <f t="shared" si="10"/>
        <v>4.1677086806864452E-5</v>
      </c>
    </row>
    <row r="277" spans="1:4" x14ac:dyDescent="0.2">
      <c r="A277" s="22">
        <v>40179</v>
      </c>
      <c r="B277" s="20">
        <v>0.06</v>
      </c>
      <c r="C277" s="16">
        <f t="shared" si="9"/>
        <v>6.0018007203248497E-4</v>
      </c>
      <c r="D277" s="16">
        <f t="shared" si="10"/>
        <v>5.0015006002707081E-5</v>
      </c>
    </row>
    <row r="278" spans="1:4" x14ac:dyDescent="0.2">
      <c r="A278" s="22">
        <v>40210</v>
      </c>
      <c r="B278" s="20">
        <v>0.11</v>
      </c>
      <c r="C278" s="16">
        <f t="shared" si="9"/>
        <v>1.1006054440330696E-3</v>
      </c>
      <c r="D278" s="16">
        <f t="shared" si="10"/>
        <v>9.1717120336089132E-5</v>
      </c>
    </row>
    <row r="279" spans="1:4" x14ac:dyDescent="0.2">
      <c r="A279" s="22">
        <v>40238</v>
      </c>
      <c r="B279" s="20">
        <v>0.15</v>
      </c>
      <c r="C279" s="16">
        <f t="shared" si="9"/>
        <v>1.5011261262671913E-3</v>
      </c>
      <c r="D279" s="16">
        <f t="shared" si="10"/>
        <v>1.2509384385559928E-4</v>
      </c>
    </row>
    <row r="280" spans="1:4" x14ac:dyDescent="0.2">
      <c r="A280" s="22">
        <v>40269</v>
      </c>
      <c r="B280" s="20">
        <v>0.16</v>
      </c>
      <c r="C280" s="16">
        <f t="shared" si="9"/>
        <v>1.6012813669738276E-3</v>
      </c>
      <c r="D280" s="16">
        <f t="shared" si="10"/>
        <v>1.3344011391448564E-4</v>
      </c>
    </row>
    <row r="281" spans="1:4" x14ac:dyDescent="0.2">
      <c r="A281" s="22">
        <v>40299</v>
      </c>
      <c r="B281" s="20">
        <v>0.16</v>
      </c>
      <c r="C281" s="16">
        <f t="shared" si="9"/>
        <v>1.6012813669738276E-3</v>
      </c>
      <c r="D281" s="16">
        <f t="shared" si="10"/>
        <v>1.3344011391448564E-4</v>
      </c>
    </row>
    <row r="282" spans="1:4" x14ac:dyDescent="0.2">
      <c r="A282" s="22">
        <v>40330</v>
      </c>
      <c r="B282" s="20">
        <v>0.12</v>
      </c>
      <c r="C282" s="16">
        <f t="shared" si="9"/>
        <v>1.2007205765188873E-3</v>
      </c>
      <c r="D282" s="16">
        <f t="shared" si="10"/>
        <v>1.0006004804324061E-4</v>
      </c>
    </row>
    <row r="283" spans="1:4" x14ac:dyDescent="0.2">
      <c r="A283" s="22">
        <v>40360</v>
      </c>
      <c r="B283" s="20">
        <v>0.16</v>
      </c>
      <c r="C283" s="16">
        <f t="shared" si="9"/>
        <v>1.6012813669738276E-3</v>
      </c>
      <c r="D283" s="16">
        <f t="shared" si="10"/>
        <v>1.3344011391448564E-4</v>
      </c>
    </row>
    <row r="284" spans="1:4" x14ac:dyDescent="0.2">
      <c r="A284" s="22">
        <v>40391</v>
      </c>
      <c r="B284" s="20">
        <v>0.16</v>
      </c>
      <c r="C284" s="16">
        <f t="shared" si="9"/>
        <v>1.6012813669738276E-3</v>
      </c>
      <c r="D284" s="16">
        <f t="shared" si="10"/>
        <v>1.3344011391448564E-4</v>
      </c>
    </row>
    <row r="285" spans="1:4" x14ac:dyDescent="0.2">
      <c r="A285" s="22">
        <v>40422</v>
      </c>
      <c r="B285" s="20">
        <v>0.15</v>
      </c>
      <c r="C285" s="16">
        <f t="shared" si="9"/>
        <v>1.5011261262671913E-3</v>
      </c>
      <c r="D285" s="16">
        <f t="shared" si="10"/>
        <v>1.2509384385559928E-4</v>
      </c>
    </row>
    <row r="286" spans="1:4" x14ac:dyDescent="0.2">
      <c r="A286" s="22">
        <v>40452</v>
      </c>
      <c r="B286" s="20">
        <v>0.13</v>
      </c>
      <c r="C286" s="16">
        <f t="shared" si="9"/>
        <v>1.3008457330481557E-3</v>
      </c>
      <c r="D286" s="16">
        <f t="shared" si="10"/>
        <v>1.0840381108734631E-4</v>
      </c>
    </row>
    <row r="287" spans="1:4" x14ac:dyDescent="0.2">
      <c r="A287" s="22">
        <v>40483</v>
      </c>
      <c r="B287" s="20">
        <v>0.14000000000000001</v>
      </c>
      <c r="C287" s="16">
        <f t="shared" si="9"/>
        <v>1.4009809156281432E-3</v>
      </c>
      <c r="D287" s="16">
        <f t="shared" si="10"/>
        <v>1.167484096356786E-4</v>
      </c>
    </row>
    <row r="288" spans="1:4" x14ac:dyDescent="0.2">
      <c r="A288" s="22">
        <v>40513</v>
      </c>
      <c r="B288" s="20">
        <v>0.14000000000000001</v>
      </c>
      <c r="C288" s="16">
        <f t="shared" si="9"/>
        <v>1.4009809156281432E-3</v>
      </c>
      <c r="D288" s="16">
        <f t="shared" si="10"/>
        <v>1.167484096356786E-4</v>
      </c>
    </row>
    <row r="289" spans="1:4" x14ac:dyDescent="0.2">
      <c r="A289" s="22">
        <v>40544</v>
      </c>
      <c r="B289" s="20">
        <v>0.15</v>
      </c>
      <c r="C289" s="16">
        <f t="shared" si="9"/>
        <v>1.5011261262671913E-3</v>
      </c>
      <c r="D289" s="16">
        <f t="shared" si="10"/>
        <v>1.2509384385559928E-4</v>
      </c>
    </row>
    <row r="290" spans="1:4" x14ac:dyDescent="0.2">
      <c r="A290" s="22">
        <v>40575</v>
      </c>
      <c r="B290" s="20">
        <v>0.13</v>
      </c>
      <c r="C290" s="16">
        <f t="shared" si="9"/>
        <v>1.3008457330481557E-3</v>
      </c>
      <c r="D290" s="16">
        <f t="shared" si="10"/>
        <v>1.0840381108734631E-4</v>
      </c>
    </row>
    <row r="291" spans="1:4" x14ac:dyDescent="0.2">
      <c r="A291" s="22">
        <v>40603</v>
      </c>
      <c r="B291" s="20">
        <v>0.1</v>
      </c>
      <c r="C291" s="16">
        <f t="shared" si="9"/>
        <v>1.0005003335834001E-3</v>
      </c>
      <c r="D291" s="16">
        <f t="shared" si="10"/>
        <v>8.3375027798616674E-5</v>
      </c>
    </row>
    <row r="292" spans="1:4" x14ac:dyDescent="0.2">
      <c r="A292" s="22">
        <v>40634</v>
      </c>
      <c r="B292" s="20">
        <v>0.06</v>
      </c>
      <c r="C292" s="16">
        <f t="shared" si="9"/>
        <v>6.0018007203248497E-4</v>
      </c>
      <c r="D292" s="16">
        <f t="shared" si="10"/>
        <v>5.0015006002707081E-5</v>
      </c>
    </row>
    <row r="293" spans="1:4" x14ac:dyDescent="0.2">
      <c r="A293" s="22">
        <v>40664</v>
      </c>
      <c r="B293" s="20">
        <v>0.04</v>
      </c>
      <c r="C293" s="16">
        <f t="shared" si="9"/>
        <v>4.000800213398925E-4</v>
      </c>
      <c r="D293" s="16">
        <f t="shared" si="10"/>
        <v>3.3340001778324378E-5</v>
      </c>
    </row>
    <row r="294" spans="1:4" x14ac:dyDescent="0.2">
      <c r="A294" s="22">
        <v>40695</v>
      </c>
      <c r="B294" s="20">
        <v>0.04</v>
      </c>
      <c r="C294" s="16">
        <f t="shared" si="9"/>
        <v>4.000800213398925E-4</v>
      </c>
      <c r="D294" s="16">
        <f t="shared" si="10"/>
        <v>3.3340001778324378E-5</v>
      </c>
    </row>
    <row r="295" spans="1:4" x14ac:dyDescent="0.2">
      <c r="A295" s="22">
        <v>40725</v>
      </c>
      <c r="B295" s="20">
        <v>0.04</v>
      </c>
      <c r="C295" s="16">
        <f t="shared" si="9"/>
        <v>4.000800213398925E-4</v>
      </c>
      <c r="D295" s="16">
        <f t="shared" si="10"/>
        <v>3.3340001778324378E-5</v>
      </c>
    </row>
    <row r="296" spans="1:4" x14ac:dyDescent="0.2">
      <c r="A296" s="22">
        <v>40756</v>
      </c>
      <c r="B296" s="20">
        <v>0.02</v>
      </c>
      <c r="C296" s="16">
        <f t="shared" si="9"/>
        <v>2.0002000266702272E-4</v>
      </c>
      <c r="D296" s="16">
        <f t="shared" si="10"/>
        <v>1.6668333555585225E-5</v>
      </c>
    </row>
    <row r="297" spans="1:4" x14ac:dyDescent="0.2">
      <c r="A297" s="22">
        <v>40787</v>
      </c>
      <c r="B297" s="20">
        <v>0.01</v>
      </c>
      <c r="C297" s="16">
        <f t="shared" si="9"/>
        <v>1.0000500033349747E-4</v>
      </c>
      <c r="D297" s="16">
        <f t="shared" si="10"/>
        <v>8.3337500277914556E-6</v>
      </c>
    </row>
    <row r="298" spans="1:4" x14ac:dyDescent="0.2">
      <c r="A298" s="22">
        <v>40817</v>
      </c>
      <c r="B298" s="20">
        <v>0.02</v>
      </c>
      <c r="C298" s="16">
        <f t="shared" si="9"/>
        <v>2.0002000266702272E-4</v>
      </c>
      <c r="D298" s="16">
        <f t="shared" si="10"/>
        <v>1.6668333555585225E-5</v>
      </c>
    </row>
    <row r="299" spans="1:4" x14ac:dyDescent="0.2">
      <c r="A299" s="22">
        <v>40848</v>
      </c>
      <c r="B299" s="20">
        <v>0.01</v>
      </c>
      <c r="C299" s="16">
        <f t="shared" si="9"/>
        <v>1.0000500033349747E-4</v>
      </c>
      <c r="D299" s="16">
        <f t="shared" si="10"/>
        <v>8.3337500277914556E-6</v>
      </c>
    </row>
    <row r="300" spans="1:4" x14ac:dyDescent="0.2">
      <c r="A300" s="22">
        <v>40878</v>
      </c>
      <c r="B300" s="20">
        <v>0.01</v>
      </c>
      <c r="C300" s="16">
        <f t="shared" si="9"/>
        <v>1.0000500033349747E-4</v>
      </c>
      <c r="D300" s="16">
        <f t="shared" si="10"/>
        <v>8.3337500277914556E-6</v>
      </c>
    </row>
    <row r="301" spans="1:4" x14ac:dyDescent="0.2">
      <c r="A301" s="22">
        <v>40909</v>
      </c>
      <c r="B301" s="20">
        <v>0.03</v>
      </c>
      <c r="C301" s="16">
        <f t="shared" si="9"/>
        <v>3.0004500900196061E-4</v>
      </c>
      <c r="D301" s="16">
        <f t="shared" si="10"/>
        <v>2.5003750750163386E-5</v>
      </c>
    </row>
    <row r="302" spans="1:4" x14ac:dyDescent="0.2">
      <c r="A302" s="22">
        <v>40940</v>
      </c>
      <c r="B302" s="20">
        <v>0.09</v>
      </c>
      <c r="C302" s="16">
        <f t="shared" si="9"/>
        <v>9.0040524316409472E-4</v>
      </c>
      <c r="D302" s="16">
        <f t="shared" si="10"/>
        <v>7.5033770263674564E-5</v>
      </c>
    </row>
    <row r="303" spans="1:4" x14ac:dyDescent="0.2">
      <c r="A303" s="22">
        <v>40969</v>
      </c>
      <c r="B303" s="20">
        <v>0.08</v>
      </c>
      <c r="C303" s="16">
        <f t="shared" si="9"/>
        <v>8.0032017076911573E-4</v>
      </c>
      <c r="D303" s="16">
        <f t="shared" si="10"/>
        <v>6.6693347564092978E-5</v>
      </c>
    </row>
    <row r="304" spans="1:4" x14ac:dyDescent="0.2">
      <c r="A304" s="22">
        <v>41000</v>
      </c>
      <c r="B304" s="20">
        <v>0.08</v>
      </c>
      <c r="C304" s="16">
        <f t="shared" si="9"/>
        <v>8.0032017076911573E-4</v>
      </c>
      <c r="D304" s="16">
        <f t="shared" si="10"/>
        <v>6.6693347564092978E-5</v>
      </c>
    </row>
    <row r="305" spans="1:4" x14ac:dyDescent="0.2">
      <c r="A305" s="22">
        <v>41030</v>
      </c>
      <c r="B305" s="20">
        <v>0.09</v>
      </c>
      <c r="C305" s="16">
        <f t="shared" si="9"/>
        <v>9.0040524316409472E-4</v>
      </c>
      <c r="D305" s="16">
        <f t="shared" si="10"/>
        <v>7.5033770263674564E-5</v>
      </c>
    </row>
  </sheetData>
  <mergeCells count="2">
    <mergeCell ref="F3:H5"/>
    <mergeCell ref="A1:H1"/>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D4B2C-29D3-4195-A65C-720859A14D74}">
  <sheetPr codeName="Sheet11"/>
  <dimension ref="A1:CR398"/>
  <sheetViews>
    <sheetView tabSelected="1" zoomScale="37" zoomScaleNormal="70" workbookViewId="0">
      <selection activeCell="AE33" sqref="AE33"/>
    </sheetView>
  </sheetViews>
  <sheetFormatPr defaultRowHeight="14.25" x14ac:dyDescent="0.2"/>
  <cols>
    <col min="4" max="4" width="13.625" customWidth="1"/>
    <col min="5" max="5" width="9" customWidth="1"/>
    <col min="9" max="9" width="10.375" customWidth="1"/>
    <col min="10" max="10" width="9.25" customWidth="1"/>
    <col min="14" max="14" width="9.625" customWidth="1"/>
    <col min="17" max="17" width="13.25" customWidth="1"/>
    <col min="18" max="18" width="9.625" customWidth="1"/>
    <col min="22" max="22" width="10.125" customWidth="1"/>
    <col min="27" max="27" width="14.125" customWidth="1"/>
    <col min="28" max="31" width="14.875" customWidth="1"/>
    <col min="38" max="38" width="32.875" customWidth="1"/>
    <col min="42" max="42" width="23" customWidth="1"/>
    <col min="83" max="83" width="16.375" customWidth="1"/>
    <col min="95" max="96" width="18.5" customWidth="1"/>
  </cols>
  <sheetData>
    <row r="1" spans="1:22" ht="14.25" customHeight="1" x14ac:dyDescent="0.2">
      <c r="A1" s="419" t="s">
        <v>609</v>
      </c>
      <c r="B1" s="419"/>
      <c r="C1" s="419"/>
      <c r="D1" s="419"/>
      <c r="E1" s="419"/>
      <c r="F1" s="419"/>
      <c r="G1" s="419"/>
      <c r="H1" s="419"/>
      <c r="I1" s="419"/>
      <c r="J1" s="419"/>
      <c r="K1" s="419"/>
      <c r="L1" s="419"/>
      <c r="M1" s="419"/>
    </row>
    <row r="2" spans="1:22" ht="14.25" customHeight="1" x14ac:dyDescent="0.2">
      <c r="A2" s="419"/>
      <c r="B2" s="419"/>
      <c r="C2" s="419"/>
      <c r="D2" s="419"/>
      <c r="E2" s="419"/>
      <c r="F2" s="419"/>
      <c r="G2" s="419"/>
      <c r="H2" s="419"/>
      <c r="I2" s="419"/>
      <c r="J2" s="419"/>
      <c r="K2" s="419"/>
      <c r="L2" s="419"/>
      <c r="M2" s="419"/>
    </row>
    <row r="3" spans="1:22" ht="14.25" customHeight="1" x14ac:dyDescent="0.2">
      <c r="A3" s="419"/>
      <c r="B3" s="419"/>
      <c r="C3" s="419"/>
      <c r="D3" s="419"/>
      <c r="E3" s="419"/>
      <c r="F3" s="419"/>
      <c r="G3" s="419"/>
      <c r="H3" s="419"/>
      <c r="I3" s="419"/>
      <c r="J3" s="419"/>
      <c r="K3" s="419"/>
      <c r="L3" s="419"/>
      <c r="M3" s="419"/>
    </row>
    <row r="4" spans="1:22" ht="14.25" customHeight="1" x14ac:dyDescent="0.2">
      <c r="A4" s="419"/>
      <c r="B4" s="419"/>
      <c r="C4" s="419"/>
      <c r="D4" s="419"/>
      <c r="E4" s="419"/>
      <c r="F4" s="419"/>
      <c r="G4" s="419"/>
      <c r="H4" s="419"/>
      <c r="I4" s="419"/>
      <c r="J4" s="419"/>
      <c r="K4" s="419"/>
      <c r="L4" s="419"/>
      <c r="M4" s="419"/>
    </row>
    <row r="5" spans="1:22" ht="14.25" customHeight="1" x14ac:dyDescent="0.2">
      <c r="A5" s="419"/>
      <c r="B5" s="419"/>
      <c r="C5" s="419"/>
      <c r="D5" s="419"/>
      <c r="E5" s="419"/>
      <c r="F5" s="419"/>
      <c r="G5" s="419"/>
      <c r="H5" s="419"/>
      <c r="I5" s="419"/>
      <c r="J5" s="419"/>
      <c r="K5" s="419"/>
      <c r="L5" s="419"/>
      <c r="M5" s="419"/>
    </row>
    <row r="6" spans="1:22" s="243" customFormat="1" ht="14.25" customHeight="1" x14ac:dyDescent="0.2">
      <c r="B6" s="243" t="s">
        <v>572</v>
      </c>
    </row>
    <row r="7" spans="1:22" x14ac:dyDescent="0.2">
      <c r="C7" t="s">
        <v>577</v>
      </c>
      <c r="O7" s="138"/>
    </row>
    <row r="8" spans="1:22" x14ac:dyDescent="0.2">
      <c r="D8" s="172" t="s">
        <v>0</v>
      </c>
      <c r="E8" s="186">
        <f>'Balance Sheet'!F73</f>
        <v>1309.0999999999999</v>
      </c>
      <c r="F8" s="167"/>
      <c r="M8" s="138"/>
      <c r="O8" s="138"/>
      <c r="P8" s="138"/>
    </row>
    <row r="9" spans="1:22" x14ac:dyDescent="0.2">
      <c r="D9" s="166" t="s">
        <v>198</v>
      </c>
      <c r="E9" s="187">
        <v>50.08</v>
      </c>
      <c r="F9" s="167" t="s">
        <v>974</v>
      </c>
      <c r="O9" s="138"/>
    </row>
    <row r="10" spans="1:22" x14ac:dyDescent="0.2">
      <c r="D10" s="340" t="s">
        <v>581</v>
      </c>
      <c r="E10" s="341">
        <f>E9*E8</f>
        <v>65559.727999999988</v>
      </c>
      <c r="F10" s="167" t="e">
        <f ca="1">getformula(E10)</f>
        <v>#NAME?</v>
      </c>
      <c r="M10" s="138"/>
      <c r="V10" s="138"/>
    </row>
    <row r="11" spans="1:22" s="243" customFormat="1" x14ac:dyDescent="0.2">
      <c r="B11" s="244" t="s">
        <v>573</v>
      </c>
      <c r="V11" s="244"/>
    </row>
    <row r="12" spans="1:22" x14ac:dyDescent="0.2">
      <c r="C12" s="138" t="s">
        <v>578</v>
      </c>
    </row>
    <row r="13" spans="1:22" x14ac:dyDescent="0.2">
      <c r="D13" s="172" t="s">
        <v>84</v>
      </c>
      <c r="E13" s="174">
        <f>'Balance Sheet'!F17</f>
        <v>8756.2999999999993</v>
      </c>
    </row>
    <row r="14" spans="1:22" x14ac:dyDescent="0.2">
      <c r="D14" s="166" t="s">
        <v>85</v>
      </c>
      <c r="E14" s="175">
        <f>'Balance Sheet'!F18</f>
        <v>181.5</v>
      </c>
      <c r="F14" s="138"/>
      <c r="G14" s="138"/>
    </row>
    <row r="15" spans="1:22" x14ac:dyDescent="0.2">
      <c r="D15" s="166"/>
      <c r="E15" s="175"/>
      <c r="F15" s="138"/>
      <c r="G15" s="138"/>
    </row>
    <row r="16" spans="1:22" x14ac:dyDescent="0.2">
      <c r="D16" s="176" t="s">
        <v>88</v>
      </c>
      <c r="E16" s="175">
        <f>'Balance Sheet'!F43+'Balance Sheet'!F44+'Balance Sheet'!F45</f>
        <v>2563.9</v>
      </c>
    </row>
    <row r="17" spans="2:18" x14ac:dyDescent="0.2">
      <c r="D17" s="166" t="s">
        <v>87</v>
      </c>
      <c r="E17" s="175">
        <f>'Balance Sheet'!F51</f>
        <v>9090.2000000000007</v>
      </c>
    </row>
    <row r="18" spans="2:18" ht="15" customHeight="1" x14ac:dyDescent="0.2">
      <c r="D18" s="166"/>
      <c r="E18" s="175"/>
    </row>
    <row r="19" spans="2:18" ht="14.25" customHeight="1" x14ac:dyDescent="0.2">
      <c r="D19" s="338" t="s">
        <v>17</v>
      </c>
      <c r="E19" s="339">
        <f>SUM(E16:E17)-SUM(E13:E14)</f>
        <v>2716.3000000000011</v>
      </c>
      <c r="F19" s="138" t="e">
        <f ca="1">getformula(E19)</f>
        <v>#NAME?</v>
      </c>
      <c r="G19" s="138"/>
      <c r="H19" s="138"/>
      <c r="I19" s="138"/>
      <c r="M19" s="138"/>
    </row>
    <row r="20" spans="2:18" s="243" customFormat="1" ht="14.25" customHeight="1" x14ac:dyDescent="0.2">
      <c r="B20" s="243" t="s">
        <v>576</v>
      </c>
    </row>
    <row r="21" spans="2:18" ht="14.25" customHeight="1" x14ac:dyDescent="0.2">
      <c r="C21" s="213" t="s">
        <v>579</v>
      </c>
      <c r="D21" s="240"/>
      <c r="E21" s="240"/>
      <c r="F21" s="240"/>
      <c r="G21" s="173"/>
    </row>
    <row r="22" spans="2:18" ht="15.75" customHeight="1" x14ac:dyDescent="0.25">
      <c r="C22" s="166"/>
      <c r="D22" s="167"/>
      <c r="E22" s="241">
        <v>2016</v>
      </c>
      <c r="F22" s="241">
        <v>2017</v>
      </c>
      <c r="G22" s="242">
        <v>2018</v>
      </c>
    </row>
    <row r="23" spans="2:18" ht="16.5" customHeight="1" x14ac:dyDescent="0.2">
      <c r="C23" s="166"/>
      <c r="D23" s="167" t="s">
        <v>91</v>
      </c>
      <c r="E23" s="175">
        <f>'Income Statement'!D49</f>
        <v>4198.6000000000004</v>
      </c>
      <c r="F23" s="175">
        <f>'Income Statement'!E49</f>
        <v>4317.5</v>
      </c>
      <c r="G23" s="175">
        <f>'Income Statement'!F49</f>
        <v>5780</v>
      </c>
    </row>
    <row r="24" spans="2:18" x14ac:dyDescent="0.2">
      <c r="C24" s="166"/>
      <c r="D24" s="167" t="s">
        <v>92</v>
      </c>
      <c r="E24" s="175">
        <f>'Income Statement'!E51</f>
        <v>1432.6</v>
      </c>
      <c r="F24" s="175">
        <f>'Income Statement'!F51</f>
        <v>1262</v>
      </c>
      <c r="G24" s="175">
        <f>'Income Statement'!G51</f>
        <v>711.3</v>
      </c>
    </row>
    <row r="25" spans="2:18" ht="16.5" x14ac:dyDescent="0.3">
      <c r="C25" s="169"/>
      <c r="D25" s="335" t="s">
        <v>210</v>
      </c>
      <c r="E25" s="336">
        <f>E24/E23</f>
        <v>0.34120897442004472</v>
      </c>
      <c r="F25" s="336">
        <f>F24/F23</f>
        <v>0.29229878401852927</v>
      </c>
      <c r="G25" s="337">
        <f>G24/G23</f>
        <v>0.12306228373702421</v>
      </c>
      <c r="H25" t="e">
        <f ca="1">getformula(G25)</f>
        <v>#NAME?</v>
      </c>
    </row>
    <row r="26" spans="2:18" s="243" customFormat="1" x14ac:dyDescent="0.2">
      <c r="B26" s="244" t="s">
        <v>574</v>
      </c>
      <c r="F26" s="244"/>
      <c r="G26" s="244"/>
      <c r="H26" s="244"/>
      <c r="I26" s="244"/>
      <c r="M26" s="244"/>
    </row>
    <row r="27" spans="2:18" ht="15" x14ac:dyDescent="0.25">
      <c r="C27" s="138" t="s">
        <v>578</v>
      </c>
      <c r="D27" s="141"/>
      <c r="E27" s="85"/>
      <c r="F27" s="85"/>
      <c r="G27" s="138"/>
      <c r="H27" s="138"/>
      <c r="J27" t="s">
        <v>590</v>
      </c>
      <c r="N27" s="138"/>
      <c r="R27" t="s">
        <v>614</v>
      </c>
    </row>
    <row r="28" spans="2:18" ht="18" x14ac:dyDescent="0.25">
      <c r="D28" s="177"/>
      <c r="E28" s="178">
        <v>2017</v>
      </c>
      <c r="F28" s="179">
        <v>2018</v>
      </c>
      <c r="G28" s="138"/>
      <c r="K28" s="172" t="s">
        <v>588</v>
      </c>
      <c r="L28" s="190"/>
      <c r="M28" s="190"/>
      <c r="N28" s="190"/>
      <c r="O28" s="190"/>
      <c r="P28" s="191"/>
    </row>
    <row r="29" spans="2:18" ht="28.5" x14ac:dyDescent="0.2">
      <c r="D29" s="176" t="s">
        <v>84</v>
      </c>
      <c r="E29" s="181">
        <f>'Balance Sheet'!E17</f>
        <v>2462.3000000000002</v>
      </c>
      <c r="F29" s="181">
        <f>'Balance Sheet'!F17</f>
        <v>8756.2999999999993</v>
      </c>
      <c r="K29" s="192"/>
      <c r="L29" s="193" t="s">
        <v>39</v>
      </c>
      <c r="M29" s="193" t="s">
        <v>214</v>
      </c>
      <c r="N29" s="194" t="s">
        <v>215</v>
      </c>
      <c r="O29" s="194" t="s">
        <v>525</v>
      </c>
      <c r="P29" s="195" t="s">
        <v>216</v>
      </c>
    </row>
    <row r="30" spans="2:18" x14ac:dyDescent="0.2">
      <c r="D30" s="176" t="s">
        <v>95</v>
      </c>
      <c r="E30" s="181">
        <f>'Balance Sheet'!E18</f>
        <v>228.6</v>
      </c>
      <c r="F30" s="181">
        <f>'Balance Sheet'!F18</f>
        <v>181.5</v>
      </c>
      <c r="K30" s="196" t="s">
        <v>582</v>
      </c>
      <c r="L30" s="197"/>
      <c r="M30" s="198"/>
      <c r="N30" s="199"/>
      <c r="O30" s="200"/>
      <c r="P30" s="201"/>
    </row>
    <row r="31" spans="2:18" x14ac:dyDescent="0.2">
      <c r="D31" s="176" t="s">
        <v>186</v>
      </c>
      <c r="E31" s="180">
        <f>E30+E29</f>
        <v>2690.9</v>
      </c>
      <c r="F31" s="181">
        <f>F30+F29</f>
        <v>8937.7999999999993</v>
      </c>
      <c r="G31" s="188" t="e">
        <f ca="1">getformula(F31)</f>
        <v>#NAME?</v>
      </c>
      <c r="K31" s="196" t="s">
        <v>583</v>
      </c>
      <c r="L31" s="197"/>
      <c r="M31" s="198"/>
      <c r="N31" s="199"/>
      <c r="O31" s="200"/>
      <c r="P31" s="201"/>
    </row>
    <row r="32" spans="2:18" x14ac:dyDescent="0.2">
      <c r="D32" s="176"/>
      <c r="E32" s="180"/>
      <c r="F32" s="181"/>
      <c r="K32" s="196" t="s">
        <v>584</v>
      </c>
      <c r="L32" s="197"/>
      <c r="M32" s="198"/>
      <c r="N32" s="199"/>
      <c r="O32" s="200"/>
      <c r="P32" s="201"/>
    </row>
    <row r="33" spans="2:57" x14ac:dyDescent="0.2">
      <c r="D33" s="182" t="s">
        <v>86</v>
      </c>
      <c r="E33" s="181">
        <f>SUM('Balance Sheet'!E43+'Balance Sheet'!E44)</f>
        <v>1673.5</v>
      </c>
      <c r="F33" s="181">
        <f>SUM('Balance Sheet'!F43+'Balance Sheet'!F44+'Balance Sheet'!F45)</f>
        <v>2563.9</v>
      </c>
      <c r="K33" s="196" t="s">
        <v>585</v>
      </c>
      <c r="L33" s="197"/>
      <c r="M33" s="198"/>
      <c r="N33" s="199"/>
      <c r="O33" s="200"/>
      <c r="P33" s="201"/>
    </row>
    <row r="34" spans="2:57" x14ac:dyDescent="0.2">
      <c r="D34" s="176" t="s">
        <v>87</v>
      </c>
      <c r="E34" s="180">
        <f>'Balance Sheet'!E51</f>
        <v>3932.6</v>
      </c>
      <c r="F34" s="181">
        <f>'Balance Sheet'!F51</f>
        <v>9090.2000000000007</v>
      </c>
      <c r="K34" s="196" t="s">
        <v>586</v>
      </c>
      <c r="L34" s="197"/>
      <c r="M34" s="198"/>
      <c r="N34" s="199"/>
      <c r="O34" s="200"/>
      <c r="P34" s="201"/>
    </row>
    <row r="35" spans="2:57" x14ac:dyDescent="0.2">
      <c r="D35" s="176" t="s">
        <v>187</v>
      </c>
      <c r="E35" s="180">
        <f>E33+E34</f>
        <v>5606.1</v>
      </c>
      <c r="F35" s="181">
        <f>F33+F34</f>
        <v>11654.1</v>
      </c>
      <c r="G35" s="188" t="e">
        <f ca="1">getformula(F35)</f>
        <v>#NAME?</v>
      </c>
      <c r="K35" s="166"/>
      <c r="L35" s="167"/>
      <c r="M35" s="167"/>
      <c r="N35" s="167"/>
      <c r="O35" s="167"/>
      <c r="P35" s="168"/>
    </row>
    <row r="36" spans="2:57" x14ac:dyDescent="0.2">
      <c r="D36" s="176"/>
      <c r="E36" s="180"/>
      <c r="F36" s="181"/>
      <c r="K36" s="166"/>
      <c r="L36" s="167"/>
      <c r="M36" s="167"/>
      <c r="N36" s="167"/>
      <c r="O36" s="167"/>
      <c r="P36" s="168"/>
    </row>
    <row r="37" spans="2:57" ht="14.25" customHeight="1" x14ac:dyDescent="0.2">
      <c r="D37" s="176" t="s">
        <v>17</v>
      </c>
      <c r="E37" s="180">
        <f>E35-E31</f>
        <v>2915.2000000000003</v>
      </c>
      <c r="F37" s="181">
        <f>F35-F31</f>
        <v>2716.3000000000011</v>
      </c>
      <c r="K37" s="166"/>
      <c r="L37" s="167"/>
      <c r="M37" s="167"/>
      <c r="N37" s="167"/>
      <c r="O37" s="167"/>
      <c r="P37" s="168"/>
    </row>
    <row r="38" spans="2:57" x14ac:dyDescent="0.2">
      <c r="D38" s="176" t="s">
        <v>19</v>
      </c>
      <c r="E38" s="180">
        <f>'Income Statement'!F34</f>
        <v>32.700000000000003</v>
      </c>
      <c r="F38" s="181">
        <v>0</v>
      </c>
      <c r="K38" s="166"/>
      <c r="L38" s="167"/>
      <c r="M38" s="167"/>
      <c r="N38" s="167"/>
      <c r="O38" s="167"/>
      <c r="P38" s="168"/>
    </row>
    <row r="39" spans="2:57" x14ac:dyDescent="0.2">
      <c r="D39" s="176" t="s">
        <v>20</v>
      </c>
      <c r="E39" s="180">
        <f>-'Income Statement'!F33</f>
        <v>170.3</v>
      </c>
      <c r="F39" s="181">
        <f>-'Income Statement'!G33</f>
        <v>250.1</v>
      </c>
      <c r="K39" s="166"/>
      <c r="L39" s="167"/>
      <c r="M39" s="167"/>
      <c r="N39" s="167"/>
      <c r="O39" s="167"/>
      <c r="P39" s="168"/>
      <c r="Q39" s="189"/>
    </row>
    <row r="40" spans="2:57" x14ac:dyDescent="0.2">
      <c r="D40" s="176" t="s">
        <v>18</v>
      </c>
      <c r="E40" s="180">
        <f>E39-E38</f>
        <v>137.60000000000002</v>
      </c>
      <c r="F40" s="181">
        <f>F39-F38</f>
        <v>250.1</v>
      </c>
      <c r="K40" s="166"/>
      <c r="L40" s="167"/>
      <c r="M40" s="167"/>
      <c r="N40" s="167"/>
      <c r="O40" s="167"/>
      <c r="P40" s="168"/>
    </row>
    <row r="41" spans="2:57" ht="18.75" x14ac:dyDescent="0.35">
      <c r="D41" s="327" t="s">
        <v>94</v>
      </c>
      <c r="E41" s="328"/>
      <c r="F41" s="329">
        <f>F40/AVERAGE(E37:F37)</f>
        <v>8.8821805913166976E-2</v>
      </c>
      <c r="G41" s="188" t="e">
        <f ca="1">getformula(F41)</f>
        <v>#NAME?</v>
      </c>
      <c r="K41" s="166"/>
      <c r="L41" s="167"/>
      <c r="M41" s="167"/>
      <c r="N41" s="167"/>
      <c r="O41" s="167"/>
      <c r="P41" s="168"/>
    </row>
    <row r="42" spans="2:57" ht="14.25" customHeight="1" x14ac:dyDescent="0.2">
      <c r="D42" s="176"/>
      <c r="E42" s="184"/>
      <c r="F42" s="185"/>
      <c r="K42" s="166" t="s">
        <v>589</v>
      </c>
      <c r="L42" s="167"/>
      <c r="M42" s="167"/>
      <c r="N42" s="167"/>
      <c r="O42" s="167"/>
      <c r="P42" s="168"/>
    </row>
    <row r="43" spans="2:57" x14ac:dyDescent="0.2">
      <c r="D43" s="327" t="s">
        <v>97</v>
      </c>
      <c r="E43" s="328"/>
      <c r="F43" s="329">
        <f>F38/AVERAGE(SUM(F29:F30),SUM(E29:E30))</f>
        <v>0</v>
      </c>
      <c r="G43" s="188" t="e">
        <f t="shared" ref="G43:G44" ca="1" si="0">getformula(F43)</f>
        <v>#NAME?</v>
      </c>
      <c r="K43" s="196" t="s">
        <v>587</v>
      </c>
      <c r="L43" s="197"/>
      <c r="M43" s="197"/>
      <c r="N43" s="167"/>
      <c r="O43" s="167"/>
      <c r="P43" s="168"/>
    </row>
    <row r="44" spans="2:57" x14ac:dyDescent="0.2">
      <c r="D44" s="330" t="s">
        <v>98</v>
      </c>
      <c r="E44" s="331"/>
      <c r="F44" s="332">
        <f>F39/AVERAGE(SUM(F33:F34),SUM(E33:E34))</f>
        <v>2.8979965469693281E-2</v>
      </c>
      <c r="G44" s="188" t="e">
        <f t="shared" ca="1" si="0"/>
        <v>#NAME?</v>
      </c>
      <c r="K44" s="333" t="s">
        <v>528</v>
      </c>
      <c r="L44" s="334" t="e">
        <f>0.0216*LN(L43)+0.0674</f>
        <v>#NUM!</v>
      </c>
      <c r="M44" s="202" t="e">
        <f ca="1">getformula(L44)</f>
        <v>#NAME?</v>
      </c>
      <c r="N44" s="170"/>
      <c r="O44" s="170"/>
      <c r="P44" s="171"/>
    </row>
    <row r="45" spans="2:57" s="243" customFormat="1" x14ac:dyDescent="0.2">
      <c r="B45" s="243" t="s">
        <v>575</v>
      </c>
    </row>
    <row r="46" spans="2:57" x14ac:dyDescent="0.2">
      <c r="C46" t="s">
        <v>580</v>
      </c>
      <c r="H46" s="243" t="s">
        <v>591</v>
      </c>
      <c r="Q46" t="s">
        <v>592</v>
      </c>
      <c r="Z46" s="243" t="s">
        <v>593</v>
      </c>
      <c r="AK46" s="243" t="s">
        <v>600</v>
      </c>
      <c r="AP46" t="s">
        <v>601</v>
      </c>
      <c r="AX46" s="243" t="s">
        <v>603</v>
      </c>
      <c r="BE46" s="243"/>
    </row>
    <row r="47" spans="2:57" ht="18.75" x14ac:dyDescent="0.35">
      <c r="D47" s="204" t="s">
        <v>190</v>
      </c>
      <c r="E47" s="205">
        <v>30</v>
      </c>
      <c r="F47" s="82"/>
      <c r="H47" s="243"/>
      <c r="I47" s="209" t="s">
        <v>21</v>
      </c>
      <c r="J47" s="210" t="s">
        <v>23</v>
      </c>
      <c r="K47" s="138"/>
      <c r="L47" s="134" t="s">
        <v>24</v>
      </c>
      <c r="M47" s="134"/>
      <c r="N47" s="134"/>
      <c r="R47" s="209" t="s">
        <v>21</v>
      </c>
      <c r="S47" s="135" t="s">
        <v>23</v>
      </c>
      <c r="T47" s="138"/>
      <c r="U47" s="134" t="s">
        <v>24</v>
      </c>
      <c r="V47" s="134"/>
      <c r="W47" s="134"/>
      <c r="X47" s="138"/>
      <c r="Z47" s="243"/>
      <c r="AA47" s="213"/>
      <c r="AB47" s="214" t="s">
        <v>22</v>
      </c>
      <c r="AC47" s="214" t="s">
        <v>33</v>
      </c>
      <c r="AD47" s="215" t="s">
        <v>594</v>
      </c>
      <c r="AE47" s="214" t="s">
        <v>35</v>
      </c>
      <c r="AF47" s="216" t="s">
        <v>34</v>
      </c>
      <c r="AG47" s="135"/>
      <c r="AK47" s="243"/>
      <c r="AL47" s="245" t="s">
        <v>595</v>
      </c>
      <c r="AM47" s="246">
        <v>3</v>
      </c>
      <c r="AN47" s="227"/>
      <c r="AO47" s="227"/>
      <c r="AP47" s="228"/>
      <c r="AQ47" s="51" t="s">
        <v>22</v>
      </c>
      <c r="AR47" s="51" t="s">
        <v>33</v>
      </c>
      <c r="AS47" s="51" t="s">
        <v>35</v>
      </c>
      <c r="AT47" s="51" t="s">
        <v>34</v>
      </c>
      <c r="AU47" s="229"/>
      <c r="AV47" s="228"/>
      <c r="AW47" s="230"/>
      <c r="AX47" s="294"/>
      <c r="AY47" s="251" t="s">
        <v>205</v>
      </c>
      <c r="AZ47" s="252">
        <f>CAPM!AZ47</f>
        <v>0</v>
      </c>
      <c r="BA47" s="253" t="e">
        <f ca="1">getformula(AZ47)</f>
        <v>#NAME?</v>
      </c>
      <c r="BB47" s="240"/>
      <c r="BC47" s="240"/>
      <c r="BD47" s="173"/>
      <c r="BE47" s="243"/>
    </row>
    <row r="48" spans="2:57" ht="18.75" x14ac:dyDescent="0.35">
      <c r="D48" s="206" t="s">
        <v>191</v>
      </c>
      <c r="E48" s="207">
        <v>3</v>
      </c>
      <c r="F48" s="82"/>
      <c r="H48" s="243"/>
      <c r="I48" s="209">
        <v>37503</v>
      </c>
      <c r="J48" s="211">
        <v>0.36</v>
      </c>
      <c r="L48" s="135" t="s">
        <v>25</v>
      </c>
      <c r="M48" s="135"/>
      <c r="N48" s="135"/>
      <c r="R48" s="209">
        <v>37182</v>
      </c>
      <c r="S48" s="159">
        <v>0.17499999999999999</v>
      </c>
      <c r="T48" s="138"/>
      <c r="U48" s="135" t="s">
        <v>25</v>
      </c>
      <c r="V48" s="135"/>
      <c r="W48" s="135"/>
      <c r="X48" s="138"/>
      <c r="Z48" s="243"/>
      <c r="AA48" s="403">
        <v>2014</v>
      </c>
      <c r="AB48" s="180">
        <f>-'Cash Flow'!B54</f>
        <v>783.1</v>
      </c>
      <c r="AC48" s="180">
        <f>-'Cash Flow'!B52</f>
        <v>835.9</v>
      </c>
      <c r="AD48" s="404">
        <f>'Cash Flow'!B51</f>
        <v>139.69999999999999</v>
      </c>
      <c r="AE48" s="405"/>
      <c r="AF48" s="181">
        <f>AB48+AC48-AD48-AE48</f>
        <v>1479.3</v>
      </c>
      <c r="AG48" s="138" t="e">
        <f ca="1">getformula(AF48)</f>
        <v>#NAME?</v>
      </c>
      <c r="AK48" s="243"/>
      <c r="AL48" s="247" t="s">
        <v>596</v>
      </c>
      <c r="AM48" s="248">
        <v>0.35</v>
      </c>
      <c r="AN48" s="227"/>
      <c r="AO48" s="227"/>
      <c r="AP48" s="229">
        <v>2007</v>
      </c>
      <c r="AQ48" s="231">
        <v>3307.3</v>
      </c>
      <c r="AR48" s="231">
        <v>1429.7</v>
      </c>
      <c r="AS48" s="231">
        <v>898.6</v>
      </c>
      <c r="AT48" s="231">
        <f>AQ48+AR48-AS48</f>
        <v>3838.4</v>
      </c>
      <c r="AU48" s="228" t="e">
        <f ca="1">getformula(AT48)</f>
        <v>#NAME?</v>
      </c>
      <c r="AV48" s="228"/>
      <c r="AW48" s="230"/>
      <c r="AX48" s="294"/>
      <c r="AY48" s="254" t="s">
        <v>206</v>
      </c>
      <c r="AZ48" s="255">
        <f>'Page 100'!AZ50</f>
        <v>0</v>
      </c>
      <c r="BA48" s="256" t="e">
        <f ca="1">getformula(AZ48)</f>
        <v>#NAME?</v>
      </c>
      <c r="BB48" s="167"/>
      <c r="BC48" s="167"/>
      <c r="BD48" s="168"/>
      <c r="BE48" s="243"/>
    </row>
    <row r="49" spans="4:96" ht="18.75" x14ac:dyDescent="0.35">
      <c r="D49" s="206" t="s">
        <v>189</v>
      </c>
      <c r="E49" s="208">
        <v>0.1</v>
      </c>
      <c r="F49" s="82"/>
      <c r="H49" s="243"/>
      <c r="I49" s="209">
        <v>37594</v>
      </c>
      <c r="J49" s="211">
        <v>0.36</v>
      </c>
      <c r="K49" s="138"/>
      <c r="L49" s="138" t="s">
        <v>26</v>
      </c>
      <c r="M49" s="161">
        <f>(J88/J48)^(1/40)-1</f>
        <v>3.8612023039570342E-3</v>
      </c>
      <c r="N49" s="138" t="e">
        <f ca="1">getformula(M49)</f>
        <v>#NAME?</v>
      </c>
      <c r="R49" s="209">
        <v>37273</v>
      </c>
      <c r="S49" s="159">
        <v>0.17499999999999999</v>
      </c>
      <c r="T49" s="138"/>
      <c r="U49" s="138" t="s">
        <v>26</v>
      </c>
      <c r="V49" s="161">
        <f>(S88/S48)^(1/40)-1</f>
        <v>2.4455255112023178E-2</v>
      </c>
      <c r="W49" s="138" t="e">
        <f ca="1">getformula(V49)</f>
        <v>#NAME?</v>
      </c>
      <c r="X49" s="138"/>
      <c r="Z49" s="243"/>
      <c r="AA49" s="403">
        <v>2015</v>
      </c>
      <c r="AB49" s="180">
        <f>-'Cash Flow'!C54</f>
        <v>928.6</v>
      </c>
      <c r="AC49" s="180">
        <f>-'Cash Flow'!C52</f>
        <v>1511.6</v>
      </c>
      <c r="AD49" s="404">
        <f>'Cash Flow'!C51</f>
        <v>191.8</v>
      </c>
      <c r="AE49" s="405"/>
      <c r="AF49" s="181">
        <f t="shared" ref="AF49:AF52" si="1">AB49+AC49-AD49-AE49</f>
        <v>2248.3999999999996</v>
      </c>
      <c r="AG49" s="138"/>
      <c r="AK49" s="243"/>
      <c r="AL49" s="247" t="s">
        <v>597</v>
      </c>
      <c r="AM49" s="248">
        <v>0.08</v>
      </c>
      <c r="AN49" s="227"/>
      <c r="AO49" s="227"/>
      <c r="AP49" s="229">
        <v>2008</v>
      </c>
      <c r="AQ49" s="231">
        <v>3278.5</v>
      </c>
      <c r="AR49" s="231">
        <v>2725</v>
      </c>
      <c r="AS49" s="231">
        <v>102.3</v>
      </c>
      <c r="AT49" s="231">
        <f t="shared" ref="AT49:AT52" si="2">AQ49+AR49-AS49</f>
        <v>5901.2</v>
      </c>
      <c r="AU49" s="228"/>
      <c r="AV49" s="228"/>
      <c r="AW49" s="230"/>
      <c r="AX49" s="294"/>
      <c r="AY49" s="254" t="s">
        <v>201</v>
      </c>
      <c r="AZ49" s="257">
        <f>'Tax adjusted CAPM'!AZ48</f>
        <v>0</v>
      </c>
      <c r="BA49" s="256" t="e">
        <f ca="1">getformula(AZ49)</f>
        <v>#NAME?</v>
      </c>
      <c r="BB49" s="167"/>
      <c r="BC49" s="167"/>
      <c r="BD49" s="168"/>
      <c r="BE49" s="243"/>
    </row>
    <row r="50" spans="4:96" ht="18.75" x14ac:dyDescent="0.35">
      <c r="D50" s="305" t="s">
        <v>108</v>
      </c>
      <c r="E50" s="306">
        <f>E48*(1+E49)/E47+E49</f>
        <v>0.21000000000000002</v>
      </c>
      <c r="F50" s="203" t="e">
        <f ca="1">getformula(E50)</f>
        <v>#NAME?</v>
      </c>
      <c r="H50" s="243"/>
      <c r="I50" s="209">
        <v>37685</v>
      </c>
      <c r="J50" s="211">
        <v>0.36</v>
      </c>
      <c r="K50" s="138"/>
      <c r="L50" s="138" t="s">
        <v>27</v>
      </c>
      <c r="M50" s="161">
        <f>(1+M49)^4-1</f>
        <v>1.5534493002352878E-2</v>
      </c>
      <c r="N50" s="138" t="e">
        <f ca="1">getformula(M50)</f>
        <v>#NAME?</v>
      </c>
      <c r="R50" s="209">
        <v>37364</v>
      </c>
      <c r="S50" s="159">
        <v>0.17499999999999999</v>
      </c>
      <c r="T50" s="138"/>
      <c r="U50" s="138" t="s">
        <v>27</v>
      </c>
      <c r="V50" s="161">
        <f>(1+V49)^4-1</f>
        <v>0.10146823792965853</v>
      </c>
      <c r="W50" s="138" t="e">
        <f ca="1">getformula(V50)</f>
        <v>#NAME?</v>
      </c>
      <c r="X50" s="138"/>
      <c r="Z50" s="243"/>
      <c r="AA50" s="403">
        <v>2016</v>
      </c>
      <c r="AB50" s="180">
        <f>-'Cash Flow'!D54</f>
        <v>1178</v>
      </c>
      <c r="AC50" s="180">
        <f>-'Cash Flow'!D52</f>
        <v>2101.6</v>
      </c>
      <c r="AD50" s="404">
        <f>'Cash Flow'!D51</f>
        <v>160.69999999999999</v>
      </c>
      <c r="AE50" s="405"/>
      <c r="AF50" s="181">
        <f t="shared" si="1"/>
        <v>3118.9</v>
      </c>
      <c r="AG50" s="138"/>
      <c r="AK50" s="243"/>
      <c r="AL50" s="247" t="s">
        <v>196</v>
      </c>
      <c r="AM50" s="249">
        <v>5</v>
      </c>
      <c r="AN50" s="227"/>
      <c r="AO50" s="227"/>
      <c r="AP50" s="229">
        <v>2009</v>
      </c>
      <c r="AQ50" s="231">
        <v>3215</v>
      </c>
      <c r="AR50" s="231">
        <v>0</v>
      </c>
      <c r="AS50" s="231">
        <v>186</v>
      </c>
      <c r="AT50" s="231">
        <f t="shared" si="2"/>
        <v>3029</v>
      </c>
      <c r="AU50" s="228"/>
      <c r="AV50" s="228"/>
      <c r="AW50" s="230"/>
      <c r="AX50" s="294"/>
      <c r="AY50" s="254" t="s">
        <v>202</v>
      </c>
      <c r="AZ50" s="258">
        <v>0.02</v>
      </c>
      <c r="BA50" s="259" t="s">
        <v>567</v>
      </c>
      <c r="BB50" s="167"/>
      <c r="BC50" s="167"/>
      <c r="BD50" s="168"/>
      <c r="BE50" s="243"/>
    </row>
    <row r="51" spans="4:96" ht="18.75" x14ac:dyDescent="0.35">
      <c r="H51" s="243"/>
      <c r="I51" s="209">
        <v>37776</v>
      </c>
      <c r="J51" s="211">
        <v>0.36</v>
      </c>
      <c r="K51" s="138"/>
      <c r="L51" s="138"/>
      <c r="M51" s="138"/>
      <c r="N51" s="138"/>
      <c r="R51" s="209">
        <v>37455</v>
      </c>
      <c r="S51" s="159">
        <v>0.17499999999999999</v>
      </c>
      <c r="T51" s="138"/>
      <c r="U51" s="138"/>
      <c r="V51" s="138"/>
      <c r="W51" s="138"/>
      <c r="X51" s="138"/>
      <c r="Z51" s="243"/>
      <c r="AA51" s="403">
        <v>2017</v>
      </c>
      <c r="AB51" s="180">
        <f>-'Cash Flow'!E54</f>
        <v>1450.4</v>
      </c>
      <c r="AC51" s="180">
        <f>-'Cash Flow'!E52</f>
        <v>2125.3000000000002</v>
      </c>
      <c r="AD51" s="404">
        <f>'Cash Flow'!E51</f>
        <v>150.80000000000001</v>
      </c>
      <c r="AE51" s="405"/>
      <c r="AF51" s="181">
        <f t="shared" si="1"/>
        <v>3424.9</v>
      </c>
      <c r="AG51" s="138"/>
      <c r="AK51" s="243"/>
      <c r="AL51" s="247" t="s">
        <v>198</v>
      </c>
      <c r="AM51" s="250">
        <v>30</v>
      </c>
      <c r="AN51" s="227"/>
      <c r="AO51" s="227"/>
      <c r="AP51" s="229">
        <v>2010</v>
      </c>
      <c r="AQ51" s="231">
        <v>4734</v>
      </c>
      <c r="AR51" s="231">
        <v>1593</v>
      </c>
      <c r="AS51" s="231">
        <v>363</v>
      </c>
      <c r="AT51" s="231">
        <f t="shared" si="2"/>
        <v>5964</v>
      </c>
      <c r="AU51" s="228"/>
      <c r="AV51" s="228"/>
      <c r="AW51" s="230"/>
      <c r="AX51" s="294"/>
      <c r="AY51" s="254" t="s">
        <v>203</v>
      </c>
      <c r="AZ51" s="257"/>
      <c r="BA51" s="256"/>
      <c r="BB51" s="167"/>
      <c r="BC51" s="167"/>
      <c r="BD51" s="168"/>
      <c r="BE51" s="243"/>
    </row>
    <row r="52" spans="4:96" x14ac:dyDescent="0.2">
      <c r="H52" s="243"/>
      <c r="I52" s="209">
        <v>37853</v>
      </c>
      <c r="J52" s="211">
        <v>2.8759999999999999</v>
      </c>
      <c r="K52" s="138"/>
      <c r="L52" s="135" t="s">
        <v>28</v>
      </c>
      <c r="M52" s="135"/>
      <c r="N52" s="135"/>
      <c r="R52" s="209">
        <v>37546</v>
      </c>
      <c r="S52" s="159">
        <v>0.17499999999999999</v>
      </c>
      <c r="T52" s="138"/>
      <c r="U52" s="135" t="s">
        <v>28</v>
      </c>
      <c r="V52" s="135"/>
      <c r="W52" s="135"/>
      <c r="X52" s="138"/>
      <c r="Z52" s="243"/>
      <c r="AA52" s="403">
        <v>2018</v>
      </c>
      <c r="AB52" s="180">
        <f>-'Cash Flow'!F54</f>
        <v>1743.4</v>
      </c>
      <c r="AC52" s="180">
        <f>-'Cash Flow'!F52</f>
        <v>7196.2</v>
      </c>
      <c r="AD52" s="404">
        <f>'Cash Flow'!F51</f>
        <v>153.9</v>
      </c>
      <c r="AE52" s="405"/>
      <c r="AF52" s="181">
        <f t="shared" si="1"/>
        <v>8785.7000000000007</v>
      </c>
      <c r="AG52" s="138"/>
      <c r="AK52" s="243"/>
      <c r="AL52" s="310" t="s">
        <v>197</v>
      </c>
      <c r="AM52" s="311">
        <f>twostagegordon(AM51,AM47,AM48,5,AM49)</f>
        <v>0.32762527465820313</v>
      </c>
      <c r="AN52" s="227" t="e">
        <f ca="1">getformula(AM52)</f>
        <v>#NAME?</v>
      </c>
      <c r="AO52" s="227"/>
      <c r="AP52" s="229">
        <v>2011</v>
      </c>
      <c r="AQ52" s="231">
        <v>4818</v>
      </c>
      <c r="AR52" s="231">
        <v>1921</v>
      </c>
      <c r="AS52" s="231">
        <v>321</v>
      </c>
      <c r="AT52" s="232">
        <f t="shared" si="2"/>
        <v>6418</v>
      </c>
      <c r="AU52" s="228"/>
      <c r="AV52" s="228"/>
      <c r="AW52" s="230"/>
      <c r="AX52" s="294"/>
      <c r="AY52" s="314" t="s">
        <v>76</v>
      </c>
      <c r="AZ52" s="315">
        <f>AZ50+AZ47*AZ48</f>
        <v>0.02</v>
      </c>
      <c r="BA52" s="256" t="e">
        <f ca="1">getformula(AZ52)</f>
        <v>#NAME?</v>
      </c>
      <c r="BB52" s="167"/>
      <c r="BC52" s="167"/>
      <c r="BD52" s="168"/>
      <c r="BE52" s="243"/>
    </row>
    <row r="53" spans="4:96" x14ac:dyDescent="0.2">
      <c r="H53" s="243"/>
      <c r="I53" s="209">
        <v>37867</v>
      </c>
      <c r="J53" s="211">
        <v>0.37</v>
      </c>
      <c r="K53" s="138"/>
      <c r="L53" s="138" t="s">
        <v>26</v>
      </c>
      <c r="M53" s="161">
        <f>(J88/J68)^(1/20)-1</f>
        <v>5.0167147128883371E-3</v>
      </c>
      <c r="N53" s="138" t="e">
        <f ca="1">getformula(M53)</f>
        <v>#NAME?</v>
      </c>
      <c r="R53" s="209">
        <v>37637</v>
      </c>
      <c r="S53" s="159">
        <v>0.17499999999999999</v>
      </c>
      <c r="T53" s="138"/>
      <c r="U53" s="138" t="s">
        <v>26</v>
      </c>
      <c r="V53" s="161">
        <f>(S88/S68)^(1/20)-1</f>
        <v>2.1602221987682357E-2</v>
      </c>
      <c r="W53" s="138" t="e">
        <f ca="1">getformula(V53)</f>
        <v>#NAME?</v>
      </c>
      <c r="X53" s="138"/>
      <c r="Z53" s="243"/>
      <c r="AA53" s="176"/>
      <c r="AB53" s="184"/>
      <c r="AC53" s="184"/>
      <c r="AD53" s="184"/>
      <c r="AE53" s="184"/>
      <c r="AF53" s="185"/>
      <c r="AK53" s="243"/>
      <c r="AL53" s="227"/>
      <c r="AM53" s="227"/>
      <c r="AN53" s="227"/>
      <c r="AO53" s="227"/>
      <c r="AP53" s="228"/>
      <c r="AQ53" s="228"/>
      <c r="AR53" s="228"/>
      <c r="AS53" s="228"/>
      <c r="AT53" s="228"/>
      <c r="AU53" s="228"/>
      <c r="AV53" s="228"/>
      <c r="AW53" s="230"/>
      <c r="AX53" s="294"/>
      <c r="AY53" s="314" t="s">
        <v>77</v>
      </c>
      <c r="AZ53" s="315">
        <f>AZ50*(1-AZ49)+AZ47*(AZ48+AZ49*AZ50)</f>
        <v>0.02</v>
      </c>
      <c r="BA53" s="256" t="e">
        <f ca="1">getformula(AZ53)</f>
        <v>#NAME?</v>
      </c>
      <c r="BB53" s="167"/>
      <c r="BC53" s="167"/>
      <c r="BD53" s="168"/>
      <c r="BE53" s="243"/>
    </row>
    <row r="54" spans="4:96" x14ac:dyDescent="0.2">
      <c r="H54" s="243"/>
      <c r="I54" s="209">
        <v>37958</v>
      </c>
      <c r="J54" s="211">
        <v>0.37</v>
      </c>
      <c r="K54" s="138"/>
      <c r="L54" s="138" t="s">
        <v>27</v>
      </c>
      <c r="M54" s="161">
        <f>(1+M53)^4-1</f>
        <v>2.0218369075211351E-2</v>
      </c>
      <c r="N54" s="138" t="e">
        <f ca="1">getformula(M54)</f>
        <v>#NAME?</v>
      </c>
      <c r="R54" s="209">
        <v>37727</v>
      </c>
      <c r="S54" s="159">
        <v>0.17499999999999999</v>
      </c>
      <c r="T54" s="138"/>
      <c r="U54" s="143" t="s">
        <v>27</v>
      </c>
      <c r="V54" s="144">
        <f>(1+V53)^4-1</f>
        <v>8.9249364912943996E-2</v>
      </c>
      <c r="W54" s="138" t="e">
        <f ca="1">getformula(V54)</f>
        <v>#NAME?</v>
      </c>
      <c r="X54" s="138"/>
      <c r="Z54" s="243"/>
      <c r="AA54" s="183" t="s">
        <v>36</v>
      </c>
      <c r="AB54" s="217">
        <f>(AF52/AF48)^(1/4)-1</f>
        <v>0.56109749947166998</v>
      </c>
      <c r="AC54" s="184" t="e">
        <f ca="1">getformula(AB54)</f>
        <v>#NAME?</v>
      </c>
      <c r="AD54" s="184"/>
      <c r="AE54" s="184"/>
      <c r="AF54" s="185"/>
      <c r="AK54" s="243"/>
      <c r="AL54" s="227"/>
      <c r="AM54" s="227"/>
      <c r="AN54" s="227"/>
      <c r="AO54" s="227"/>
      <c r="AP54" s="233" t="s">
        <v>36</v>
      </c>
      <c r="AQ54" s="234">
        <f>(AT52/AT48)^(1/4)-1</f>
        <v>0.13713589966372908</v>
      </c>
      <c r="AR54" s="228" t="e">
        <f ca="1">getformula(AQ54)</f>
        <v>#NAME?</v>
      </c>
      <c r="AS54" s="228"/>
      <c r="AT54" s="228"/>
      <c r="AU54" s="228"/>
      <c r="AV54" s="228"/>
      <c r="AW54" s="230"/>
      <c r="AX54" s="294"/>
      <c r="AY54" s="254"/>
      <c r="AZ54" s="260"/>
      <c r="BA54" s="256"/>
      <c r="BB54" s="167"/>
      <c r="BC54" s="167"/>
      <c r="BD54" s="168"/>
      <c r="BE54" s="243"/>
    </row>
    <row r="55" spans="4:96" ht="18.75" customHeight="1" x14ac:dyDescent="0.2">
      <c r="H55" s="243"/>
      <c r="I55" s="209">
        <v>38049</v>
      </c>
      <c r="J55" s="211">
        <v>0.37</v>
      </c>
      <c r="K55" s="138"/>
      <c r="L55" s="138"/>
      <c r="M55" s="138"/>
      <c r="N55" s="138"/>
      <c r="R55" s="209">
        <v>37819</v>
      </c>
      <c r="S55" s="159">
        <v>0.17499999999999999</v>
      </c>
      <c r="T55" s="138"/>
      <c r="U55" s="138"/>
      <c r="V55" s="138"/>
      <c r="W55" s="138"/>
      <c r="X55" s="138"/>
      <c r="Z55" s="243"/>
      <c r="AA55" s="176"/>
      <c r="AB55" s="218"/>
      <c r="AC55" s="184"/>
      <c r="AD55" s="184"/>
      <c r="AE55" s="184"/>
      <c r="AF55" s="185"/>
      <c r="AK55" s="243"/>
      <c r="AL55" s="227"/>
      <c r="AM55" s="227"/>
      <c r="AN55" s="227"/>
      <c r="AO55" s="227"/>
      <c r="AP55" s="228"/>
      <c r="AQ55" s="235"/>
      <c r="AR55" s="228"/>
      <c r="AS55" s="228"/>
      <c r="AT55" s="228"/>
      <c r="AU55" s="228"/>
      <c r="AV55" s="228"/>
      <c r="AW55" s="230"/>
      <c r="AX55" s="294"/>
      <c r="AY55" s="413" t="s">
        <v>602</v>
      </c>
      <c r="AZ55" s="414"/>
      <c r="BA55" s="414"/>
      <c r="BB55" s="414"/>
      <c r="BC55" s="414"/>
      <c r="BD55" s="415"/>
      <c r="BE55" s="243"/>
    </row>
    <row r="56" spans="4:96" ht="18.75" x14ac:dyDescent="0.35">
      <c r="H56" s="243"/>
      <c r="I56" s="209">
        <v>38140</v>
      </c>
      <c r="J56" s="211">
        <v>0.37</v>
      </c>
      <c r="K56" s="138"/>
      <c r="L56" s="138"/>
      <c r="M56" s="138"/>
      <c r="N56" s="138"/>
      <c r="R56" s="209">
        <v>37910</v>
      </c>
      <c r="S56" s="159">
        <v>0.185</v>
      </c>
      <c r="T56" s="138"/>
      <c r="U56" s="134" t="s">
        <v>197</v>
      </c>
      <c r="V56" s="134"/>
      <c r="W56" s="134"/>
      <c r="X56" s="138"/>
      <c r="Z56" s="243"/>
      <c r="AA56" s="219" t="s">
        <v>112</v>
      </c>
      <c r="AB56" s="220"/>
      <c r="AC56" s="221"/>
      <c r="AD56" s="221"/>
      <c r="AE56" s="221"/>
      <c r="AF56" s="185"/>
      <c r="AK56" s="243"/>
      <c r="AL56" s="227"/>
      <c r="AM56" s="227"/>
      <c r="AN56" s="227"/>
      <c r="AO56" s="227"/>
      <c r="AP56" s="239" t="s">
        <v>598</v>
      </c>
      <c r="AQ56" s="239"/>
      <c r="AR56" s="239"/>
      <c r="AS56" s="239"/>
      <c r="AT56" s="239"/>
      <c r="AU56" s="228"/>
      <c r="AV56" s="228"/>
      <c r="AW56" s="230"/>
      <c r="AX56" s="294"/>
      <c r="AY56" s="413"/>
      <c r="AZ56" s="414"/>
      <c r="BA56" s="414"/>
      <c r="BB56" s="414"/>
      <c r="BC56" s="414"/>
      <c r="BD56" s="415"/>
      <c r="BE56" s="243"/>
    </row>
    <row r="57" spans="4:96" ht="18.75" x14ac:dyDescent="0.35">
      <c r="H57" s="243"/>
      <c r="I57" s="209">
        <v>38231</v>
      </c>
      <c r="J57" s="211">
        <v>0.38</v>
      </c>
      <c r="K57" s="138"/>
      <c r="L57" s="138"/>
      <c r="M57" s="138"/>
      <c r="N57" s="138"/>
      <c r="R57" s="209">
        <v>38001</v>
      </c>
      <c r="S57" s="159">
        <v>0.185</v>
      </c>
      <c r="T57" s="138"/>
      <c r="U57" s="138" t="s">
        <v>190</v>
      </c>
      <c r="V57" s="159">
        <v>90.6</v>
      </c>
      <c r="W57" s="138"/>
      <c r="X57" s="138"/>
      <c r="Z57" s="243"/>
      <c r="AA57" s="182" t="s">
        <v>111</v>
      </c>
      <c r="AB57" s="222">
        <f>E8</f>
        <v>1309.0999999999999</v>
      </c>
      <c r="AC57" s="184"/>
      <c r="AD57" s="184"/>
      <c r="AE57" s="184"/>
      <c r="AF57" s="185"/>
      <c r="AK57" s="243"/>
      <c r="AL57" s="227"/>
      <c r="AM57" s="227"/>
      <c r="AN57" s="227"/>
      <c r="AO57" s="227"/>
      <c r="AP57" s="236" t="s">
        <v>111</v>
      </c>
      <c r="AQ57" s="237">
        <f>(3576948356-536109713)/1000000</f>
        <v>3040.838643</v>
      </c>
      <c r="AR57" s="228"/>
      <c r="AS57" s="228"/>
      <c r="AT57" s="228"/>
      <c r="AU57" s="228"/>
      <c r="AV57" s="228"/>
      <c r="AW57" s="230"/>
      <c r="AX57" s="294"/>
      <c r="AY57" s="416"/>
      <c r="AZ57" s="417"/>
      <c r="BA57" s="417"/>
      <c r="BB57" s="417"/>
      <c r="BC57" s="417"/>
      <c r="BD57" s="418"/>
      <c r="BE57" s="243"/>
    </row>
    <row r="58" spans="4:96" ht="18.75" x14ac:dyDescent="0.35">
      <c r="H58" s="243"/>
      <c r="I58" s="209">
        <v>38322</v>
      </c>
      <c r="J58" s="211">
        <v>0.38</v>
      </c>
      <c r="K58" s="138"/>
      <c r="L58" s="138"/>
      <c r="M58" s="138"/>
      <c r="N58" s="138"/>
      <c r="R58" s="209">
        <v>38099</v>
      </c>
      <c r="S58" s="159">
        <v>0.185</v>
      </c>
      <c r="T58" s="138"/>
      <c r="U58" s="138" t="s">
        <v>191</v>
      </c>
      <c r="V58" s="159">
        <v>0.7</v>
      </c>
      <c r="W58" s="138"/>
      <c r="X58" s="138"/>
      <c r="Z58" s="243"/>
      <c r="AA58" s="176" t="s">
        <v>109</v>
      </c>
      <c r="AB58" s="223">
        <f>E9</f>
        <v>50.08</v>
      </c>
      <c r="AC58" s="184"/>
      <c r="AD58" s="184"/>
      <c r="AE58" s="184"/>
      <c r="AF58" s="185"/>
      <c r="AK58" s="243"/>
      <c r="AL58" s="227"/>
      <c r="AM58" s="227"/>
      <c r="AN58" s="227"/>
      <c r="AO58" s="227"/>
      <c r="AP58" s="228" t="s">
        <v>109</v>
      </c>
      <c r="AQ58" s="238">
        <v>41.75</v>
      </c>
      <c r="AR58" s="228"/>
      <c r="AS58" s="228"/>
      <c r="AT58" s="228"/>
      <c r="AU58" s="228"/>
      <c r="AV58" s="228"/>
      <c r="AW58" s="230"/>
      <c r="AX58" s="294"/>
      <c r="AY58" s="243"/>
      <c r="AZ58" s="243"/>
      <c r="BA58" s="243"/>
      <c r="BB58" s="243"/>
      <c r="BC58" s="243"/>
      <c r="BD58" s="243"/>
      <c r="BE58" s="316" t="s">
        <v>604</v>
      </c>
    </row>
    <row r="59" spans="4:96" x14ac:dyDescent="0.2">
      <c r="H59" s="243"/>
      <c r="I59" s="209">
        <v>38413</v>
      </c>
      <c r="J59" s="211">
        <v>0.38</v>
      </c>
      <c r="K59" s="138"/>
      <c r="L59" s="138"/>
      <c r="M59" s="138"/>
      <c r="N59" s="138"/>
      <c r="R59" s="209">
        <v>38184</v>
      </c>
      <c r="S59" s="159">
        <v>0.20499999999999999</v>
      </c>
      <c r="T59" s="138"/>
      <c r="U59" s="138" t="s">
        <v>535</v>
      </c>
      <c r="V59" s="161">
        <f>V54</f>
        <v>8.9249364912943996E-2</v>
      </c>
      <c r="W59" s="138" t="e">
        <f ca="1">getformula(V59)</f>
        <v>#NAME?</v>
      </c>
      <c r="X59" s="138"/>
      <c r="Z59" s="243"/>
      <c r="AA59" s="176" t="s">
        <v>110</v>
      </c>
      <c r="AB59" s="180">
        <f>AB57*AB58</f>
        <v>65559.727999999988</v>
      </c>
      <c r="AC59" s="184" t="e">
        <f ca="1">getformula(AB59)&amp;", $ million"</f>
        <v>#NAME?</v>
      </c>
      <c r="AD59" s="184"/>
      <c r="AE59" s="184"/>
      <c r="AF59" s="185"/>
      <c r="AK59" s="243"/>
      <c r="AL59" s="227"/>
      <c r="AM59" s="227"/>
      <c r="AN59" s="227"/>
      <c r="AO59" s="227"/>
      <c r="AP59" s="228" t="s">
        <v>110</v>
      </c>
      <c r="AQ59" s="232">
        <f>AQ57*AQ58</f>
        <v>126955.01334525</v>
      </c>
      <c r="AR59" s="228" t="e">
        <f ca="1">getformula(AQ59)&amp;", $ million"</f>
        <v>#NAME?</v>
      </c>
      <c r="AS59" s="228"/>
      <c r="AT59" s="228"/>
      <c r="AU59" s="228"/>
      <c r="AV59" s="228"/>
      <c r="AW59" s="230"/>
      <c r="AX59" s="294"/>
      <c r="BE59" s="243"/>
      <c r="BF59" t="s">
        <v>608</v>
      </c>
      <c r="BV59" s="243" t="s">
        <v>610</v>
      </c>
    </row>
    <row r="60" spans="4:96" ht="18.75" x14ac:dyDescent="0.35">
      <c r="H60" s="243"/>
      <c r="I60" s="209">
        <v>38504</v>
      </c>
      <c r="J60" s="211">
        <v>0.38</v>
      </c>
      <c r="K60" s="138"/>
      <c r="L60" s="138"/>
      <c r="M60" s="138"/>
      <c r="N60" s="138"/>
      <c r="R60" s="209">
        <v>38281</v>
      </c>
      <c r="S60" s="159">
        <v>0.20499999999999999</v>
      </c>
      <c r="T60" s="138"/>
      <c r="U60" s="307" t="s">
        <v>536</v>
      </c>
      <c r="V60" s="308">
        <f>V58*(1+V59)/V57+V59</f>
        <v>9.7665198858187488E-2</v>
      </c>
      <c r="W60" s="138" t="e">
        <f ca="1">getformula(V60)</f>
        <v>#NAME?</v>
      </c>
      <c r="X60" s="138"/>
      <c r="Z60" s="243"/>
      <c r="AA60" s="176"/>
      <c r="AB60" s="184"/>
      <c r="AC60" s="184"/>
      <c r="AD60" s="184"/>
      <c r="AE60" s="184"/>
      <c r="AF60" s="185"/>
      <c r="AK60" s="243"/>
      <c r="AL60" s="227"/>
      <c r="AM60" s="227"/>
      <c r="AN60" s="227"/>
      <c r="AO60" s="227"/>
      <c r="AP60" s="228"/>
      <c r="AQ60" s="231"/>
      <c r="AR60" s="228"/>
      <c r="AS60" s="228"/>
      <c r="AT60" s="228"/>
      <c r="AU60" s="228"/>
      <c r="AV60" s="228"/>
      <c r="AW60" s="230"/>
      <c r="AX60" s="294"/>
      <c r="BE60" s="243"/>
      <c r="BG60" s="25" t="s">
        <v>119</v>
      </c>
      <c r="BH60" s="50" t="e">
        <f ca="1">INTERCEPT(BK69:BK128,BL69:BL128)</f>
        <v>#NAME?</v>
      </c>
      <c r="BI60" s="25" t="e">
        <f ca="1">getformula(BH60)</f>
        <v>#NAME?</v>
      </c>
      <c r="BJ60" s="25"/>
      <c r="BK60" s="25"/>
      <c r="BL60" s="25"/>
      <c r="BM60" s="25"/>
      <c r="BN60" s="25"/>
      <c r="BO60" s="410" t="s">
        <v>141</v>
      </c>
      <c r="BP60" s="410"/>
      <c r="BQ60" s="410"/>
      <c r="BR60" s="25"/>
      <c r="BS60" s="25"/>
      <c r="BV60" s="243"/>
      <c r="BW60" s="25" t="s">
        <v>119</v>
      </c>
      <c r="BX60" s="50" t="e">
        <f>INTERCEPT(CA69:CA128,CB69:CB128)</f>
        <v>#VALUE!</v>
      </c>
      <c r="BY60" s="25" t="e">
        <f ca="1">getformula(BX60)</f>
        <v>#NAME?</v>
      </c>
      <c r="BZ60" s="25"/>
      <c r="CA60" s="25"/>
      <c r="CB60" s="25"/>
      <c r="CC60" s="25"/>
      <c r="CD60" s="25"/>
      <c r="CE60" s="100"/>
      <c r="CF60" s="100"/>
      <c r="CG60" s="100"/>
      <c r="CH60" s="100"/>
      <c r="CI60" s="100"/>
      <c r="CJ60" s="100"/>
      <c r="CK60" s="100"/>
      <c r="CL60" s="100"/>
      <c r="CM60" s="100"/>
      <c r="CN60" s="100"/>
      <c r="CO60" s="100"/>
      <c r="CP60" s="100"/>
    </row>
    <row r="61" spans="4:96" ht="18.75" x14ac:dyDescent="0.35">
      <c r="H61" s="243"/>
      <c r="I61" s="209">
        <v>38595</v>
      </c>
      <c r="J61" s="211">
        <v>0.38</v>
      </c>
      <c r="K61" s="138"/>
      <c r="L61" s="138"/>
      <c r="M61" s="138"/>
      <c r="N61" s="138"/>
      <c r="R61" s="209">
        <v>38370</v>
      </c>
      <c r="S61" s="159">
        <v>0.20499999999999999</v>
      </c>
      <c r="T61" s="138"/>
      <c r="U61" s="138"/>
      <c r="V61" s="138"/>
      <c r="W61" s="138"/>
      <c r="X61" s="138"/>
      <c r="Z61" s="243"/>
      <c r="AA61" s="309" t="s">
        <v>108</v>
      </c>
      <c r="AB61" s="406">
        <f>AF52*(1+AB54)/(AB59)+AB54</f>
        <v>0.77030114810651873</v>
      </c>
      <c r="AC61" s="184" t="e">
        <f ca="1">getformula(AB61)</f>
        <v>#NAME?</v>
      </c>
      <c r="AD61" s="184"/>
      <c r="AE61" s="184"/>
      <c r="AF61" s="185"/>
      <c r="AK61" s="243"/>
      <c r="AL61" s="227"/>
      <c r="AM61" s="227"/>
      <c r="AN61" s="227"/>
      <c r="AO61" s="227"/>
      <c r="AP61" s="228" t="s">
        <v>113</v>
      </c>
      <c r="AQ61" s="231"/>
      <c r="AR61" s="228"/>
      <c r="AS61" s="228"/>
      <c r="AT61" s="228"/>
      <c r="AU61" s="228"/>
      <c r="AV61" s="228"/>
      <c r="AW61" s="230"/>
      <c r="AX61" s="294"/>
      <c r="BE61" s="243"/>
      <c r="BG61" s="25" t="s">
        <v>120</v>
      </c>
      <c r="BH61" s="50" t="e">
        <f ca="1">SLOPE(BK69:BK128,BL69:BL128)</f>
        <v>#NAME?</v>
      </c>
      <c r="BI61" s="25" t="e">
        <f ca="1">getformula(BH61)</f>
        <v>#NAME?</v>
      </c>
      <c r="BJ61" s="25"/>
      <c r="BK61" s="25"/>
      <c r="BL61" s="25"/>
      <c r="BM61" s="25"/>
      <c r="BN61" s="25"/>
      <c r="BO61" s="71" t="s">
        <v>142</v>
      </c>
      <c r="BP61" s="72" t="e">
        <f ca="1">_xlfn.COVARIANCE.S(BK69:BK128,BL69:BL128)</f>
        <v>#NAME?</v>
      </c>
      <c r="BQ61" s="25" t="e">
        <f ca="1">getformula(BP61)</f>
        <v>#NAME?</v>
      </c>
      <c r="BR61" s="25"/>
      <c r="BS61" s="25"/>
      <c r="BV61" s="243"/>
      <c r="BW61" s="25" t="s">
        <v>120</v>
      </c>
      <c r="BX61" s="50">
        <f>SLOPE(CA70:CA116,CB70:CB116)</f>
        <v>0.49936295641527195</v>
      </c>
      <c r="BY61" s="25" t="e">
        <f ca="1">getformula(BX61)</f>
        <v>#NAME?</v>
      </c>
      <c r="BZ61" s="25"/>
      <c r="CA61" s="25"/>
      <c r="CB61" s="25"/>
      <c r="CC61" s="25"/>
      <c r="CD61" s="25"/>
      <c r="CE61" s="82"/>
      <c r="CF61" s="82"/>
      <c r="CG61" s="82"/>
      <c r="CH61" s="82"/>
      <c r="CI61" s="82"/>
      <c r="CJ61" s="82"/>
      <c r="CK61" s="82"/>
      <c r="CL61" s="82"/>
      <c r="CM61" s="82"/>
      <c r="CN61" s="100"/>
      <c r="CO61" s="100"/>
      <c r="CP61" s="100"/>
    </row>
    <row r="62" spans="4:96" x14ac:dyDescent="0.2">
      <c r="H62" s="243"/>
      <c r="I62" s="209">
        <v>38686</v>
      </c>
      <c r="J62" s="211">
        <v>0.38</v>
      </c>
      <c r="K62" s="138"/>
      <c r="L62" s="138"/>
      <c r="M62" s="138"/>
      <c r="N62" s="138"/>
      <c r="R62" s="209">
        <v>38463</v>
      </c>
      <c r="S62" s="159">
        <v>0.20499999999999999</v>
      </c>
      <c r="T62" s="138"/>
      <c r="U62" s="138"/>
      <c r="V62" s="138"/>
      <c r="W62" s="138"/>
      <c r="X62" s="138"/>
      <c r="Z62" s="243"/>
      <c r="AA62" s="176"/>
      <c r="AB62" s="184"/>
      <c r="AC62" s="184"/>
      <c r="AD62" s="184"/>
      <c r="AE62" s="184"/>
      <c r="AF62" s="185"/>
      <c r="AK62" s="243"/>
      <c r="AL62" s="227"/>
      <c r="AM62" s="227"/>
      <c r="AN62" s="227"/>
      <c r="AO62" s="227"/>
      <c r="AP62" s="228" t="s">
        <v>115</v>
      </c>
      <c r="AQ62" s="232">
        <v>2</v>
      </c>
      <c r="AR62" s="228"/>
      <c r="AS62" s="228"/>
      <c r="AT62" s="228"/>
      <c r="AU62" s="228"/>
      <c r="AV62" s="228"/>
      <c r="AW62" s="230"/>
      <c r="AX62" s="294"/>
      <c r="BE62" s="243"/>
      <c r="BG62" s="25" t="s">
        <v>121</v>
      </c>
      <c r="BH62" s="50" t="e">
        <f ca="1">RSQ(BK69:BK128,BL69:BL128)</f>
        <v>#NAME?</v>
      </c>
      <c r="BI62" s="25" t="e">
        <f ca="1">getformula(BH62)</f>
        <v>#NAME?</v>
      </c>
      <c r="BJ62" s="25"/>
      <c r="BK62" s="25"/>
      <c r="BL62" s="25"/>
      <c r="BM62" s="25"/>
      <c r="BN62" s="25"/>
      <c r="BO62" s="71" t="s">
        <v>143</v>
      </c>
      <c r="BP62" s="72" t="e">
        <f ca="1">_xlfn.VAR.S(BL69:BL128)</f>
        <v>#NAME?</v>
      </c>
      <c r="BQ62" s="25" t="e">
        <f ca="1">getformula(BP62)</f>
        <v>#NAME?</v>
      </c>
      <c r="BR62" s="25"/>
      <c r="BS62" s="25"/>
      <c r="BV62" s="243"/>
      <c r="BW62" s="25" t="s">
        <v>121</v>
      </c>
      <c r="BX62" s="50" t="e">
        <f>RSQ(CA69:CA128,CB69:CB128)</f>
        <v>#VALUE!</v>
      </c>
      <c r="BY62" s="25" t="e">
        <f ca="1">getformula(BX62)</f>
        <v>#NAME?</v>
      </c>
      <c r="BZ62" s="25"/>
      <c r="CA62" s="25"/>
      <c r="CB62" s="25"/>
      <c r="CC62" s="25"/>
      <c r="CD62" s="25"/>
      <c r="CE62" s="82"/>
      <c r="CF62" s="82"/>
      <c r="CG62" s="82"/>
      <c r="CH62" s="82"/>
      <c r="CI62" s="82"/>
      <c r="CJ62" s="82"/>
      <c r="CK62" s="82"/>
      <c r="CL62" s="82"/>
      <c r="CM62" s="82"/>
      <c r="CN62" s="100"/>
      <c r="CO62" s="100"/>
      <c r="CP62" s="100"/>
    </row>
    <row r="63" spans="4:96" ht="18.75" x14ac:dyDescent="0.35">
      <c r="H63" s="243"/>
      <c r="I63" s="209">
        <v>38784</v>
      </c>
      <c r="J63" s="211">
        <v>0.38</v>
      </c>
      <c r="K63" s="138"/>
      <c r="L63" s="138"/>
      <c r="M63" s="138"/>
      <c r="N63" s="138"/>
      <c r="R63" s="209">
        <v>38553</v>
      </c>
      <c r="S63" s="159">
        <v>0.25</v>
      </c>
      <c r="T63" s="138"/>
      <c r="U63" s="138"/>
      <c r="V63" s="138"/>
      <c r="W63" s="138"/>
      <c r="X63" s="138"/>
      <c r="Z63" s="243"/>
      <c r="AA63" s="176"/>
      <c r="AB63" s="184"/>
      <c r="AC63" s="184"/>
      <c r="AD63" s="184"/>
      <c r="AE63" s="184"/>
      <c r="AF63" s="185"/>
      <c r="AK63" s="243"/>
      <c r="AL63" s="227"/>
      <c r="AM63" s="227"/>
      <c r="AN63" s="227"/>
      <c r="AO63" s="227"/>
      <c r="AP63" s="228" t="s">
        <v>114</v>
      </c>
      <c r="AQ63" s="234">
        <v>0.05</v>
      </c>
      <c r="AR63" s="228" t="s">
        <v>118</v>
      </c>
      <c r="AS63" s="228"/>
      <c r="AT63" s="228" t="s">
        <v>568</v>
      </c>
      <c r="AU63" s="228"/>
      <c r="AV63" s="228"/>
      <c r="AW63" s="230"/>
      <c r="AX63" s="294"/>
      <c r="BE63" s="243"/>
      <c r="BG63" s="25" t="s">
        <v>122</v>
      </c>
      <c r="BH63" s="50" t="e">
        <f>tintercept(BK69:BK128,BL69:BL128)</f>
        <v>#VALUE!</v>
      </c>
      <c r="BI63" s="25" t="e">
        <f ca="1">getformula(BH63)</f>
        <v>#NAME?</v>
      </c>
      <c r="BJ63" s="25"/>
      <c r="BK63" s="25"/>
      <c r="BL63" s="25"/>
      <c r="BM63" s="25"/>
      <c r="BN63" s="25"/>
      <c r="BO63" s="317" t="s">
        <v>120</v>
      </c>
      <c r="BP63" s="318" t="e">
        <f ca="1">BP61/BP62</f>
        <v>#NAME?</v>
      </c>
      <c r="BQ63" s="25" t="e">
        <f ca="1">getformula(BP63)</f>
        <v>#NAME?</v>
      </c>
      <c r="BR63" s="25"/>
      <c r="BS63" s="25"/>
      <c r="BV63" s="243"/>
      <c r="BW63" s="25" t="s">
        <v>122</v>
      </c>
      <c r="BX63" s="50" t="e">
        <f>tintercept(CA69:CA78,CB69:CB78)</f>
        <v>#VALUE!</v>
      </c>
      <c r="BY63" s="25" t="e">
        <f ca="1">getformula(BX63)</f>
        <v>#NAME?</v>
      </c>
      <c r="BZ63" s="25"/>
      <c r="CA63" s="25"/>
      <c r="CB63" s="25"/>
      <c r="CC63" s="25"/>
      <c r="CD63" s="25"/>
      <c r="CE63" s="82" t="s">
        <v>977</v>
      </c>
      <c r="CF63" s="82"/>
      <c r="CG63" s="82"/>
      <c r="CH63" s="82"/>
      <c r="CI63" s="82"/>
      <c r="CJ63" s="82"/>
      <c r="CK63" s="82"/>
      <c r="CL63" s="82"/>
      <c r="CM63" s="82"/>
      <c r="CN63" s="100"/>
      <c r="CO63" s="100"/>
      <c r="CP63" s="29"/>
      <c r="CQ63" s="74"/>
      <c r="CR63" s="74"/>
    </row>
    <row r="64" spans="4:96" x14ac:dyDescent="0.2">
      <c r="H64" s="243"/>
      <c r="I64" s="209">
        <v>38868</v>
      </c>
      <c r="J64" s="211">
        <v>0.38</v>
      </c>
      <c r="K64" s="138"/>
      <c r="L64" s="138"/>
      <c r="M64" s="138"/>
      <c r="N64" s="138"/>
      <c r="R64" s="209">
        <v>38645</v>
      </c>
      <c r="S64" s="159">
        <v>0.25</v>
      </c>
      <c r="T64" s="138"/>
      <c r="U64" s="138"/>
      <c r="V64" s="138"/>
      <c r="W64" s="138"/>
      <c r="X64" s="138"/>
      <c r="Z64" s="243"/>
      <c r="AA64" s="176"/>
      <c r="AB64" s="184"/>
      <c r="AC64" s="184"/>
      <c r="AD64" s="184"/>
      <c r="AE64" s="184"/>
      <c r="AF64" s="185"/>
      <c r="AK64" s="243"/>
      <c r="AL64" s="227"/>
      <c r="AM64" s="227"/>
      <c r="AN64" s="227"/>
      <c r="AO64" s="227"/>
      <c r="AP64" s="228"/>
      <c r="AQ64" s="228"/>
      <c r="AR64" s="228"/>
      <c r="AS64" s="229"/>
      <c r="AT64" s="228"/>
      <c r="AU64" s="228"/>
      <c r="AV64" s="228"/>
      <c r="AW64" s="230"/>
      <c r="AX64" s="294"/>
      <c r="BE64" s="243"/>
      <c r="BG64" s="25" t="s">
        <v>123</v>
      </c>
      <c r="BH64" s="50" t="e">
        <f>tslope(BK69:BK128,BL69:BL128)</f>
        <v>#VALUE!</v>
      </c>
      <c r="BI64" s="25" t="e">
        <f ca="1">getformula(BH64)</f>
        <v>#NAME?</v>
      </c>
      <c r="BJ64" s="25"/>
      <c r="BK64" s="25"/>
      <c r="BL64" s="25"/>
      <c r="BM64" s="25"/>
      <c r="BN64" s="25"/>
      <c r="BO64" s="71"/>
      <c r="BP64" s="25"/>
      <c r="BQ64" s="25"/>
      <c r="BR64" s="25"/>
      <c r="BS64" s="25"/>
      <c r="BV64" s="243"/>
      <c r="BW64" s="25" t="s">
        <v>123</v>
      </c>
      <c r="BX64" s="50" t="e">
        <f>tslope(CA69:CA78,CB69:CB78)</f>
        <v>#VALUE!</v>
      </c>
      <c r="BY64" s="25" t="e">
        <f ca="1">getformula(BX64)</f>
        <v>#NAME?</v>
      </c>
      <c r="BZ64" s="25"/>
      <c r="CA64" s="25"/>
      <c r="CB64" s="25"/>
      <c r="CC64" s="25"/>
      <c r="CD64" s="25"/>
      <c r="CE64" s="82"/>
      <c r="CF64" s="82"/>
      <c r="CG64" s="82"/>
      <c r="CH64" s="82"/>
      <c r="CI64" s="82"/>
      <c r="CJ64" s="82"/>
      <c r="CK64" s="82"/>
      <c r="CL64" s="82"/>
      <c r="CM64" s="82"/>
      <c r="CN64" s="100"/>
      <c r="CO64" s="100"/>
      <c r="CP64" s="29"/>
      <c r="CQ64" s="74"/>
      <c r="CR64" s="74"/>
    </row>
    <row r="65" spans="8:96" ht="19.5" thickBot="1" x14ac:dyDescent="0.4">
      <c r="H65" s="243"/>
      <c r="I65" s="209">
        <v>38959</v>
      </c>
      <c r="J65" s="211">
        <v>0.38</v>
      </c>
      <c r="K65" s="138"/>
      <c r="L65" s="138"/>
      <c r="M65" s="138"/>
      <c r="N65" s="138"/>
      <c r="R65" s="209">
        <v>38735</v>
      </c>
      <c r="S65" s="159">
        <v>0.25</v>
      </c>
      <c r="T65" s="138"/>
      <c r="U65" s="138"/>
      <c r="V65" s="138"/>
      <c r="W65" s="138"/>
      <c r="X65" s="138"/>
      <c r="Z65" s="243"/>
      <c r="AA65" s="176"/>
      <c r="AB65" s="184"/>
      <c r="AC65" s="184"/>
      <c r="AD65" s="184"/>
      <c r="AE65" s="184"/>
      <c r="AF65" s="185"/>
      <c r="AK65" s="243"/>
      <c r="AL65" s="227"/>
      <c r="AM65" s="227"/>
      <c r="AN65" s="227"/>
      <c r="AO65" s="227"/>
      <c r="AP65" s="312" t="s">
        <v>599</v>
      </c>
      <c r="AQ65" s="313">
        <f>twostagegordon(AQ59,AT52,AQ54,AQ62,AQ63)</f>
        <v>0.11198806762695313</v>
      </c>
      <c r="AR65" s="228" t="e">
        <f ca="1">getformula(AQ65)</f>
        <v>#NAME?</v>
      </c>
      <c r="AS65" s="228"/>
      <c r="AT65" s="228"/>
      <c r="AU65" s="228"/>
      <c r="AV65" s="228"/>
      <c r="AW65" s="230"/>
      <c r="AX65" s="294"/>
      <c r="BE65" s="243"/>
      <c r="BG65" s="25"/>
      <c r="BH65" s="50"/>
      <c r="BI65" s="25"/>
      <c r="BJ65" s="25"/>
      <c r="BK65" s="25"/>
      <c r="BL65" s="25"/>
      <c r="BM65" s="25"/>
      <c r="BN65" s="25"/>
      <c r="BO65" s="71"/>
      <c r="BP65" s="25"/>
      <c r="BQ65" s="25"/>
      <c r="BR65" s="25"/>
      <c r="BS65" s="25"/>
      <c r="BV65" s="243"/>
      <c r="BW65" s="25"/>
      <c r="BX65" s="50"/>
      <c r="BY65" s="25"/>
      <c r="BZ65" s="25"/>
      <c r="CA65" s="25"/>
      <c r="CB65" s="25"/>
      <c r="CC65" s="25"/>
      <c r="CD65" s="25"/>
      <c r="CE65" s="82" t="s">
        <v>978</v>
      </c>
      <c r="CF65" s="82"/>
      <c r="CG65" s="82"/>
      <c r="CH65" s="82"/>
      <c r="CI65" s="82"/>
      <c r="CJ65" s="82"/>
      <c r="CK65" s="82"/>
      <c r="CL65" s="82"/>
      <c r="CM65" s="82"/>
      <c r="CN65" s="100"/>
      <c r="CO65" s="100"/>
      <c r="CP65" s="29"/>
      <c r="CQ65" s="74"/>
      <c r="CR65" s="74"/>
    </row>
    <row r="66" spans="8:96" x14ac:dyDescent="0.2">
      <c r="H66" s="243"/>
      <c r="I66" s="209">
        <v>39057</v>
      </c>
      <c r="J66" s="211">
        <v>0.38</v>
      </c>
      <c r="K66" s="138"/>
      <c r="L66" s="138"/>
      <c r="M66" s="138"/>
      <c r="N66" s="138"/>
      <c r="R66" s="209">
        <v>38827</v>
      </c>
      <c r="S66" s="159">
        <v>0.25</v>
      </c>
      <c r="T66" s="138"/>
      <c r="U66" s="138"/>
      <c r="V66" s="138"/>
      <c r="W66" s="138"/>
      <c r="X66" s="138"/>
      <c r="Z66" s="243"/>
      <c r="AA66" s="176"/>
      <c r="AB66" s="184"/>
      <c r="AC66" s="184"/>
      <c r="AD66" s="184"/>
      <c r="AE66" s="184"/>
      <c r="AF66" s="185"/>
      <c r="AK66" s="243"/>
      <c r="AL66" s="230"/>
      <c r="AM66" s="230"/>
      <c r="AN66" s="230"/>
      <c r="AO66" s="230"/>
      <c r="AP66" s="230"/>
      <c r="AQ66" s="230"/>
      <c r="AR66" s="230"/>
      <c r="AS66" s="230"/>
      <c r="AT66" s="230"/>
      <c r="AU66" s="230"/>
      <c r="AV66" s="230"/>
      <c r="AW66" s="230"/>
      <c r="AX66" s="294"/>
      <c r="BE66" s="243"/>
      <c r="BG66" s="25"/>
      <c r="BH66" s="411" t="s">
        <v>124</v>
      </c>
      <c r="BI66" s="411"/>
      <c r="BJ66" s="25"/>
      <c r="BK66" s="411" t="s">
        <v>125</v>
      </c>
      <c r="BL66" s="411"/>
      <c r="BM66" s="25"/>
      <c r="BN66" s="25"/>
      <c r="BO66" s="71"/>
      <c r="BP66" s="25"/>
      <c r="BQ66" s="25"/>
      <c r="BR66" s="25"/>
      <c r="BS66" s="25"/>
      <c r="BV66" s="243"/>
      <c r="BW66" s="25"/>
      <c r="BX66" s="411" t="s">
        <v>124</v>
      </c>
      <c r="BY66" s="411"/>
      <c r="BZ66" s="25"/>
      <c r="CA66" s="411" t="s">
        <v>125</v>
      </c>
      <c r="CB66" s="411"/>
      <c r="CC66" s="25"/>
      <c r="CD66" s="25"/>
      <c r="CE66" s="104" t="s">
        <v>979</v>
      </c>
      <c r="CF66" s="104" t="s">
        <v>980</v>
      </c>
      <c r="CG66" s="104" t="s">
        <v>981</v>
      </c>
      <c r="CH66" s="104" t="s">
        <v>982</v>
      </c>
      <c r="CI66" s="104" t="s">
        <v>983</v>
      </c>
      <c r="CJ66" s="82"/>
      <c r="CK66" s="82"/>
      <c r="CL66" s="82"/>
      <c r="CM66" s="82"/>
      <c r="CN66" s="100"/>
      <c r="CO66" s="100"/>
      <c r="CP66" s="29"/>
      <c r="CQ66" s="407"/>
      <c r="CR66" s="408"/>
    </row>
    <row r="67" spans="8:96" x14ac:dyDescent="0.2">
      <c r="H67" s="243"/>
      <c r="I67" s="209">
        <v>39148</v>
      </c>
      <c r="J67" s="211">
        <v>0.38</v>
      </c>
      <c r="K67" s="138"/>
      <c r="L67" s="138"/>
      <c r="M67" s="138"/>
      <c r="N67" s="138"/>
      <c r="R67" s="209">
        <v>38916</v>
      </c>
      <c r="S67" s="159">
        <v>0.3</v>
      </c>
      <c r="T67" s="138"/>
      <c r="U67" s="138"/>
      <c r="V67" s="138"/>
      <c r="W67" s="138"/>
      <c r="X67" s="138"/>
      <c r="Z67" s="243"/>
      <c r="AA67" s="176"/>
      <c r="AB67" s="184"/>
      <c r="AC67" s="184"/>
      <c r="AD67" s="184"/>
      <c r="AE67" s="184"/>
      <c r="AF67" s="185"/>
      <c r="AK67" s="243"/>
      <c r="AL67" s="230"/>
      <c r="AM67" s="230"/>
      <c r="AN67" s="230"/>
      <c r="AO67" s="230"/>
      <c r="AP67" s="230"/>
      <c r="AQ67" s="230"/>
      <c r="AR67" s="230"/>
      <c r="AS67" s="230"/>
      <c r="AT67" s="230"/>
      <c r="AU67" s="230"/>
      <c r="AV67" s="230"/>
      <c r="AW67" s="230"/>
      <c r="AX67" s="294"/>
      <c r="BE67" s="243"/>
      <c r="BG67" s="30" t="s">
        <v>21</v>
      </c>
      <c r="BH67" s="30" t="s">
        <v>139</v>
      </c>
      <c r="BI67" s="30" t="s">
        <v>126</v>
      </c>
      <c r="BJ67" s="25"/>
      <c r="BK67" s="30" t="s">
        <v>139</v>
      </c>
      <c r="BL67" s="30" t="s">
        <v>126</v>
      </c>
      <c r="BM67" s="25"/>
      <c r="BN67" s="25"/>
      <c r="BO67" s="71"/>
      <c r="BP67" s="412" t="e">
        <f ca="1">"Cells "&amp;CHAR(COLUMN(BP71)+64)&amp;ROW(BP71)&amp;":"&amp;CHAR(COLUMN(BQ75)+64)&amp;ROW(BQ75)&amp;"created with the formula "&amp;ggetformula(BP71)</f>
        <v>#NAME?</v>
      </c>
      <c r="BQ67" s="412"/>
      <c r="BR67" s="25"/>
      <c r="BS67" s="25"/>
      <c r="BV67" s="243"/>
      <c r="BW67" t="s">
        <v>21</v>
      </c>
      <c r="BX67" t="s">
        <v>976</v>
      </c>
      <c r="BY67" s="30" t="s">
        <v>126</v>
      </c>
      <c r="BZ67" s="25"/>
      <c r="CA67" s="30" t="s">
        <v>139</v>
      </c>
      <c r="CB67" s="30" t="s">
        <v>126</v>
      </c>
      <c r="CC67" s="25"/>
      <c r="CD67" s="25"/>
      <c r="CE67" s="102" t="s">
        <v>984</v>
      </c>
      <c r="CF67" s="102">
        <v>47</v>
      </c>
      <c r="CG67" s="102">
        <v>0.22731546129934502</v>
      </c>
      <c r="CH67" s="102">
        <v>4.8364991765818093E-3</v>
      </c>
      <c r="CI67" s="102">
        <v>2.5276841145873857E-3</v>
      </c>
      <c r="CJ67" s="82"/>
      <c r="CK67" s="82"/>
      <c r="CL67" s="82"/>
      <c r="CM67" s="82"/>
      <c r="CN67" s="100"/>
      <c r="CO67" s="100"/>
      <c r="CP67" s="29"/>
      <c r="CQ67" s="407"/>
      <c r="CR67" s="408"/>
    </row>
    <row r="68" spans="8:96" ht="15.75" thickBot="1" x14ac:dyDescent="0.25">
      <c r="H68" s="243"/>
      <c r="I68" s="209">
        <v>39239</v>
      </c>
      <c r="J68" s="211">
        <v>0.38</v>
      </c>
      <c r="K68" s="138"/>
      <c r="L68" s="138"/>
      <c r="M68" s="138"/>
      <c r="N68" s="138"/>
      <c r="R68" s="209">
        <v>39009</v>
      </c>
      <c r="S68" s="159">
        <v>0.3</v>
      </c>
      <c r="T68" s="138"/>
      <c r="U68" s="138"/>
      <c r="V68" s="138"/>
      <c r="W68" s="138"/>
      <c r="X68" s="138"/>
      <c r="Z68" s="243"/>
      <c r="AA68" s="176"/>
      <c r="AB68" s="184"/>
      <c r="AC68" s="184"/>
      <c r="AD68" s="184"/>
      <c r="AE68" s="184"/>
      <c r="AF68" s="185"/>
      <c r="AK68" s="243"/>
      <c r="AX68" s="243"/>
      <c r="BE68" s="243"/>
      <c r="BG68" s="38">
        <v>39234</v>
      </c>
      <c r="BH68" s="15">
        <v>39.9</v>
      </c>
      <c r="BI68" s="15">
        <v>1503.35</v>
      </c>
      <c r="BJ68" s="25"/>
      <c r="BK68" s="25"/>
      <c r="BL68" s="25"/>
      <c r="BM68" s="25"/>
      <c r="BN68" s="25"/>
      <c r="BO68" s="26"/>
      <c r="BP68" s="412"/>
      <c r="BQ68" s="412"/>
      <c r="BR68" s="25"/>
      <c r="BS68" s="25"/>
      <c r="BV68" s="243"/>
      <c r="BW68" s="21">
        <v>41821</v>
      </c>
      <c r="BX68" s="82" t="s">
        <v>975</v>
      </c>
      <c r="BY68" s="82" t="s">
        <v>975</v>
      </c>
      <c r="BZ68" s="100"/>
      <c r="CA68" s="25"/>
      <c r="CB68" s="25"/>
      <c r="CC68" s="25"/>
      <c r="CD68" s="25"/>
      <c r="CE68" s="103" t="s">
        <v>985</v>
      </c>
      <c r="CF68" s="103">
        <v>47</v>
      </c>
      <c r="CG68" s="103">
        <v>0.33766701372893754</v>
      </c>
      <c r="CH68" s="103">
        <v>7.1844045474242033E-3</v>
      </c>
      <c r="CI68" s="103">
        <v>7.9467030594287361E-4</v>
      </c>
      <c r="CJ68" s="82"/>
      <c r="CK68" s="82"/>
      <c r="CL68" s="82"/>
      <c r="CM68" s="82"/>
      <c r="CN68" s="100"/>
      <c r="CO68" s="100"/>
      <c r="CP68" s="29"/>
      <c r="CQ68" s="407"/>
      <c r="CR68" s="409"/>
    </row>
    <row r="69" spans="8:96" x14ac:dyDescent="0.2">
      <c r="H69" s="243"/>
      <c r="I69" s="209">
        <v>39330</v>
      </c>
      <c r="J69" s="211">
        <v>0.38</v>
      </c>
      <c r="K69" s="138"/>
      <c r="L69" s="138"/>
      <c r="M69" s="138"/>
      <c r="N69" s="138"/>
      <c r="R69" s="209">
        <v>39100</v>
      </c>
      <c r="S69" s="159">
        <v>0.3</v>
      </c>
      <c r="T69" s="138"/>
      <c r="U69" s="138"/>
      <c r="V69" s="138"/>
      <c r="W69" s="138"/>
      <c r="X69" s="138"/>
      <c r="Z69" s="243"/>
      <c r="AA69" s="176"/>
      <c r="AB69" s="184"/>
      <c r="AC69" s="184"/>
      <c r="AD69" s="184"/>
      <c r="AE69" s="184"/>
      <c r="AF69" s="185"/>
      <c r="AK69" s="243"/>
      <c r="AX69" s="243"/>
      <c r="BE69" s="243"/>
      <c r="BG69" s="38">
        <v>39265</v>
      </c>
      <c r="BH69" s="15">
        <v>39.78</v>
      </c>
      <c r="BI69" s="15">
        <v>1455.27</v>
      </c>
      <c r="BJ69" s="25"/>
      <c r="BK69" s="37">
        <f>LN(BH69/BH68)</f>
        <v>-3.0120504699916095E-3</v>
      </c>
      <c r="BL69" s="37">
        <f>LN(BI69/BI68)</f>
        <v>-3.2504500841186675E-2</v>
      </c>
      <c r="BM69" s="25" t="e">
        <f ca="1">getformula(BL69)</f>
        <v>#NAME?</v>
      </c>
      <c r="BN69" s="25"/>
      <c r="BO69" s="26"/>
      <c r="BP69" s="412"/>
      <c r="BQ69" s="412"/>
      <c r="BR69" s="25"/>
      <c r="BS69" s="25"/>
      <c r="BV69" s="243"/>
      <c r="BW69" s="21">
        <v>41852</v>
      </c>
      <c r="BX69" s="82">
        <v>38.75</v>
      </c>
      <c r="BY69" s="82">
        <v>1929.8000489999999</v>
      </c>
      <c r="BZ69" s="100"/>
      <c r="CA69" s="37" t="e">
        <f t="shared" ref="CA69:CA78" si="3">LN(BX69/BX68)</f>
        <v>#VALUE!</v>
      </c>
      <c r="CB69" s="37" t="e">
        <f t="shared" ref="CB69:CB78" si="4">LN(BY69/BY68)</f>
        <v>#VALUE!</v>
      </c>
      <c r="CC69" s="25" t="e">
        <f ca="1">getformula(CB69)</f>
        <v>#NAME?</v>
      </c>
      <c r="CD69" s="25"/>
      <c r="CE69" s="82"/>
      <c r="CF69" s="82"/>
      <c r="CG69" s="82"/>
      <c r="CH69" s="82"/>
      <c r="CI69" s="82"/>
      <c r="CJ69" s="82"/>
      <c r="CK69" s="82"/>
      <c r="CL69" s="82"/>
      <c r="CM69" s="82"/>
      <c r="CN69" s="100"/>
      <c r="CO69" s="100"/>
      <c r="CP69" s="29"/>
      <c r="CQ69" s="407"/>
      <c r="CR69" s="408"/>
    </row>
    <row r="70" spans="8:96" x14ac:dyDescent="0.2">
      <c r="H70" s="243"/>
      <c r="I70" s="209">
        <v>39421</v>
      </c>
      <c r="J70" s="211">
        <v>0.38</v>
      </c>
      <c r="K70" s="138"/>
      <c r="L70" s="138"/>
      <c r="M70" s="138"/>
      <c r="N70" s="138"/>
      <c r="R70" s="209">
        <v>39191</v>
      </c>
      <c r="S70" s="159">
        <v>0.3</v>
      </c>
      <c r="T70" s="138"/>
      <c r="U70" s="138"/>
      <c r="V70" s="138"/>
      <c r="W70" s="138"/>
      <c r="X70" s="138"/>
      <c r="Z70" s="243"/>
      <c r="AA70" s="176"/>
      <c r="AB70" s="184"/>
      <c r="AC70" s="184"/>
      <c r="AD70" s="184"/>
      <c r="AE70" s="184"/>
      <c r="AF70" s="185"/>
      <c r="AK70" s="243"/>
      <c r="AX70" s="243"/>
      <c r="BE70" s="243"/>
      <c r="BG70" s="38">
        <v>39295</v>
      </c>
      <c r="BH70" s="15">
        <v>40.200000000000003</v>
      </c>
      <c r="BI70" s="15">
        <v>1473.99</v>
      </c>
      <c r="BJ70" s="25"/>
      <c r="BK70" s="37">
        <f t="shared" ref="BK70:BL73" si="5">LN(BH70/BH69)</f>
        <v>1.05027221991492E-2</v>
      </c>
      <c r="BL70" s="37">
        <f t="shared" si="5"/>
        <v>1.2781559065278813E-2</v>
      </c>
      <c r="BM70" s="25" t="e">
        <f ca="1">getformula(BL70)</f>
        <v>#NAME?</v>
      </c>
      <c r="BN70" s="25"/>
      <c r="BO70" s="26"/>
      <c r="BP70" s="30" t="s">
        <v>127</v>
      </c>
      <c r="BQ70" s="30" t="s">
        <v>128</v>
      </c>
      <c r="BR70" s="25"/>
      <c r="BS70" s="25"/>
      <c r="BV70" s="243"/>
      <c r="BW70" s="21">
        <v>41883</v>
      </c>
      <c r="BX70" s="82">
        <v>38.849997999999999</v>
      </c>
      <c r="BY70" s="82">
        <v>2004.0699460000001</v>
      </c>
      <c r="BZ70" s="100"/>
      <c r="CA70" s="37">
        <f t="shared" si="3"/>
        <v>2.577269534247677E-3</v>
      </c>
      <c r="CB70" s="37">
        <f t="shared" si="4"/>
        <v>3.7763689811750628E-2</v>
      </c>
      <c r="CC70" s="25" t="e">
        <f ca="1">getformula(CB70)</f>
        <v>#NAME?</v>
      </c>
      <c r="CD70" s="25"/>
      <c r="CE70" s="82"/>
      <c r="CF70" s="82"/>
      <c r="CG70" s="82"/>
      <c r="CH70" s="82"/>
      <c r="CI70" s="82"/>
      <c r="CJ70" s="82"/>
      <c r="CK70" s="82"/>
      <c r="CL70" s="82"/>
      <c r="CM70" s="82"/>
      <c r="CN70" s="100"/>
      <c r="CO70" s="100"/>
      <c r="CP70" s="29"/>
      <c r="CQ70" s="407"/>
      <c r="CR70" s="408"/>
    </row>
    <row r="71" spans="8:96" ht="15" thickBot="1" x14ac:dyDescent="0.25">
      <c r="H71" s="243"/>
      <c r="I71" s="209">
        <v>39512</v>
      </c>
      <c r="J71" s="211">
        <v>0.38</v>
      </c>
      <c r="K71" s="138"/>
      <c r="L71" s="138"/>
      <c r="M71" s="138"/>
      <c r="N71" s="138"/>
      <c r="R71" s="209">
        <v>39281</v>
      </c>
      <c r="S71" s="159">
        <v>0.36</v>
      </c>
      <c r="T71" s="138"/>
      <c r="U71" s="138"/>
      <c r="V71" s="138"/>
      <c r="W71" s="138"/>
      <c r="X71" s="138"/>
      <c r="Z71" s="243"/>
      <c r="AA71" s="224"/>
      <c r="AB71" s="225"/>
      <c r="AC71" s="225"/>
      <c r="AD71" s="225"/>
      <c r="AE71" s="225"/>
      <c r="AF71" s="226"/>
      <c r="AK71" s="243"/>
      <c r="AX71" s="243"/>
      <c r="BE71" s="243"/>
      <c r="BG71" s="38">
        <v>39329</v>
      </c>
      <c r="BH71" s="15">
        <v>41.73</v>
      </c>
      <c r="BI71" s="15">
        <v>1526.75</v>
      </c>
      <c r="BJ71" s="25"/>
      <c r="BK71" s="37">
        <f t="shared" si="5"/>
        <v>3.7353298978485779E-2</v>
      </c>
      <c r="BL71" s="37">
        <f t="shared" si="5"/>
        <v>3.5168283637491062E-2</v>
      </c>
      <c r="BM71" s="25" t="e">
        <f ca="1">getformula(BL71)</f>
        <v>#NAME?</v>
      </c>
      <c r="BN71" s="25"/>
      <c r="BO71" s="26" t="s">
        <v>129</v>
      </c>
      <c r="BP71" s="65" t="e">
        <f t="array" ref="BP71:BQ75">LINEST(BK69:BK128,BL69:BL128,,1)</f>
        <v>#VALUE!</v>
      </c>
      <c r="BQ71" s="66" t="e">
        <v>#VALUE!</v>
      </c>
      <c r="BR71" s="25" t="s">
        <v>130</v>
      </c>
      <c r="BS71" s="25"/>
      <c r="BV71" s="243"/>
      <c r="BW71" s="21">
        <v>41913</v>
      </c>
      <c r="BX71" s="82">
        <v>37.840000000000003</v>
      </c>
      <c r="BY71" s="82">
        <v>1971.4399410000001</v>
      </c>
      <c r="BZ71" s="100"/>
      <c r="CA71" s="37">
        <f t="shared" si="3"/>
        <v>-2.6341281149926055E-2</v>
      </c>
      <c r="CB71" s="37">
        <f t="shared" si="4"/>
        <v>-1.6415875542000163E-2</v>
      </c>
      <c r="CC71" s="25" t="e">
        <f ca="1">getformula(CB71)</f>
        <v>#NAME?</v>
      </c>
      <c r="CD71" s="25"/>
      <c r="CE71" s="82" t="s">
        <v>151</v>
      </c>
      <c r="CF71" s="82"/>
      <c r="CG71" s="82"/>
      <c r="CH71" s="82"/>
      <c r="CI71" s="82"/>
      <c r="CJ71" s="82"/>
      <c r="CK71" s="82"/>
      <c r="CL71" s="82"/>
      <c r="CM71" s="82"/>
      <c r="CN71" s="100"/>
      <c r="CO71" s="100"/>
      <c r="CP71" s="29"/>
      <c r="CQ71" s="407"/>
      <c r="CR71" s="408"/>
    </row>
    <row r="72" spans="8:96" ht="15" x14ac:dyDescent="0.2">
      <c r="H72" s="243"/>
      <c r="I72" s="209">
        <v>39603</v>
      </c>
      <c r="J72" s="211">
        <v>0.38</v>
      </c>
      <c r="K72" s="138"/>
      <c r="L72" s="138"/>
      <c r="M72" s="138"/>
      <c r="N72" s="138"/>
      <c r="R72" s="209">
        <v>39373</v>
      </c>
      <c r="S72" s="159">
        <v>0.36</v>
      </c>
      <c r="T72" s="138"/>
      <c r="U72" s="138"/>
      <c r="V72" s="138"/>
      <c r="W72" s="138"/>
      <c r="X72" s="138"/>
      <c r="Z72" s="243"/>
      <c r="AA72" s="138"/>
      <c r="AB72" s="138"/>
      <c r="AC72" s="138"/>
      <c r="AD72" s="138"/>
      <c r="AE72" s="138"/>
      <c r="AF72" s="138"/>
      <c r="AK72" s="243"/>
      <c r="AX72" s="243"/>
      <c r="BE72" s="243"/>
      <c r="BG72" s="38">
        <v>39356</v>
      </c>
      <c r="BH72" s="15">
        <v>47.04</v>
      </c>
      <c r="BI72" s="15">
        <v>1549.38</v>
      </c>
      <c r="BJ72" s="25"/>
      <c r="BK72" s="37">
        <f t="shared" si="5"/>
        <v>0.11977800898691028</v>
      </c>
      <c r="BL72" s="37">
        <f t="shared" si="5"/>
        <v>1.4713557788708606E-2</v>
      </c>
      <c r="BM72" s="25"/>
      <c r="BN72" s="25"/>
      <c r="BO72" s="26" t="s">
        <v>131</v>
      </c>
      <c r="BP72" s="67" t="e">
        <v>#VALUE!</v>
      </c>
      <c r="BQ72" s="68" t="e">
        <v>#VALUE!</v>
      </c>
      <c r="BR72" s="25" t="s">
        <v>132</v>
      </c>
      <c r="BS72" s="25"/>
      <c r="BV72" s="243"/>
      <c r="BW72" s="21">
        <v>41944</v>
      </c>
      <c r="BX72" s="82">
        <v>37.985000999999997</v>
      </c>
      <c r="BY72" s="82">
        <v>2018.209961</v>
      </c>
      <c r="BZ72" s="100"/>
      <c r="CA72" s="37">
        <f t="shared" si="3"/>
        <v>3.824627097688162E-3</v>
      </c>
      <c r="CB72" s="37">
        <f t="shared" si="4"/>
        <v>2.3446750357148594E-2</v>
      </c>
      <c r="CC72" s="25"/>
      <c r="CD72" s="25"/>
      <c r="CE72" s="104" t="s">
        <v>986</v>
      </c>
      <c r="CF72" s="104" t="s">
        <v>156</v>
      </c>
      <c r="CG72" s="104" t="s">
        <v>155</v>
      </c>
      <c r="CH72" s="104" t="s">
        <v>157</v>
      </c>
      <c r="CI72" s="104" t="s">
        <v>158</v>
      </c>
      <c r="CJ72" s="104" t="s">
        <v>162</v>
      </c>
      <c r="CK72" s="104" t="s">
        <v>987</v>
      </c>
      <c r="CL72" s="82"/>
      <c r="CM72" s="82"/>
      <c r="CN72" s="100"/>
      <c r="CO72" s="100"/>
      <c r="CP72" s="29"/>
      <c r="CQ72" s="407"/>
      <c r="CR72" s="409"/>
    </row>
    <row r="73" spans="8:96" x14ac:dyDescent="0.2">
      <c r="H73" s="243"/>
      <c r="I73" s="209">
        <v>39694</v>
      </c>
      <c r="J73" s="211">
        <v>0.38</v>
      </c>
      <c r="K73" s="138"/>
      <c r="L73" s="138"/>
      <c r="M73" s="138"/>
      <c r="N73" s="138"/>
      <c r="R73" s="209">
        <v>39464</v>
      </c>
      <c r="S73" s="159">
        <v>0.36</v>
      </c>
      <c r="T73" s="138"/>
      <c r="U73" s="138"/>
      <c r="V73" s="138"/>
      <c r="W73" s="138"/>
      <c r="X73" s="138"/>
      <c r="Z73" s="243"/>
      <c r="AA73" s="138"/>
      <c r="AB73" s="138"/>
      <c r="AC73" s="138"/>
      <c r="AD73" s="138"/>
      <c r="AE73" s="138"/>
      <c r="AF73" s="138"/>
      <c r="AK73" s="243"/>
      <c r="AX73" s="243"/>
      <c r="BE73" s="243"/>
      <c r="BG73" s="38">
        <v>39387</v>
      </c>
      <c r="BH73" s="15">
        <v>47.93</v>
      </c>
      <c r="BI73" s="15">
        <v>1481.14</v>
      </c>
      <c r="BJ73" s="25"/>
      <c r="BK73" s="37">
        <f t="shared" si="5"/>
        <v>1.8743309581168353E-2</v>
      </c>
      <c r="BL73" s="37">
        <f t="shared" si="5"/>
        <v>-4.5042789369416157E-2</v>
      </c>
      <c r="BM73" s="25"/>
      <c r="BN73" s="25"/>
      <c r="BO73" s="26" t="s">
        <v>133</v>
      </c>
      <c r="BP73" s="67" t="e">
        <v>#VALUE!</v>
      </c>
      <c r="BQ73" s="68" t="e">
        <v>#VALUE!</v>
      </c>
      <c r="BR73" s="25" t="s">
        <v>134</v>
      </c>
      <c r="BS73" s="25"/>
      <c r="BV73" s="243"/>
      <c r="BW73" s="21">
        <v>41974</v>
      </c>
      <c r="BX73" s="82">
        <v>40.5</v>
      </c>
      <c r="BY73" s="82">
        <v>2065.780029</v>
      </c>
      <c r="BZ73" s="100"/>
      <c r="CA73" s="37">
        <f t="shared" si="3"/>
        <v>6.4110602831127558E-2</v>
      </c>
      <c r="CB73" s="37">
        <f t="shared" si="4"/>
        <v>2.3296932480203675E-2</v>
      </c>
      <c r="CC73" s="25"/>
      <c r="CD73" s="25"/>
      <c r="CE73" s="102" t="s">
        <v>988</v>
      </c>
      <c r="CF73" s="102">
        <v>1.2954750131510817E-4</v>
      </c>
      <c r="CG73" s="102">
        <v>1</v>
      </c>
      <c r="CH73" s="102">
        <v>1.2954750131510817E-4</v>
      </c>
      <c r="CI73" s="102">
        <v>7.7985359126394413E-2</v>
      </c>
      <c r="CJ73" s="102">
        <v>0.78067320498111503</v>
      </c>
      <c r="CK73" s="102">
        <v>3.9445388583805117</v>
      </c>
      <c r="CL73" s="82"/>
      <c r="CM73" s="82"/>
      <c r="CN73" s="100"/>
      <c r="CO73" s="100"/>
      <c r="CP73" s="29"/>
      <c r="CQ73" s="407"/>
      <c r="CR73" s="408"/>
    </row>
    <row r="74" spans="8:96" x14ac:dyDescent="0.2">
      <c r="H74" s="243"/>
      <c r="I74" s="209">
        <v>39785</v>
      </c>
      <c r="J74" s="211">
        <v>0.38</v>
      </c>
      <c r="K74" s="138"/>
      <c r="L74" s="138"/>
      <c r="M74" s="138"/>
      <c r="N74" s="138"/>
      <c r="R74" s="209">
        <v>39555</v>
      </c>
      <c r="S74" s="159">
        <v>0.36</v>
      </c>
      <c r="T74" s="138"/>
      <c r="U74" s="138"/>
      <c r="V74" s="138"/>
      <c r="W74" s="138"/>
      <c r="X74" s="138"/>
      <c r="Z74" s="243"/>
      <c r="AA74" s="138"/>
      <c r="AB74" s="138"/>
      <c r="AC74" s="138"/>
      <c r="AD74" s="138"/>
      <c r="AE74" s="138"/>
      <c r="AF74" s="138"/>
      <c r="AK74" s="243"/>
      <c r="AX74" s="243"/>
      <c r="BE74" s="243"/>
      <c r="BG74" s="38"/>
      <c r="BH74" s="15"/>
      <c r="BI74" s="15"/>
      <c r="BJ74" s="25"/>
      <c r="BK74" s="37"/>
      <c r="BL74" s="37"/>
      <c r="BM74" s="25"/>
      <c r="BN74" s="25"/>
      <c r="BO74" s="26" t="s">
        <v>135</v>
      </c>
      <c r="BP74" s="67" t="e">
        <v>#VALUE!</v>
      </c>
      <c r="BQ74" s="68" t="e">
        <v>#VALUE!</v>
      </c>
      <c r="BR74" s="25" t="s">
        <v>136</v>
      </c>
      <c r="BS74" s="25"/>
      <c r="BV74" s="243"/>
      <c r="BW74" s="21">
        <v>42005</v>
      </c>
      <c r="BX74" s="82">
        <v>41.064999</v>
      </c>
      <c r="BY74" s="82">
        <v>2058.8999020000001</v>
      </c>
      <c r="BZ74" s="100"/>
      <c r="CA74" s="37">
        <f t="shared" si="3"/>
        <v>1.3854178728024306E-2</v>
      </c>
      <c r="CB74" s="37">
        <f t="shared" si="4"/>
        <v>-3.3360811001525198E-3</v>
      </c>
      <c r="CC74" s="25"/>
      <c r="CD74" s="25"/>
      <c r="CE74" s="102" t="s">
        <v>989</v>
      </c>
      <c r="CF74" s="102">
        <v>0.15282830334439196</v>
      </c>
      <c r="CG74" s="102">
        <v>92</v>
      </c>
      <c r="CH74" s="102">
        <v>1.66117721026513E-3</v>
      </c>
      <c r="CI74" s="102"/>
      <c r="CJ74" s="102"/>
      <c r="CK74" s="102"/>
      <c r="CL74" s="82"/>
      <c r="CM74" s="82"/>
      <c r="CN74" s="100"/>
      <c r="CO74" s="100"/>
      <c r="CP74" s="29"/>
      <c r="CQ74" s="407"/>
      <c r="CR74" s="408"/>
    </row>
    <row r="75" spans="8:96" ht="16.5" thickBot="1" x14ac:dyDescent="0.35">
      <c r="H75" s="243"/>
      <c r="I75" s="209">
        <v>39876</v>
      </c>
      <c r="J75" s="211">
        <v>0.38</v>
      </c>
      <c r="K75" s="138"/>
      <c r="L75" s="138"/>
      <c r="M75" s="138"/>
      <c r="N75" s="138"/>
      <c r="R75" s="209">
        <v>39646</v>
      </c>
      <c r="S75" s="159">
        <v>0.42</v>
      </c>
      <c r="T75" s="138"/>
      <c r="U75" s="138"/>
      <c r="V75" s="138"/>
      <c r="W75" s="138"/>
      <c r="X75" s="138"/>
      <c r="Z75" s="243"/>
      <c r="AA75" s="138"/>
      <c r="AB75" s="138"/>
      <c r="AC75" s="138"/>
      <c r="AD75" s="138"/>
      <c r="AE75" s="138"/>
      <c r="AF75" s="138"/>
      <c r="AK75" s="243"/>
      <c r="AX75" s="243"/>
      <c r="BE75" s="243"/>
      <c r="BG75" s="38"/>
      <c r="BH75" s="15"/>
      <c r="BI75" s="15"/>
      <c r="BJ75" s="25"/>
      <c r="BK75" s="37"/>
      <c r="BL75" s="37"/>
      <c r="BM75" s="25"/>
      <c r="BN75" s="25"/>
      <c r="BO75" s="26" t="s">
        <v>137</v>
      </c>
      <c r="BP75" s="69" t="e">
        <v>#VALUE!</v>
      </c>
      <c r="BQ75" s="70" t="e">
        <v>#VALUE!</v>
      </c>
      <c r="BR75" s="25" t="s">
        <v>138</v>
      </c>
      <c r="BS75" s="25"/>
      <c r="BV75" s="243"/>
      <c r="BW75" s="21">
        <v>42036</v>
      </c>
      <c r="BX75" s="82">
        <v>43.84</v>
      </c>
      <c r="BY75" s="82">
        <v>1996.670044</v>
      </c>
      <c r="BZ75" s="100"/>
      <c r="CA75" s="37">
        <f t="shared" si="3"/>
        <v>6.5390489799242529E-2</v>
      </c>
      <c r="CB75" s="37">
        <f t="shared" si="4"/>
        <v>-3.0690997058701056E-2</v>
      </c>
      <c r="CC75" s="25"/>
      <c r="CD75" s="25"/>
      <c r="CE75" s="102"/>
      <c r="CF75" s="102"/>
      <c r="CG75" s="102"/>
      <c r="CH75" s="102"/>
      <c r="CI75" s="102"/>
      <c r="CJ75" s="102"/>
      <c r="CK75" s="102"/>
      <c r="CL75" s="82"/>
      <c r="CM75" s="82"/>
      <c r="CN75" s="100"/>
      <c r="CO75" s="100"/>
      <c r="CP75" s="29"/>
      <c r="CQ75" s="407"/>
      <c r="CR75" s="408"/>
    </row>
    <row r="76" spans="8:96" ht="15.75" thickBot="1" x14ac:dyDescent="0.25">
      <c r="H76" s="243"/>
      <c r="I76" s="209">
        <v>39968</v>
      </c>
      <c r="J76" s="211">
        <v>0.38</v>
      </c>
      <c r="K76" s="138"/>
      <c r="L76" s="138"/>
      <c r="M76" s="138"/>
      <c r="N76" s="138"/>
      <c r="R76" s="209">
        <v>39737</v>
      </c>
      <c r="S76" s="159">
        <v>0.42</v>
      </c>
      <c r="T76" s="138"/>
      <c r="U76" s="139"/>
      <c r="V76" s="138"/>
      <c r="W76" s="138"/>
      <c r="X76" s="138"/>
      <c r="Z76" s="243"/>
      <c r="AA76" s="138"/>
      <c r="AB76" s="138"/>
      <c r="AC76" s="138"/>
      <c r="AD76" s="138"/>
      <c r="AE76" s="138"/>
      <c r="AF76" s="138"/>
      <c r="AK76" s="243"/>
      <c r="AX76" s="243"/>
      <c r="BE76" s="243"/>
      <c r="BG76" s="38"/>
      <c r="BH76" s="15"/>
      <c r="BI76" s="15"/>
      <c r="BJ76" s="25"/>
      <c r="BK76" s="37"/>
      <c r="BL76" s="37"/>
      <c r="BM76" s="25"/>
      <c r="BN76" s="25"/>
      <c r="BO76" s="26"/>
      <c r="BP76" s="25"/>
      <c r="BQ76" s="25"/>
      <c r="BR76" s="25"/>
      <c r="BS76" s="25"/>
      <c r="BV76" s="243"/>
      <c r="BW76" s="21">
        <v>42064</v>
      </c>
      <c r="BX76" s="82">
        <v>46.665000999999997</v>
      </c>
      <c r="BY76" s="82">
        <v>2105.2299800000001</v>
      </c>
      <c r="BZ76" s="100"/>
      <c r="CA76" s="37">
        <f t="shared" si="3"/>
        <v>6.2447797807286383E-2</v>
      </c>
      <c r="CB76" s="37">
        <f t="shared" si="4"/>
        <v>5.2943900379686194E-2</v>
      </c>
      <c r="CC76" s="25"/>
      <c r="CD76" s="25"/>
      <c r="CE76" s="103" t="s">
        <v>154</v>
      </c>
      <c r="CF76" s="103">
        <v>0.15295785084570707</v>
      </c>
      <c r="CG76" s="103">
        <v>93</v>
      </c>
      <c r="CH76" s="103"/>
      <c r="CI76" s="103"/>
      <c r="CJ76" s="103"/>
      <c r="CK76" s="103"/>
      <c r="CL76" s="104"/>
      <c r="CM76" s="104"/>
      <c r="CN76" s="100"/>
      <c r="CO76" s="100"/>
      <c r="CP76" s="29"/>
      <c r="CQ76" s="407"/>
      <c r="CR76" s="409"/>
    </row>
    <row r="77" spans="8:96" x14ac:dyDescent="0.2">
      <c r="H77" s="243"/>
      <c r="I77" s="209">
        <v>40058</v>
      </c>
      <c r="J77" s="211">
        <v>0.38</v>
      </c>
      <c r="K77" s="138"/>
      <c r="L77" s="138"/>
      <c r="M77" s="138"/>
      <c r="N77" s="138"/>
      <c r="R77" s="209">
        <v>39828</v>
      </c>
      <c r="S77" s="159">
        <v>0.42</v>
      </c>
      <c r="T77" s="138"/>
      <c r="U77" s="139"/>
      <c r="V77" s="138"/>
      <c r="W77" s="138"/>
      <c r="X77" s="138"/>
      <c r="Z77" s="243"/>
      <c r="AA77" s="138"/>
      <c r="AB77" s="138"/>
      <c r="AC77" s="138"/>
      <c r="AD77" s="138"/>
      <c r="AE77" s="138"/>
      <c r="AF77" s="138"/>
      <c r="AK77" s="243"/>
      <c r="AX77" s="243"/>
      <c r="BE77" s="243"/>
      <c r="BG77" s="38"/>
      <c r="BH77" s="15"/>
      <c r="BI77" s="15"/>
      <c r="BJ77" s="25"/>
      <c r="BK77" s="37"/>
      <c r="BL77" s="37"/>
      <c r="BM77" s="25"/>
      <c r="BN77" s="25"/>
      <c r="BO77" s="26"/>
      <c r="BP77" s="25"/>
      <c r="BQ77" s="25"/>
      <c r="BR77" s="25"/>
      <c r="BS77" s="25"/>
      <c r="BV77" s="243"/>
      <c r="BW77" s="21">
        <v>42095</v>
      </c>
      <c r="BX77" s="82">
        <v>47.139999000000003</v>
      </c>
      <c r="BY77" s="82">
        <v>2067.6298830000001</v>
      </c>
      <c r="BZ77" s="100"/>
      <c r="CA77" s="37">
        <f t="shared" si="3"/>
        <v>1.0127435847531521E-2</v>
      </c>
      <c r="CB77" s="37">
        <f t="shared" si="4"/>
        <v>-1.8021748099037106E-2</v>
      </c>
      <c r="CC77" s="25"/>
      <c r="CD77" s="25"/>
      <c r="CE77" s="102"/>
      <c r="CF77" s="102"/>
      <c r="CG77" s="102"/>
      <c r="CH77" s="102"/>
      <c r="CI77" s="102"/>
      <c r="CJ77" s="102"/>
      <c r="CK77" s="102"/>
      <c r="CL77" s="102"/>
      <c r="CM77" s="102"/>
      <c r="CN77" s="100"/>
      <c r="CO77" s="100"/>
      <c r="CP77" s="29"/>
      <c r="CQ77" s="407"/>
      <c r="CR77" s="408"/>
    </row>
    <row r="78" spans="8:96" ht="15" thickBot="1" x14ac:dyDescent="0.25">
      <c r="H78" s="243"/>
      <c r="I78" s="209">
        <v>40158</v>
      </c>
      <c r="J78" s="211">
        <v>0.38</v>
      </c>
      <c r="K78" s="138"/>
      <c r="L78" s="138"/>
      <c r="M78" s="138"/>
      <c r="N78" s="138"/>
      <c r="R78" s="209">
        <v>39919</v>
      </c>
      <c r="S78" s="159">
        <v>0.42</v>
      </c>
      <c r="T78" s="138"/>
      <c r="U78" s="138"/>
      <c r="V78" s="138"/>
      <c r="W78" s="138"/>
      <c r="X78" s="138"/>
      <c r="Z78" s="243"/>
      <c r="AA78" s="138"/>
      <c r="AB78" s="138"/>
      <c r="AC78" s="138"/>
      <c r="AD78" s="138"/>
      <c r="AE78" s="138"/>
      <c r="AF78" s="138"/>
      <c r="AK78" s="243"/>
      <c r="AX78" s="243"/>
      <c r="BE78" s="243"/>
      <c r="BG78" s="38"/>
      <c r="BH78" s="15"/>
      <c r="BI78" s="15"/>
      <c r="BJ78" s="25"/>
      <c r="BK78" s="37"/>
      <c r="BL78" s="37"/>
      <c r="BM78" s="25"/>
      <c r="BN78" s="25"/>
      <c r="BO78" s="26"/>
      <c r="BP78" s="25"/>
      <c r="BQ78" s="25"/>
      <c r="BR78" s="25"/>
      <c r="BS78" s="25"/>
      <c r="BV78" s="243"/>
      <c r="BW78" s="21">
        <v>42125</v>
      </c>
      <c r="BX78" s="82">
        <v>49.950001</v>
      </c>
      <c r="BY78" s="82">
        <v>2087.3798830000001</v>
      </c>
      <c r="BZ78" s="100"/>
      <c r="CA78" s="37">
        <f t="shared" si="3"/>
        <v>5.7900648820004362E-2</v>
      </c>
      <c r="CB78" s="37">
        <f t="shared" si="4"/>
        <v>9.5066677852013379E-3</v>
      </c>
      <c r="CC78" s="25"/>
      <c r="CD78" s="25"/>
      <c r="CE78" s="103"/>
      <c r="CF78" s="103"/>
      <c r="CG78" s="103"/>
      <c r="CH78" s="103"/>
      <c r="CI78" s="103"/>
      <c r="CJ78" s="103"/>
      <c r="CK78" s="103"/>
      <c r="CL78" s="103"/>
      <c r="CM78" s="103"/>
      <c r="CN78" s="100"/>
      <c r="CO78" s="100"/>
      <c r="CP78" s="100"/>
      <c r="CQ78" s="407"/>
      <c r="CR78" s="408"/>
    </row>
    <row r="79" spans="8:96" x14ac:dyDescent="0.2">
      <c r="H79" s="243"/>
      <c r="I79" s="209">
        <v>40248</v>
      </c>
      <c r="J79" s="211">
        <v>0.38</v>
      </c>
      <c r="K79" s="138"/>
      <c r="L79" s="138"/>
      <c r="M79" s="138"/>
      <c r="N79" s="138"/>
      <c r="R79" s="209">
        <v>40010</v>
      </c>
      <c r="S79" s="159">
        <v>0.42</v>
      </c>
      <c r="T79" s="138"/>
      <c r="U79" s="138"/>
      <c r="V79" s="138"/>
      <c r="W79" s="138"/>
      <c r="X79" s="138"/>
      <c r="Z79" s="243"/>
      <c r="AK79" s="243"/>
      <c r="AX79" s="243"/>
      <c r="BE79" s="243"/>
      <c r="BG79" s="38"/>
      <c r="BH79" s="15"/>
      <c r="BI79" s="15"/>
      <c r="BJ79" s="25"/>
      <c r="BK79" s="37"/>
      <c r="BL79" s="37"/>
      <c r="BM79" s="25"/>
      <c r="BN79" s="25"/>
      <c r="BO79" s="26"/>
      <c r="BP79" s="25"/>
      <c r="BQ79" s="25"/>
      <c r="BR79" s="25"/>
      <c r="BS79" s="25"/>
      <c r="BV79" s="243"/>
      <c r="BW79" s="21">
        <v>42156</v>
      </c>
      <c r="BX79" s="82">
        <v>51.959999000000003</v>
      </c>
      <c r="BY79" s="82">
        <v>2108.639893</v>
      </c>
      <c r="BZ79" s="100"/>
      <c r="CA79" s="37">
        <f t="shared" ref="CA79:CA100" si="6">LN(BX79/BX78)</f>
        <v>3.9451647442242804E-2</v>
      </c>
      <c r="CB79" s="37">
        <f t="shared" ref="CB79:CB116" si="7">LN(BY79/BY78)</f>
        <v>1.0133504160355652E-2</v>
      </c>
      <c r="CC79" s="25"/>
      <c r="CD79" s="25"/>
      <c r="CE79" s="82"/>
      <c r="CF79" s="82"/>
      <c r="CG79" s="82"/>
      <c r="CH79" s="82"/>
      <c r="CI79" s="82"/>
      <c r="CJ79" s="82"/>
      <c r="CK79" s="82"/>
      <c r="CL79" s="82"/>
      <c r="CM79" s="82"/>
      <c r="CN79" s="100"/>
      <c r="CO79" s="100"/>
      <c r="CP79" s="100"/>
      <c r="CQ79" s="407"/>
      <c r="CR79" s="408"/>
    </row>
    <row r="80" spans="8:96" ht="15" x14ac:dyDescent="0.2">
      <c r="H80" s="243"/>
      <c r="I80" s="209">
        <v>40340</v>
      </c>
      <c r="J80" s="211">
        <v>0.38</v>
      </c>
      <c r="K80" s="138"/>
      <c r="L80" s="138"/>
      <c r="M80" s="138"/>
      <c r="N80" s="138"/>
      <c r="R80" s="209">
        <v>40108</v>
      </c>
      <c r="S80" s="159">
        <v>0.42</v>
      </c>
      <c r="T80" s="138"/>
      <c r="U80" s="138"/>
      <c r="V80" s="138"/>
      <c r="W80" s="138"/>
      <c r="X80" s="138"/>
      <c r="Z80" s="243"/>
      <c r="AK80" s="243"/>
      <c r="AX80" s="243"/>
      <c r="BE80" s="243"/>
      <c r="BG80" s="38"/>
      <c r="BH80" s="15"/>
      <c r="BI80" s="15"/>
      <c r="BJ80" s="25"/>
      <c r="BK80" s="37"/>
      <c r="BL80" s="37"/>
      <c r="BM80" s="25"/>
      <c r="BN80" s="25"/>
      <c r="BO80" s="26"/>
      <c r="BP80" s="25"/>
      <c r="BQ80" s="25"/>
      <c r="BR80" s="25"/>
      <c r="BS80" s="25"/>
      <c r="BV80" s="243"/>
      <c r="BW80" s="21">
        <v>42186</v>
      </c>
      <c r="BX80" s="82">
        <v>53.860000999999997</v>
      </c>
      <c r="BY80" s="82">
        <v>2067</v>
      </c>
      <c r="BZ80" s="100"/>
      <c r="CA80" s="37">
        <f t="shared" si="6"/>
        <v>3.5913933393281715E-2</v>
      </c>
      <c r="CB80" s="37">
        <f t="shared" si="7"/>
        <v>-1.9944858470202286E-2</v>
      </c>
      <c r="CC80" s="25"/>
      <c r="CD80" s="25"/>
      <c r="CE80" s="82"/>
      <c r="CF80" s="82"/>
      <c r="CG80" s="82"/>
      <c r="CH80" s="82"/>
      <c r="CI80" s="82"/>
      <c r="CJ80" s="82"/>
      <c r="CK80" s="82"/>
      <c r="CL80" s="82"/>
      <c r="CM80" s="82"/>
      <c r="CN80" s="100"/>
      <c r="CO80" s="100"/>
      <c r="CP80" s="100"/>
      <c r="CQ80" s="407"/>
      <c r="CR80" s="409"/>
    </row>
    <row r="81" spans="8:96" x14ac:dyDescent="0.2">
      <c r="H81" s="243"/>
      <c r="I81" s="209">
        <v>40434</v>
      </c>
      <c r="J81" s="211">
        <v>0.38</v>
      </c>
      <c r="K81" s="138"/>
      <c r="L81" s="138"/>
      <c r="M81" s="138"/>
      <c r="N81" s="138"/>
      <c r="R81" s="209">
        <v>40193</v>
      </c>
      <c r="S81" s="159">
        <v>0.42</v>
      </c>
      <c r="T81" s="138"/>
      <c r="U81" s="138"/>
      <c r="V81" s="138"/>
      <c r="W81" s="138"/>
      <c r="X81" s="138"/>
      <c r="Z81" s="243"/>
      <c r="AK81" s="243"/>
      <c r="AX81" s="243"/>
      <c r="BE81" s="243"/>
      <c r="BG81" s="38"/>
      <c r="BH81" s="15"/>
      <c r="BI81" s="15"/>
      <c r="BJ81" s="25"/>
      <c r="BK81" s="37"/>
      <c r="BL81" s="37"/>
      <c r="BM81" s="25"/>
      <c r="BN81" s="25"/>
      <c r="BO81" s="26"/>
      <c r="BP81" s="25"/>
      <c r="BQ81" s="25"/>
      <c r="BR81" s="25"/>
      <c r="BS81" s="25"/>
      <c r="BV81" s="243"/>
      <c r="BW81" s="21">
        <v>42217</v>
      </c>
      <c r="BX81" s="82">
        <v>58.619999</v>
      </c>
      <c r="BY81" s="82">
        <v>2104.48999</v>
      </c>
      <c r="BZ81" s="100"/>
      <c r="CA81" s="37">
        <f t="shared" si="6"/>
        <v>8.4687812273615021E-2</v>
      </c>
      <c r="CB81" s="37">
        <f t="shared" si="7"/>
        <v>1.7974872043323195E-2</v>
      </c>
      <c r="CC81" s="25"/>
      <c r="CD81" s="25"/>
      <c r="CE81" s="82"/>
      <c r="CF81" s="82"/>
      <c r="CG81" s="82"/>
      <c r="CH81" s="82"/>
      <c r="CI81" s="82"/>
      <c r="CJ81" s="82"/>
      <c r="CK81" s="82"/>
      <c r="CL81" s="82"/>
      <c r="CM81" s="82"/>
      <c r="CN81" s="100"/>
      <c r="CO81" s="100"/>
      <c r="CP81" s="100"/>
      <c r="CQ81" s="407"/>
      <c r="CR81" s="408"/>
    </row>
    <row r="82" spans="8:96" x14ac:dyDescent="0.2">
      <c r="H82" s="243"/>
      <c r="I82" s="209">
        <v>40525</v>
      </c>
      <c r="J82" s="211">
        <v>0.38</v>
      </c>
      <c r="K82" s="138"/>
      <c r="L82" s="138"/>
      <c r="M82" s="138"/>
      <c r="N82" s="138"/>
      <c r="R82" s="209">
        <v>40290</v>
      </c>
      <c r="S82" s="159">
        <v>0.42</v>
      </c>
      <c r="T82" s="138"/>
      <c r="U82" s="138"/>
      <c r="V82" s="138"/>
      <c r="W82" s="138"/>
      <c r="X82" s="138"/>
      <c r="Z82" s="243"/>
      <c r="AK82" s="243"/>
      <c r="AX82" s="243"/>
      <c r="BE82" s="243"/>
      <c r="BG82" s="38"/>
      <c r="BH82" s="15"/>
      <c r="BI82" s="15"/>
      <c r="BJ82" s="25"/>
      <c r="BK82" s="37"/>
      <c r="BL82" s="37"/>
      <c r="BM82" s="25"/>
      <c r="BN82" s="25"/>
      <c r="BO82" s="26"/>
      <c r="BP82" s="25"/>
      <c r="BQ82" s="25"/>
      <c r="BR82" s="25"/>
      <c r="BS82" s="25"/>
      <c r="BV82" s="243"/>
      <c r="BW82" s="21">
        <v>42248</v>
      </c>
      <c r="BX82" s="82">
        <v>53</v>
      </c>
      <c r="BY82" s="82">
        <v>1970.089966</v>
      </c>
      <c r="BZ82" s="100"/>
      <c r="CA82" s="37">
        <f t="shared" si="6"/>
        <v>-0.10078400467160023</v>
      </c>
      <c r="CB82" s="37">
        <f t="shared" si="7"/>
        <v>-6.599394301550493E-2</v>
      </c>
      <c r="CC82" s="25"/>
      <c r="CD82" s="25"/>
      <c r="CE82" s="100"/>
      <c r="CF82" s="100"/>
      <c r="CG82" s="100"/>
      <c r="CH82" s="100"/>
      <c r="CI82" s="100"/>
      <c r="CJ82" s="100"/>
      <c r="CK82" s="100"/>
      <c r="CL82" s="100"/>
      <c r="CM82" s="100"/>
      <c r="CN82" s="100"/>
      <c r="CO82" s="100"/>
      <c r="CP82" s="100"/>
      <c r="CQ82" s="407"/>
      <c r="CR82" s="408"/>
    </row>
    <row r="83" spans="8:96" x14ac:dyDescent="0.2">
      <c r="H83" s="243"/>
      <c r="I83" s="209">
        <v>40613</v>
      </c>
      <c r="J83" s="211">
        <v>0.38</v>
      </c>
      <c r="K83" s="138"/>
      <c r="L83" s="138"/>
      <c r="M83" s="138"/>
      <c r="N83" s="138"/>
      <c r="R83" s="209">
        <v>40375</v>
      </c>
      <c r="S83" s="159">
        <v>0.44</v>
      </c>
      <c r="T83" s="138"/>
      <c r="U83" s="138"/>
      <c r="V83" s="138"/>
      <c r="W83" s="138"/>
      <c r="X83" s="138"/>
      <c r="Z83" s="243"/>
      <c r="AK83" s="243"/>
      <c r="AX83" s="243"/>
      <c r="BE83" s="243"/>
      <c r="BG83" s="38"/>
      <c r="BH83" s="15"/>
      <c r="BI83" s="15"/>
      <c r="BJ83" s="25"/>
      <c r="BK83" s="37"/>
      <c r="BL83" s="37"/>
      <c r="BM83" s="25"/>
      <c r="BN83" s="25"/>
      <c r="BO83" s="26"/>
      <c r="BP83" s="25"/>
      <c r="BQ83" s="25"/>
      <c r="BR83" s="25"/>
      <c r="BS83" s="25"/>
      <c r="BV83" s="243"/>
      <c r="BW83" s="21">
        <v>42278</v>
      </c>
      <c r="BX83" s="82">
        <v>56.990001999999997</v>
      </c>
      <c r="BY83" s="82">
        <v>1919.650024</v>
      </c>
      <c r="BZ83" s="100"/>
      <c r="CA83" s="37">
        <f t="shared" si="6"/>
        <v>7.2583935388661716E-2</v>
      </c>
      <c r="CB83" s="37">
        <f t="shared" si="7"/>
        <v>-2.5936319469292275E-2</v>
      </c>
      <c r="CC83" s="25"/>
      <c r="CD83" s="25"/>
      <c r="CE83" s="100"/>
      <c r="CF83" s="100"/>
      <c r="CG83" s="100"/>
      <c r="CH83" s="100"/>
      <c r="CI83" s="100"/>
      <c r="CJ83" s="100"/>
      <c r="CK83" s="100"/>
      <c r="CL83" s="100"/>
      <c r="CM83" s="100"/>
      <c r="CN83" s="100"/>
      <c r="CO83" s="100"/>
      <c r="CP83" s="100"/>
      <c r="CQ83" s="407"/>
      <c r="CR83" s="408"/>
    </row>
    <row r="84" spans="8:96" ht="15" x14ac:dyDescent="0.2">
      <c r="H84" s="243"/>
      <c r="I84" s="209">
        <v>40707</v>
      </c>
      <c r="J84" s="211">
        <v>0.38</v>
      </c>
      <c r="K84" s="138"/>
      <c r="L84" s="138"/>
      <c r="M84" s="138"/>
      <c r="N84" s="138"/>
      <c r="R84" s="209">
        <v>40472</v>
      </c>
      <c r="S84" s="159">
        <v>0.44</v>
      </c>
      <c r="T84" s="138"/>
      <c r="U84" s="138"/>
      <c r="V84" s="138"/>
      <c r="W84" s="138"/>
      <c r="X84" s="138"/>
      <c r="Z84" s="243"/>
      <c r="AK84" s="243"/>
      <c r="AX84" s="243"/>
      <c r="BE84" s="243"/>
      <c r="BG84" s="38"/>
      <c r="BH84" s="15"/>
      <c r="BI84" s="15"/>
      <c r="BJ84" s="25"/>
      <c r="BK84" s="37"/>
      <c r="BL84" s="37"/>
      <c r="BM84" s="25"/>
      <c r="BN84" s="25"/>
      <c r="BO84" s="26"/>
      <c r="BP84" s="25"/>
      <c r="BQ84" s="25"/>
      <c r="BR84" s="25"/>
      <c r="BS84" s="25"/>
      <c r="BV84" s="243"/>
      <c r="BW84" s="21">
        <v>42309</v>
      </c>
      <c r="BX84" s="82">
        <v>63.009998000000003</v>
      </c>
      <c r="BY84" s="82">
        <v>2080.76001</v>
      </c>
      <c r="BZ84" s="100"/>
      <c r="CA84" s="37">
        <f t="shared" si="6"/>
        <v>0.10041756327218655</v>
      </c>
      <c r="CB84" s="37">
        <f t="shared" si="7"/>
        <v>8.0590326139687571E-2</v>
      </c>
      <c r="CC84" s="25"/>
      <c r="CD84" s="25"/>
      <c r="CE84" s="100"/>
      <c r="CF84" s="100"/>
      <c r="CG84" s="100"/>
      <c r="CH84" s="100"/>
      <c r="CI84" s="100"/>
      <c r="CJ84" s="100"/>
      <c r="CK84" s="100"/>
      <c r="CL84" s="100"/>
      <c r="CM84" s="100"/>
      <c r="CN84" s="100"/>
      <c r="CO84" s="100"/>
      <c r="CP84" s="100"/>
      <c r="CQ84" s="407"/>
      <c r="CR84" s="409"/>
    </row>
    <row r="85" spans="8:96" x14ac:dyDescent="0.2">
      <c r="H85" s="243"/>
      <c r="I85" s="209">
        <v>40799</v>
      </c>
      <c r="J85" s="211">
        <v>0.38</v>
      </c>
      <c r="K85" s="138"/>
      <c r="L85" s="138"/>
      <c r="M85" s="138"/>
      <c r="N85" s="138"/>
      <c r="R85" s="209">
        <v>40561</v>
      </c>
      <c r="S85" s="159">
        <v>0.44</v>
      </c>
      <c r="T85" s="138"/>
      <c r="U85" s="138"/>
      <c r="V85" s="138"/>
      <c r="W85" s="138"/>
      <c r="X85" s="138"/>
      <c r="Z85" s="243"/>
      <c r="AK85" s="243"/>
      <c r="AX85" s="243"/>
      <c r="BE85" s="243"/>
      <c r="BG85" s="38"/>
      <c r="BH85" s="15"/>
      <c r="BI85" s="15"/>
      <c r="BJ85" s="25"/>
      <c r="BK85" s="37"/>
      <c r="BL85" s="37"/>
      <c r="BM85" s="25"/>
      <c r="BN85" s="25"/>
      <c r="BO85" s="26"/>
      <c r="BP85" s="25"/>
      <c r="BQ85" s="25"/>
      <c r="BR85" s="25"/>
      <c r="BS85" s="25"/>
      <c r="BV85" s="243"/>
      <c r="BW85" s="21">
        <v>42339</v>
      </c>
      <c r="BX85" s="82">
        <v>61.080002</v>
      </c>
      <c r="BY85" s="82">
        <v>2082.929932</v>
      </c>
      <c r="BZ85" s="100"/>
      <c r="CA85" s="37">
        <f t="shared" si="6"/>
        <v>-3.1108899118596663E-2</v>
      </c>
      <c r="CB85" s="37">
        <f t="shared" si="7"/>
        <v>1.0423072931355865E-3</v>
      </c>
      <c r="CC85" s="25"/>
      <c r="CD85" s="25"/>
      <c r="CE85" s="100"/>
      <c r="CF85" s="100"/>
      <c r="CG85" s="100"/>
      <c r="CH85" s="100"/>
      <c r="CI85" s="100"/>
      <c r="CJ85" s="100"/>
      <c r="CK85" s="100"/>
      <c r="CL85" s="100"/>
      <c r="CM85" s="100"/>
      <c r="CN85" s="100"/>
      <c r="CO85" s="100"/>
      <c r="CP85" s="100"/>
      <c r="CQ85" s="407"/>
      <c r="CR85" s="408"/>
    </row>
    <row r="86" spans="8:96" x14ac:dyDescent="0.2">
      <c r="H86" s="243"/>
      <c r="I86" s="209">
        <v>40890</v>
      </c>
      <c r="J86" s="211">
        <v>0.42</v>
      </c>
      <c r="K86" s="138"/>
      <c r="L86" s="138"/>
      <c r="M86" s="138"/>
      <c r="N86" s="138"/>
      <c r="R86" s="209">
        <v>40653</v>
      </c>
      <c r="S86" s="159">
        <v>0.44</v>
      </c>
      <c r="T86" s="138"/>
      <c r="U86" s="138"/>
      <c r="V86" s="138"/>
      <c r="W86" s="138"/>
      <c r="X86" s="138"/>
      <c r="Z86" s="243"/>
      <c r="AK86" s="243"/>
      <c r="AX86" s="243"/>
      <c r="BE86" s="243"/>
      <c r="BG86" s="38"/>
      <c r="BH86" s="15"/>
      <c r="BI86" s="15"/>
      <c r="BJ86" s="25"/>
      <c r="BK86" s="37"/>
      <c r="BL86" s="37"/>
      <c r="BM86" s="25"/>
      <c r="BN86" s="25"/>
      <c r="BO86" s="26"/>
      <c r="BP86" s="25"/>
      <c r="BQ86" s="25"/>
      <c r="BR86" s="25"/>
      <c r="BS86" s="25"/>
      <c r="BV86" s="243"/>
      <c r="BW86" s="21">
        <v>42370</v>
      </c>
      <c r="BX86" s="82">
        <v>58.77</v>
      </c>
      <c r="BY86" s="82">
        <v>2038.1999510000001</v>
      </c>
      <c r="BZ86" s="100"/>
      <c r="CA86" s="37">
        <f t="shared" si="6"/>
        <v>-3.8552992469814397E-2</v>
      </c>
      <c r="CB86" s="37">
        <f t="shared" si="7"/>
        <v>-2.1708482319344833E-2</v>
      </c>
      <c r="CC86" s="25"/>
      <c r="CD86" s="25"/>
      <c r="CE86" s="100"/>
      <c r="CF86" s="100"/>
      <c r="CG86" s="100"/>
      <c r="CH86" s="100"/>
      <c r="CI86" s="100"/>
      <c r="CJ86" s="100"/>
      <c r="CK86" s="100"/>
      <c r="CL86" s="100"/>
      <c r="CM86" s="100"/>
      <c r="CN86" s="100"/>
      <c r="CO86" s="100"/>
      <c r="CP86" s="100"/>
      <c r="CQ86" s="407"/>
      <c r="CR86" s="408"/>
    </row>
    <row r="87" spans="8:96" x14ac:dyDescent="0.2">
      <c r="H87" s="243"/>
      <c r="I87" s="209">
        <v>40981</v>
      </c>
      <c r="J87" s="211">
        <v>0.42</v>
      </c>
      <c r="K87" s="138"/>
      <c r="L87" s="138"/>
      <c r="M87" s="138"/>
      <c r="N87" s="138"/>
      <c r="R87" s="209">
        <v>40742</v>
      </c>
      <c r="S87" s="159">
        <v>0.46</v>
      </c>
      <c r="T87" s="138"/>
      <c r="U87" s="138"/>
      <c r="V87" s="138"/>
      <c r="W87" s="138"/>
      <c r="X87" s="138"/>
      <c r="Z87" s="243"/>
      <c r="AK87" s="243"/>
      <c r="AX87" s="243"/>
      <c r="BE87" s="243"/>
      <c r="BG87" s="38"/>
      <c r="BH87" s="15"/>
      <c r="BI87" s="15"/>
      <c r="BJ87" s="25"/>
      <c r="BK87" s="37"/>
      <c r="BL87" s="37"/>
      <c r="BM87" s="25"/>
      <c r="BN87" s="25"/>
      <c r="BO87" s="26"/>
      <c r="BP87" s="25"/>
      <c r="BQ87" s="25"/>
      <c r="BR87" s="25"/>
      <c r="BS87" s="25"/>
      <c r="BV87" s="243"/>
      <c r="BW87" s="21">
        <v>42401</v>
      </c>
      <c r="BX87" s="82">
        <v>60.66</v>
      </c>
      <c r="BY87" s="82">
        <v>1936.9399410000001</v>
      </c>
      <c r="BZ87" s="100"/>
      <c r="CA87" s="37">
        <f t="shared" si="6"/>
        <v>3.1652981635875807E-2</v>
      </c>
      <c r="CB87" s="37">
        <f t="shared" si="7"/>
        <v>-5.0957663622625861E-2</v>
      </c>
      <c r="CC87" s="25"/>
      <c r="CD87" s="25"/>
      <c r="CE87" s="100"/>
      <c r="CF87" s="100"/>
      <c r="CG87" s="100"/>
      <c r="CH87" s="100"/>
      <c r="CI87" s="100"/>
      <c r="CJ87" s="100"/>
      <c r="CK87" s="100"/>
      <c r="CL87" s="100"/>
      <c r="CM87" s="100"/>
      <c r="CN87" s="100"/>
      <c r="CO87" s="100"/>
      <c r="CP87" s="100"/>
      <c r="CQ87" s="407"/>
      <c r="CR87" s="408"/>
    </row>
    <row r="88" spans="8:96" ht="15" x14ac:dyDescent="0.2">
      <c r="H88" s="243"/>
      <c r="I88" s="209">
        <v>41073</v>
      </c>
      <c r="J88" s="211">
        <v>0.42</v>
      </c>
      <c r="K88" s="138"/>
      <c r="L88" s="138"/>
      <c r="M88" s="138"/>
      <c r="N88" s="138"/>
      <c r="R88" s="209">
        <v>40836</v>
      </c>
      <c r="S88" s="159">
        <v>0.46</v>
      </c>
      <c r="T88" s="138"/>
      <c r="U88" s="138"/>
      <c r="V88" s="138"/>
      <c r="W88" s="138"/>
      <c r="X88" s="138"/>
      <c r="Z88" s="243"/>
      <c r="AK88" s="243"/>
      <c r="AX88" s="243"/>
      <c r="BE88" s="319" t="s">
        <v>605</v>
      </c>
      <c r="BF88" s="319"/>
      <c r="BG88" s="302"/>
      <c r="BH88" s="303"/>
      <c r="BI88" s="303"/>
      <c r="BJ88" s="295"/>
      <c r="BK88" s="304"/>
      <c r="BL88" s="304"/>
      <c r="BM88" s="295"/>
      <c r="BN88" s="295"/>
      <c r="BO88" s="301"/>
      <c r="BP88" s="295"/>
      <c r="BQ88" s="295"/>
      <c r="BR88" s="295"/>
      <c r="BS88" s="295"/>
      <c r="BT88" s="243"/>
      <c r="BU88" s="243"/>
      <c r="BV88" s="243"/>
      <c r="BW88" s="21">
        <v>42430</v>
      </c>
      <c r="BX88" s="82">
        <v>58.77</v>
      </c>
      <c r="BY88" s="82">
        <v>1937.089966</v>
      </c>
      <c r="BZ88" s="100"/>
      <c r="CA88" s="37">
        <f t="shared" si="6"/>
        <v>-3.1652981635875876E-2</v>
      </c>
      <c r="CB88" s="37">
        <f t="shared" si="7"/>
        <v>7.7451647858474578E-5</v>
      </c>
      <c r="CC88" s="25"/>
      <c r="CD88" s="25"/>
      <c r="CE88" s="100"/>
      <c r="CF88" s="100"/>
      <c r="CG88" s="100"/>
      <c r="CH88" s="100"/>
      <c r="CI88" s="100"/>
      <c r="CJ88" s="100"/>
      <c r="CK88" s="100"/>
      <c r="CL88" s="100"/>
      <c r="CM88" s="100"/>
      <c r="CN88" s="100"/>
      <c r="CO88" s="100"/>
      <c r="CP88" s="100"/>
      <c r="CQ88" s="407"/>
      <c r="CR88" s="409"/>
    </row>
    <row r="89" spans="8:96" x14ac:dyDescent="0.2">
      <c r="H89" s="243"/>
      <c r="BE89" s="243"/>
      <c r="BF89" t="s">
        <v>611</v>
      </c>
      <c r="BM89" s="25"/>
      <c r="BN89" s="295" t="s">
        <v>613</v>
      </c>
      <c r="BO89" s="25"/>
      <c r="BP89" s="25"/>
      <c r="BQ89" s="26"/>
      <c r="BR89" s="25"/>
      <c r="BS89" s="25"/>
      <c r="BW89" s="21">
        <v>42461</v>
      </c>
      <c r="BX89" s="82">
        <v>59.610000999999997</v>
      </c>
      <c r="BY89" s="82">
        <v>2056.6201169999999</v>
      </c>
      <c r="BZ89" s="100"/>
      <c r="CA89" s="37">
        <f t="shared" si="6"/>
        <v>1.4191841382984694E-2</v>
      </c>
      <c r="CB89" s="37">
        <f t="shared" si="7"/>
        <v>5.987708604674321E-2</v>
      </c>
      <c r="CC89" s="25"/>
      <c r="CD89" s="25"/>
      <c r="CE89" s="100"/>
      <c r="CF89" s="100"/>
      <c r="CG89" s="100"/>
      <c r="CH89" s="100"/>
      <c r="CI89" s="100"/>
      <c r="CJ89" s="100"/>
      <c r="CK89" s="100"/>
      <c r="CL89" s="100"/>
      <c r="CM89" s="100"/>
      <c r="CN89" s="100"/>
      <c r="CO89" s="100"/>
      <c r="CP89" s="100"/>
      <c r="CQ89" s="407"/>
      <c r="CR89" s="408"/>
    </row>
    <row r="90" spans="8:96" x14ac:dyDescent="0.2">
      <c r="BE90" s="243"/>
      <c r="BG90" s="261" t="s">
        <v>47</v>
      </c>
      <c r="BH90" s="262">
        <f>AVERAGE(BK98:BK102)</f>
        <v>2.4377963521807343E-2</v>
      </c>
      <c r="BI90" s="263" t="e">
        <f ca="1">getformula(BH90)</f>
        <v>#NAME?</v>
      </c>
      <c r="BJ90" s="264"/>
      <c r="BK90" s="265"/>
      <c r="BL90" s="25"/>
      <c r="BM90" s="25"/>
      <c r="BN90" s="295"/>
      <c r="BO90" s="289" t="s">
        <v>81</v>
      </c>
      <c r="BP90" s="290">
        <v>15.2</v>
      </c>
      <c r="BQ90" s="25"/>
      <c r="BR90" s="25"/>
      <c r="BS90" s="25"/>
      <c r="BW90" s="21">
        <v>42491</v>
      </c>
      <c r="BX90" s="82">
        <v>56.290000999999997</v>
      </c>
      <c r="BY90" s="82">
        <v>2067.169922</v>
      </c>
      <c r="BZ90" s="100"/>
      <c r="CA90" s="37">
        <f t="shared" si="6"/>
        <v>-5.7306444766463911E-2</v>
      </c>
      <c r="CB90" s="37">
        <f t="shared" si="7"/>
        <v>5.1165689405813942E-3</v>
      </c>
      <c r="CC90" s="25"/>
      <c r="CD90" s="25"/>
      <c r="CE90" s="100"/>
      <c r="CF90" s="100"/>
      <c r="CG90" s="100"/>
      <c r="CH90" s="100"/>
      <c r="CI90" s="100"/>
      <c r="CJ90" s="100"/>
      <c r="CK90" s="100"/>
      <c r="CL90" s="100"/>
      <c r="CM90" s="100"/>
      <c r="CN90" s="100"/>
      <c r="CO90" s="100"/>
      <c r="CP90" s="100"/>
      <c r="CQ90" s="407"/>
      <c r="CR90" s="408"/>
    </row>
    <row r="91" spans="8:96" x14ac:dyDescent="0.2">
      <c r="BE91" s="243"/>
      <c r="BG91" s="266" t="s">
        <v>42</v>
      </c>
      <c r="BH91" s="267">
        <f>STDEV(BK98:BK102)</f>
        <v>3.1050803314906783E-2</v>
      </c>
      <c r="BI91" s="268" t="e">
        <f ca="1">getformula(BH91)</f>
        <v>#NAME?</v>
      </c>
      <c r="BJ91" s="269"/>
      <c r="BK91" s="270"/>
      <c r="BL91" s="25"/>
      <c r="BM91" s="25"/>
      <c r="BN91" s="295"/>
      <c r="BO91" s="271" t="s">
        <v>78</v>
      </c>
      <c r="BP91" s="291">
        <v>0.5</v>
      </c>
      <c r="BQ91" s="25" t="s">
        <v>204</v>
      </c>
      <c r="BR91" s="25"/>
      <c r="BS91" s="25"/>
      <c r="BW91" s="21">
        <v>42522</v>
      </c>
      <c r="BX91" s="82">
        <v>54.759998000000003</v>
      </c>
      <c r="BY91" s="82">
        <v>2093.9399410000001</v>
      </c>
      <c r="BZ91" s="100"/>
      <c r="CA91" s="37">
        <f t="shared" si="6"/>
        <v>-2.7556953343841697E-2</v>
      </c>
      <c r="CB91" s="37">
        <f t="shared" si="7"/>
        <v>1.2866946181962186E-2</v>
      </c>
      <c r="CC91" s="25"/>
      <c r="CD91" s="25"/>
      <c r="CE91" s="100"/>
      <c r="CF91" s="100"/>
      <c r="CG91" s="100"/>
      <c r="CH91" s="100"/>
      <c r="CI91" s="100"/>
      <c r="CJ91" s="100"/>
      <c r="CK91" s="100"/>
      <c r="CL91" s="100"/>
      <c r="CM91" s="100"/>
      <c r="CN91" s="100"/>
      <c r="CO91" s="100"/>
      <c r="CP91" s="100"/>
      <c r="CQ91" s="407"/>
      <c r="CR91" s="408"/>
    </row>
    <row r="92" spans="8:96" ht="15" x14ac:dyDescent="0.2">
      <c r="BE92" s="243"/>
      <c r="BG92" s="266"/>
      <c r="BH92" s="268"/>
      <c r="BI92" s="268"/>
      <c r="BJ92" s="269"/>
      <c r="BK92" s="270"/>
      <c r="BL92" s="25"/>
      <c r="BM92" s="25"/>
      <c r="BN92" s="295"/>
      <c r="BO92" s="271" t="s">
        <v>79</v>
      </c>
      <c r="BP92" s="291">
        <v>0.05</v>
      </c>
      <c r="BQ92" s="25" t="s">
        <v>83</v>
      </c>
      <c r="BR92" s="25"/>
      <c r="BS92" s="25"/>
      <c r="BW92" s="21">
        <v>42552</v>
      </c>
      <c r="BX92" s="82">
        <v>57.040000999999997</v>
      </c>
      <c r="BY92" s="82">
        <v>2099.3400879999999</v>
      </c>
      <c r="BZ92" s="100"/>
      <c r="CA92" s="37">
        <f t="shared" si="6"/>
        <v>4.0792829740359027E-2</v>
      </c>
      <c r="CB92" s="37">
        <f t="shared" si="7"/>
        <v>2.5756209687665846E-3</v>
      </c>
      <c r="CC92" s="25"/>
      <c r="CD92" s="25"/>
      <c r="CE92" s="100"/>
      <c r="CF92" s="100"/>
      <c r="CG92" s="100"/>
      <c r="CH92" s="100"/>
      <c r="CI92" s="100"/>
      <c r="CJ92" s="100"/>
      <c r="CK92" s="100"/>
      <c r="CL92" s="100"/>
      <c r="CM92" s="100"/>
      <c r="CN92" s="100"/>
      <c r="CO92" s="100"/>
      <c r="CP92" s="100"/>
      <c r="CQ92" s="407"/>
      <c r="CR92" s="409"/>
    </row>
    <row r="93" spans="8:96" ht="15.75" x14ac:dyDescent="0.3">
      <c r="BE93" s="243"/>
      <c r="BG93" s="320" t="s">
        <v>46</v>
      </c>
      <c r="BH93" s="321">
        <f>12*BH90</f>
        <v>0.29253556226168809</v>
      </c>
      <c r="BI93" s="268" t="e">
        <f ca="1">getformula(BH93)</f>
        <v>#NAME?</v>
      </c>
      <c r="BJ93" s="269"/>
      <c r="BK93" s="270"/>
      <c r="BL93" s="25"/>
      <c r="BM93" s="25"/>
      <c r="BN93" s="295"/>
      <c r="BO93" s="292" t="s">
        <v>80</v>
      </c>
      <c r="BP93" s="293">
        <f>BP91*(1+BP92)/BP90+BP92</f>
        <v>8.4539473684210525E-2</v>
      </c>
      <c r="BQ93" s="25" t="e">
        <f ca="1">getformula(BP93)</f>
        <v>#NAME?</v>
      </c>
      <c r="BR93" s="25"/>
      <c r="BS93" s="25"/>
      <c r="BW93" s="21">
        <v>42583</v>
      </c>
      <c r="BX93" s="82">
        <v>58</v>
      </c>
      <c r="BY93" s="82">
        <v>2173.1499020000001</v>
      </c>
      <c r="BZ93" s="100"/>
      <c r="CA93" s="37">
        <f t="shared" si="6"/>
        <v>1.6690216908822317E-2</v>
      </c>
      <c r="CB93" s="37">
        <f t="shared" si="7"/>
        <v>3.4554631253327098E-2</v>
      </c>
      <c r="CC93" s="25"/>
      <c r="CD93" s="25"/>
      <c r="CE93" s="100"/>
      <c r="CF93" s="100"/>
      <c r="CG93" s="100"/>
      <c r="CH93" s="100"/>
      <c r="CI93" s="100"/>
      <c r="CJ93" s="100"/>
      <c r="CK93" s="100"/>
      <c r="CL93" s="100"/>
      <c r="CM93" s="100"/>
      <c r="CN93" s="100"/>
      <c r="CO93" s="100"/>
      <c r="CP93" s="100"/>
      <c r="CQ93" s="407"/>
      <c r="CR93" s="408"/>
    </row>
    <row r="94" spans="8:96" x14ac:dyDescent="0.2">
      <c r="BE94" s="243"/>
      <c r="BG94" s="266" t="s">
        <v>40</v>
      </c>
      <c r="BH94" s="267">
        <f>SQRT(12)*BH91</f>
        <v>0.10756313791449333</v>
      </c>
      <c r="BI94" s="268" t="e">
        <f ca="1">getformula(BH94)</f>
        <v>#NAME?</v>
      </c>
      <c r="BJ94" s="269"/>
      <c r="BK94" s="270"/>
      <c r="BL94" s="25"/>
      <c r="BM94" s="25"/>
      <c r="BN94" s="243"/>
      <c r="BR94" s="25"/>
      <c r="BS94" s="25"/>
      <c r="BW94" s="21">
        <v>42614</v>
      </c>
      <c r="BX94" s="82">
        <v>56.299999</v>
      </c>
      <c r="BY94" s="82">
        <v>2171.330078</v>
      </c>
      <c r="BZ94" s="100"/>
      <c r="CA94" s="37">
        <f t="shared" si="6"/>
        <v>-2.9748493162764157E-2</v>
      </c>
      <c r="CB94" s="37">
        <f t="shared" si="7"/>
        <v>-8.3776383586275092E-4</v>
      </c>
      <c r="CC94" s="25"/>
      <c r="CD94" s="25"/>
      <c r="CE94" s="100"/>
      <c r="CF94" s="100"/>
      <c r="CG94" s="100"/>
      <c r="CH94" s="100"/>
      <c r="CI94" s="100"/>
      <c r="CJ94" s="100"/>
      <c r="CK94" s="100"/>
      <c r="CL94" s="100"/>
      <c r="CM94" s="100"/>
      <c r="CN94" s="100"/>
      <c r="CO94" s="100"/>
      <c r="CP94" s="100"/>
      <c r="CQ94" s="407"/>
      <c r="CR94" s="408"/>
    </row>
    <row r="95" spans="8:96" x14ac:dyDescent="0.2">
      <c r="BE95" s="243"/>
      <c r="BG95" s="271"/>
      <c r="BH95" s="269"/>
      <c r="BI95" s="269"/>
      <c r="BJ95" s="269"/>
      <c r="BK95" s="270"/>
      <c r="BL95" s="25"/>
      <c r="BM95" s="25"/>
      <c r="BN95" s="295"/>
      <c r="BO95" s="26"/>
      <c r="BP95" s="25"/>
      <c r="BQ95" s="25"/>
      <c r="BR95" s="25"/>
      <c r="BS95" s="25"/>
      <c r="BW95" s="21">
        <v>42644</v>
      </c>
      <c r="BX95" s="82">
        <v>54.099997999999999</v>
      </c>
      <c r="BY95" s="82">
        <v>2164.330078</v>
      </c>
      <c r="BZ95" s="100"/>
      <c r="CA95" s="37">
        <f t="shared" si="6"/>
        <v>-3.9860368499796794E-2</v>
      </c>
      <c r="CB95" s="37">
        <f t="shared" si="7"/>
        <v>-3.2290381765951821E-3</v>
      </c>
      <c r="CC95" s="25"/>
      <c r="CD95" s="25"/>
      <c r="CE95" s="100"/>
      <c r="CF95" s="100"/>
      <c r="CG95" s="100"/>
      <c r="CH95" s="100"/>
      <c r="CI95" s="100"/>
      <c r="CJ95" s="100"/>
      <c r="CK95" s="100"/>
      <c r="CL95" s="100"/>
      <c r="CM95" s="100"/>
      <c r="CN95" s="100"/>
      <c r="CO95" s="100"/>
      <c r="CP95" s="100"/>
      <c r="CQ95" s="407"/>
      <c r="CR95" s="408"/>
    </row>
    <row r="96" spans="8:96" ht="38.25" x14ac:dyDescent="0.2">
      <c r="BE96" s="243"/>
      <c r="BG96" s="272" t="s">
        <v>21</v>
      </c>
      <c r="BH96" s="273" t="s">
        <v>39</v>
      </c>
      <c r="BI96" s="273" t="s">
        <v>38</v>
      </c>
      <c r="BJ96" s="274" t="s">
        <v>45</v>
      </c>
      <c r="BK96" s="275" t="s">
        <v>44</v>
      </c>
      <c r="BL96" s="25"/>
      <c r="BM96" s="25"/>
      <c r="BN96" s="295"/>
      <c r="BO96" s="26"/>
      <c r="BP96" s="25"/>
      <c r="BQ96" s="25"/>
      <c r="BR96" s="25"/>
      <c r="BS96" s="25"/>
      <c r="BW96" s="21">
        <v>42675</v>
      </c>
      <c r="BX96" s="82">
        <v>53.139999000000003</v>
      </c>
      <c r="BY96" s="82">
        <v>2128.679932</v>
      </c>
      <c r="BZ96" s="100"/>
      <c r="CA96" s="37">
        <f t="shared" si="6"/>
        <v>-1.7904227370407099E-2</v>
      </c>
      <c r="CB96" s="37">
        <f t="shared" si="7"/>
        <v>-1.66088434137589E-2</v>
      </c>
      <c r="CC96" s="25"/>
      <c r="CD96" s="25"/>
      <c r="CE96" s="100"/>
      <c r="CF96" s="100"/>
      <c r="CG96" s="100"/>
      <c r="CH96" s="100"/>
      <c r="CI96" s="100"/>
      <c r="CJ96" s="100"/>
      <c r="CK96" s="100"/>
      <c r="CL96" s="100"/>
      <c r="CM96" s="100"/>
      <c r="CN96" s="100"/>
      <c r="CO96" s="100"/>
      <c r="CP96" s="100"/>
      <c r="CQ96" s="407"/>
      <c r="CR96" s="409"/>
    </row>
    <row r="97" spans="2:96" x14ac:dyDescent="0.2">
      <c r="BE97" s="243"/>
      <c r="BG97" s="276">
        <v>31868</v>
      </c>
      <c r="BH97" s="277">
        <v>15.66</v>
      </c>
      <c r="BI97" s="278"/>
      <c r="BJ97" s="279"/>
      <c r="BK97" s="280"/>
      <c r="BL97" s="25"/>
      <c r="BM97" s="25"/>
      <c r="BN97" s="295"/>
      <c r="BO97" s="26"/>
      <c r="BP97" s="25"/>
      <c r="BQ97" s="25"/>
      <c r="BR97" s="25"/>
      <c r="BS97" s="25"/>
      <c r="BW97" s="21">
        <v>42705</v>
      </c>
      <c r="BX97" s="82">
        <v>57.34</v>
      </c>
      <c r="BY97" s="82">
        <v>2200.169922</v>
      </c>
      <c r="BZ97" s="100"/>
      <c r="CA97" s="37">
        <f t="shared" si="6"/>
        <v>7.6068538941772554E-2</v>
      </c>
      <c r="CB97" s="37">
        <f t="shared" si="7"/>
        <v>3.3032557292321324E-2</v>
      </c>
      <c r="CC97" s="25"/>
      <c r="CD97" s="25"/>
      <c r="CE97" s="100"/>
      <c r="CF97" s="100"/>
      <c r="CG97" s="100"/>
      <c r="CH97" s="100"/>
      <c r="CI97" s="100"/>
      <c r="CJ97" s="100"/>
      <c r="CK97" s="100"/>
      <c r="CL97" s="100"/>
      <c r="CM97" s="100"/>
      <c r="CN97" s="100"/>
      <c r="CO97" s="100"/>
      <c r="CP97" s="100"/>
      <c r="CQ97" s="407"/>
      <c r="CR97" s="408"/>
    </row>
    <row r="98" spans="2:96" x14ac:dyDescent="0.2">
      <c r="BE98" s="243"/>
      <c r="BG98" s="276">
        <v>31898</v>
      </c>
      <c r="BH98" s="277">
        <v>15.82</v>
      </c>
      <c r="BI98" s="281">
        <f>LN(BH98/BH97)</f>
        <v>1.0165271776850711E-2</v>
      </c>
      <c r="BJ98" s="282">
        <f>'3month_treasury (2)'!BJ91</f>
        <v>0</v>
      </c>
      <c r="BK98" s="283">
        <f>BI98-BJ98</f>
        <v>1.0165271776850711E-2</v>
      </c>
      <c r="BL98" s="25" t="e">
        <f ca="1">getformula(BK98)</f>
        <v>#NAME?</v>
      </c>
      <c r="BM98" s="25"/>
      <c r="BN98" s="295"/>
      <c r="BO98" s="26"/>
      <c r="BP98" s="25"/>
      <c r="BQ98" s="25"/>
      <c r="BR98" s="25"/>
      <c r="BS98" s="25"/>
      <c r="BW98" s="21">
        <v>42736</v>
      </c>
      <c r="BX98" s="82">
        <v>55.91</v>
      </c>
      <c r="BY98" s="82">
        <v>2251.570068</v>
      </c>
      <c r="BZ98" s="100"/>
      <c r="CA98" s="37">
        <f t="shared" si="6"/>
        <v>-2.5255205416669906E-2</v>
      </c>
      <c r="CB98" s="37">
        <f t="shared" si="7"/>
        <v>2.3093186207176784E-2</v>
      </c>
      <c r="CC98" s="25"/>
      <c r="CD98" s="25"/>
      <c r="CE98" s="100"/>
      <c r="CF98" s="100"/>
      <c r="CG98" s="100"/>
      <c r="CH98" s="100"/>
      <c r="CI98" s="100"/>
      <c r="CJ98" s="100"/>
      <c r="CK98" s="100"/>
      <c r="CL98" s="100"/>
      <c r="CM98" s="100"/>
      <c r="CN98" s="100"/>
      <c r="CO98" s="100"/>
      <c r="CP98" s="100"/>
      <c r="CQ98" s="407"/>
      <c r="CR98" s="408"/>
    </row>
    <row r="99" spans="2:96" x14ac:dyDescent="0.2">
      <c r="BE99" s="243"/>
      <c r="BG99" s="276">
        <v>31929</v>
      </c>
      <c r="BH99" s="277">
        <v>16.62</v>
      </c>
      <c r="BI99" s="281">
        <f>LN(BH99/BH98)</f>
        <v>4.9331827087794301E-2</v>
      </c>
      <c r="BJ99" s="282">
        <f>'3month_treasury (2)'!BJ92</f>
        <v>0</v>
      </c>
      <c r="BK99" s="283">
        <f>BI99-BJ99</f>
        <v>4.9331827087794301E-2</v>
      </c>
      <c r="BL99" s="25" t="e">
        <f ca="1">getformula(BK99)</f>
        <v>#NAME?</v>
      </c>
      <c r="BM99" s="25"/>
      <c r="BN99" s="295"/>
      <c r="BO99" s="26"/>
      <c r="BP99" s="25"/>
      <c r="BQ99" s="25"/>
      <c r="BR99" s="25"/>
      <c r="BS99" s="25"/>
      <c r="BW99" s="21">
        <v>42767</v>
      </c>
      <c r="BX99" s="82">
        <v>55.490001999999997</v>
      </c>
      <c r="BY99" s="82">
        <v>2285.5900879999999</v>
      </c>
      <c r="BZ99" s="100"/>
      <c r="CA99" s="37">
        <f t="shared" si="6"/>
        <v>-7.5403946582145677E-3</v>
      </c>
      <c r="CB99" s="37">
        <f t="shared" si="7"/>
        <v>1.4996454346657065E-2</v>
      </c>
      <c r="CC99" s="25"/>
      <c r="CD99" s="25"/>
      <c r="CE99" s="100"/>
      <c r="CF99" s="100"/>
      <c r="CG99" s="100"/>
      <c r="CH99" s="100"/>
      <c r="CI99" s="100"/>
      <c r="CJ99" s="100"/>
      <c r="CK99" s="100"/>
      <c r="CL99" s="100"/>
      <c r="CM99" s="100"/>
      <c r="CN99" s="100"/>
      <c r="CO99" s="100"/>
      <c r="CP99" s="100"/>
      <c r="CQ99" s="407"/>
      <c r="CR99" s="408"/>
    </row>
    <row r="100" spans="2:96" ht="15" x14ac:dyDescent="0.2">
      <c r="BE100" s="243"/>
      <c r="BG100" s="276">
        <v>31959</v>
      </c>
      <c r="BH100" s="277">
        <v>17.440000000000001</v>
      </c>
      <c r="BI100" s="281">
        <f>LN(BH100/BH99)</f>
        <v>4.8159629053531397E-2</v>
      </c>
      <c r="BJ100" s="282">
        <f>'3month_treasury (2)'!BJ93</f>
        <v>0</v>
      </c>
      <c r="BK100" s="283">
        <f>BI100-BJ100</f>
        <v>4.8159629053531397E-2</v>
      </c>
      <c r="BL100" s="25"/>
      <c r="BM100" s="25"/>
      <c r="BN100" s="295"/>
      <c r="BO100" s="26"/>
      <c r="BP100" s="25"/>
      <c r="BQ100" s="25"/>
      <c r="BR100" s="25"/>
      <c r="BS100" s="25"/>
      <c r="BW100" s="21">
        <v>42795</v>
      </c>
      <c r="BX100" s="82">
        <v>57.27</v>
      </c>
      <c r="BY100" s="82">
        <v>2380.1298830000001</v>
      </c>
      <c r="BZ100" s="100"/>
      <c r="CA100" s="37">
        <f t="shared" si="6"/>
        <v>3.1574066025426652E-2</v>
      </c>
      <c r="CB100" s="37">
        <f t="shared" si="7"/>
        <v>4.0530823675237061E-2</v>
      </c>
      <c r="CC100" s="25"/>
      <c r="CD100" s="25"/>
      <c r="CE100" s="100"/>
      <c r="CF100" s="100"/>
      <c r="CG100" s="100"/>
      <c r="CH100" s="100"/>
      <c r="CI100" s="100"/>
      <c r="CJ100" s="100"/>
      <c r="CK100" s="100"/>
      <c r="CL100" s="100"/>
      <c r="CM100" s="100"/>
      <c r="CN100" s="100"/>
      <c r="CO100" s="100"/>
      <c r="CP100" s="100"/>
      <c r="CQ100" s="407"/>
      <c r="CR100" s="409"/>
    </row>
    <row r="101" spans="2:96" x14ac:dyDescent="0.2">
      <c r="BE101" s="243"/>
      <c r="BG101" s="276">
        <v>31992</v>
      </c>
      <c r="BH101" s="277">
        <v>18.11</v>
      </c>
      <c r="BI101" s="281">
        <f>LN(BH101/BH100)</f>
        <v>3.7697853414488287E-2</v>
      </c>
      <c r="BJ101" s="282">
        <f>'3month_treasury (2)'!BJ94</f>
        <v>0</v>
      </c>
      <c r="BK101" s="283">
        <f>BI101-BJ101</f>
        <v>3.7697853414488287E-2</v>
      </c>
      <c r="BL101" s="25"/>
      <c r="BM101" s="25"/>
      <c r="BN101" s="295"/>
      <c r="BO101" s="26"/>
      <c r="BP101" s="25"/>
      <c r="BQ101" s="25"/>
      <c r="BR101" s="25"/>
      <c r="BS101" s="25"/>
      <c r="BW101" s="21">
        <v>42826</v>
      </c>
      <c r="BX101" s="82">
        <v>58.279998999999997</v>
      </c>
      <c r="BY101" s="82">
        <v>2362.3400879999999</v>
      </c>
      <c r="BZ101" s="100"/>
      <c r="CA101" s="37">
        <f t="shared" ref="CA101:CA115" si="8">LN(BX101/BX100)</f>
        <v>1.7482037762692908E-2</v>
      </c>
      <c r="CB101" s="37">
        <f t="shared" si="7"/>
        <v>-7.5023684076211622E-3</v>
      </c>
      <c r="CC101" s="25"/>
      <c r="CD101" s="25"/>
      <c r="CE101" s="100"/>
      <c r="CF101" s="100"/>
      <c r="CG101" s="100"/>
      <c r="CH101" s="100"/>
      <c r="CI101" s="100"/>
      <c r="CJ101" s="100"/>
      <c r="CK101" s="100"/>
      <c r="CL101" s="100"/>
      <c r="CM101" s="100"/>
      <c r="CN101" s="100"/>
      <c r="CO101" s="100"/>
      <c r="CP101" s="100"/>
      <c r="CQ101" s="407"/>
      <c r="CR101" s="408"/>
    </row>
    <row r="102" spans="2:96" x14ac:dyDescent="0.2">
      <c r="BE102" s="243"/>
      <c r="BG102" s="284">
        <v>32021</v>
      </c>
      <c r="BH102" s="285">
        <v>17.690000000000001</v>
      </c>
      <c r="BI102" s="286">
        <f>LN(BH102/BH101)</f>
        <v>-2.3464763723627959E-2</v>
      </c>
      <c r="BJ102" s="287">
        <f>'3month_treasury (2)'!BJ95</f>
        <v>0</v>
      </c>
      <c r="BK102" s="288">
        <f>BI102-BJ102</f>
        <v>-2.3464763723627959E-2</v>
      </c>
      <c r="BL102" s="25"/>
      <c r="BM102" s="25"/>
      <c r="BN102" s="295"/>
      <c r="BO102" s="26"/>
      <c r="BP102" s="25"/>
      <c r="BQ102" s="25"/>
      <c r="BR102" s="25"/>
      <c r="BS102" s="25"/>
      <c r="BW102" s="21">
        <v>42856</v>
      </c>
      <c r="BX102" s="82">
        <v>60</v>
      </c>
      <c r="BY102" s="82">
        <v>2388.5</v>
      </c>
      <c r="BZ102" s="100"/>
      <c r="CA102" s="37">
        <f t="shared" si="8"/>
        <v>2.90855980536418E-2</v>
      </c>
      <c r="CB102" s="37">
        <f t="shared" si="7"/>
        <v>1.1012863372076642E-2</v>
      </c>
      <c r="CC102" s="25"/>
      <c r="CD102" s="25"/>
      <c r="CE102" s="100"/>
      <c r="CF102" s="100"/>
      <c r="CG102" s="100"/>
      <c r="CH102" s="100"/>
      <c r="CI102" s="100"/>
      <c r="CJ102" s="100"/>
      <c r="CK102" s="100"/>
      <c r="CL102" s="100"/>
      <c r="CM102" s="100"/>
      <c r="CN102" s="100"/>
      <c r="CO102" s="100"/>
      <c r="CP102" s="100"/>
      <c r="CQ102" s="407"/>
      <c r="CR102" s="408"/>
    </row>
    <row r="103" spans="2:96" x14ac:dyDescent="0.2">
      <c r="BE103" s="322" t="s">
        <v>606</v>
      </c>
      <c r="BF103" s="322"/>
      <c r="BG103" s="243"/>
      <c r="BH103" s="296"/>
      <c r="BI103" s="297"/>
      <c r="BJ103" s="298"/>
      <c r="BK103" s="299"/>
      <c r="BL103" s="300"/>
      <c r="BM103" s="295"/>
      <c r="BN103" s="295"/>
      <c r="BO103" s="301"/>
      <c r="BP103" s="295"/>
      <c r="BQ103" s="295"/>
      <c r="BR103" s="295"/>
      <c r="BS103" s="295"/>
      <c r="BT103" s="243"/>
      <c r="BW103" s="21">
        <v>42887</v>
      </c>
      <c r="BX103" s="82">
        <v>63.509998000000003</v>
      </c>
      <c r="BY103" s="82">
        <v>2415.6499020000001</v>
      </c>
      <c r="BZ103" s="100"/>
      <c r="CA103" s="37">
        <f t="shared" si="8"/>
        <v>5.6852780101678657E-2</v>
      </c>
      <c r="CB103" s="37">
        <f t="shared" si="7"/>
        <v>1.1302807611911438E-2</v>
      </c>
      <c r="CC103" s="25"/>
      <c r="CD103" s="25"/>
      <c r="CE103" s="100"/>
      <c r="CF103" s="100"/>
      <c r="CG103" s="100"/>
      <c r="CH103" s="100"/>
      <c r="CI103" s="100"/>
      <c r="CJ103" s="100"/>
      <c r="CK103" s="100"/>
      <c r="CL103" s="100"/>
      <c r="CM103" s="100"/>
      <c r="CN103" s="100"/>
      <c r="CO103" s="100"/>
      <c r="CP103" s="100"/>
      <c r="CQ103" s="407"/>
      <c r="CR103" s="408"/>
    </row>
    <row r="104" spans="2:96" ht="15" x14ac:dyDescent="0.2">
      <c r="BE104" s="243"/>
      <c r="BF104" t="s">
        <v>612</v>
      </c>
      <c r="BG104" s="39"/>
      <c r="BH104" s="40"/>
      <c r="BI104" s="44"/>
      <c r="BJ104" s="31"/>
      <c r="BK104" s="45"/>
      <c r="BP104" s="25"/>
      <c r="BQ104" s="25"/>
      <c r="BR104" s="25"/>
      <c r="BS104" s="25"/>
      <c r="BW104" s="21">
        <v>42917</v>
      </c>
      <c r="BX104" s="82">
        <v>58.900002000000001</v>
      </c>
      <c r="BY104" s="82">
        <v>2431.389893</v>
      </c>
      <c r="BZ104" s="100"/>
      <c r="CA104" s="37">
        <f t="shared" si="8"/>
        <v>-7.5356217710381465E-2</v>
      </c>
      <c r="CB104" s="37">
        <f t="shared" si="7"/>
        <v>6.4947048067678301E-3</v>
      </c>
      <c r="CC104" s="25"/>
      <c r="CD104" s="25"/>
      <c r="CE104" s="100"/>
      <c r="CF104" s="100"/>
      <c r="CG104" s="100"/>
      <c r="CH104" s="100"/>
      <c r="CI104" s="100"/>
      <c r="CJ104" s="100"/>
      <c r="CK104" s="100"/>
      <c r="CL104" s="100"/>
      <c r="CM104" s="100"/>
      <c r="CN104" s="100"/>
      <c r="CO104" s="100"/>
      <c r="CP104" s="100"/>
      <c r="CQ104" s="407"/>
      <c r="CR104" s="409"/>
    </row>
    <row r="105" spans="2:96" x14ac:dyDescent="0.2">
      <c r="BE105" s="243"/>
      <c r="BG105" s="40"/>
      <c r="BH105" s="323">
        <v>2009</v>
      </c>
      <c r="BI105" s="323">
        <v>2010</v>
      </c>
      <c r="BJ105" s="323">
        <v>2011</v>
      </c>
      <c r="BK105" s="40"/>
      <c r="BP105" s="25"/>
      <c r="BQ105" s="25"/>
      <c r="BR105" s="25"/>
      <c r="BS105" s="25"/>
      <c r="BW105" s="21">
        <v>42948</v>
      </c>
      <c r="BX105" s="82">
        <v>54.57</v>
      </c>
      <c r="BY105" s="82">
        <v>2477.1000979999999</v>
      </c>
      <c r="BZ105" s="100"/>
      <c r="CA105" s="37">
        <f t="shared" si="8"/>
        <v>-7.6356843415257211E-2</v>
      </c>
      <c r="CB105" s="37">
        <f t="shared" si="7"/>
        <v>1.862549440518738E-2</v>
      </c>
      <c r="CC105" s="25"/>
      <c r="CD105" s="25"/>
      <c r="CE105" s="100"/>
      <c r="CF105" s="100"/>
      <c r="CG105" s="100"/>
      <c r="CH105" s="100"/>
      <c r="CI105" s="100"/>
      <c r="CJ105" s="100"/>
      <c r="CK105" s="100"/>
      <c r="CL105" s="100"/>
      <c r="CM105" s="100"/>
      <c r="CN105" s="100"/>
      <c r="CO105" s="100"/>
      <c r="CP105" s="100"/>
      <c r="CQ105" s="407"/>
      <c r="CR105" s="408"/>
    </row>
    <row r="106" spans="2:96" x14ac:dyDescent="0.2">
      <c r="BE106" s="243"/>
      <c r="BG106" s="40" t="s">
        <v>91</v>
      </c>
      <c r="BH106" s="324">
        <v>250942</v>
      </c>
      <c r="BI106" s="324">
        <v>411781</v>
      </c>
      <c r="BJ106" s="324">
        <v>551712</v>
      </c>
      <c r="BK106" s="40"/>
      <c r="BP106" s="25"/>
      <c r="BQ106" s="25"/>
      <c r="BR106" s="25"/>
      <c r="BS106" s="25"/>
      <c r="BW106" s="21">
        <v>42979</v>
      </c>
      <c r="BX106" s="82">
        <v>54.900002000000001</v>
      </c>
      <c r="BY106" s="82">
        <v>2474.419922</v>
      </c>
      <c r="BZ106" s="100"/>
      <c r="CA106" s="37">
        <f t="shared" si="8"/>
        <v>6.0291037472161805E-3</v>
      </c>
      <c r="CB106" s="37">
        <f t="shared" si="7"/>
        <v>-1.0825670706883165E-3</v>
      </c>
      <c r="CC106" s="25"/>
      <c r="CD106" s="25"/>
      <c r="CE106" s="100"/>
      <c r="CF106" s="100"/>
      <c r="CG106" s="100"/>
      <c r="CH106" s="100"/>
      <c r="CI106" s="100"/>
      <c r="CJ106" s="100"/>
      <c r="CK106" s="100"/>
      <c r="CL106" s="100"/>
      <c r="CM106" s="100"/>
      <c r="CN106" s="100"/>
      <c r="CO106" s="100"/>
      <c r="CP106" s="100"/>
      <c r="CQ106" s="407"/>
      <c r="CR106" s="408"/>
    </row>
    <row r="107" spans="2:96" x14ac:dyDescent="0.2">
      <c r="BE107" s="243"/>
      <c r="BG107" s="40" t="s">
        <v>92</v>
      </c>
      <c r="BH107" s="324">
        <v>104138</v>
      </c>
      <c r="BI107" s="324">
        <v>165948</v>
      </c>
      <c r="BJ107" s="324">
        <v>209100</v>
      </c>
      <c r="BK107" s="40"/>
      <c r="BP107" s="25"/>
      <c r="BQ107" s="25"/>
      <c r="BR107" s="25"/>
      <c r="BS107" s="25"/>
      <c r="BW107" s="21">
        <v>43009</v>
      </c>
      <c r="BX107" s="82">
        <v>53.860000999999997</v>
      </c>
      <c r="BY107" s="82">
        <v>2521.1999510000001</v>
      </c>
      <c r="BZ107" s="100"/>
      <c r="CA107" s="37">
        <f t="shared" si="8"/>
        <v>-1.9125278995249829E-2</v>
      </c>
      <c r="CB107" s="37">
        <f t="shared" si="7"/>
        <v>1.872896562057039E-2</v>
      </c>
      <c r="CC107" s="25"/>
      <c r="CD107" s="25"/>
      <c r="CE107" s="100"/>
      <c r="CF107" s="100"/>
      <c r="CG107" s="100"/>
      <c r="CH107" s="100"/>
      <c r="CI107" s="100"/>
      <c r="CJ107" s="100"/>
      <c r="CK107" s="100"/>
      <c r="CL107" s="100"/>
      <c r="CM107" s="100"/>
      <c r="CN107" s="100"/>
      <c r="CO107" s="100"/>
      <c r="CP107" s="100"/>
      <c r="CQ107" s="407"/>
      <c r="CR107" s="408"/>
    </row>
    <row r="108" spans="2:96" ht="18.75" x14ac:dyDescent="0.35">
      <c r="BE108" s="243"/>
      <c r="BG108" s="325" t="s">
        <v>616</v>
      </c>
      <c r="BH108" s="326">
        <f>BH107/BH106</f>
        <v>0.41498832399518615</v>
      </c>
      <c r="BI108" s="326">
        <f>BI107/BI106</f>
        <v>0.4030006241181599</v>
      </c>
      <c r="BJ108" s="326">
        <f>BJ107/BJ106</f>
        <v>0.37900208804593699</v>
      </c>
      <c r="BK108" s="40" t="e">
        <f ca="1">getformula(BJ108)</f>
        <v>#NAME?</v>
      </c>
      <c r="BP108" s="25"/>
      <c r="BQ108" s="25"/>
      <c r="BR108" s="25"/>
      <c r="BS108" s="25"/>
      <c r="BW108" s="21">
        <v>43040</v>
      </c>
      <c r="BX108" s="82">
        <v>55.099997999999999</v>
      </c>
      <c r="BY108" s="82">
        <v>2583.209961</v>
      </c>
      <c r="BZ108" s="100"/>
      <c r="CA108" s="37">
        <f t="shared" si="8"/>
        <v>2.2761573911120672E-2</v>
      </c>
      <c r="CB108" s="37">
        <f t="shared" si="7"/>
        <v>2.4297837302856222E-2</v>
      </c>
      <c r="CC108" s="25"/>
      <c r="CD108" s="25"/>
      <c r="CE108" s="100"/>
      <c r="CF108" s="100"/>
      <c r="CG108" s="100"/>
      <c r="CH108" s="100"/>
      <c r="CI108" s="100"/>
      <c r="CJ108" s="100"/>
      <c r="CK108" s="100"/>
      <c r="CL108" s="100"/>
      <c r="CM108" s="100"/>
      <c r="CN108" s="100"/>
      <c r="CO108" s="100"/>
      <c r="CP108" s="100"/>
      <c r="CQ108" s="407"/>
      <c r="CR108" s="409"/>
    </row>
    <row r="109" spans="2:96" x14ac:dyDescent="0.2">
      <c r="BE109" s="243" t="s">
        <v>607</v>
      </c>
      <c r="BF109" s="243"/>
      <c r="BG109" s="296"/>
      <c r="BH109" s="297"/>
      <c r="BI109" s="298"/>
      <c r="BJ109" s="299"/>
      <c r="BK109" s="300"/>
      <c r="BL109" s="295"/>
      <c r="BM109" s="295"/>
      <c r="BN109" s="295"/>
      <c r="BO109" s="301"/>
      <c r="BP109" s="295"/>
      <c r="BQ109" s="295"/>
      <c r="BR109" s="295"/>
      <c r="BS109" s="295"/>
      <c r="BT109" s="243"/>
      <c r="BW109" s="21">
        <v>43070</v>
      </c>
      <c r="BX109" s="82">
        <v>57.5</v>
      </c>
      <c r="BY109" s="82">
        <v>2645.1000979999999</v>
      </c>
      <c r="BZ109" s="100"/>
      <c r="CA109" s="37">
        <f t="shared" si="8"/>
        <v>4.2635267942077212E-2</v>
      </c>
      <c r="CB109" s="37">
        <f t="shared" si="7"/>
        <v>2.3676112304107735E-2</v>
      </c>
      <c r="CC109" s="25"/>
      <c r="CD109" s="25"/>
      <c r="CE109" s="100"/>
      <c r="CF109" s="100"/>
      <c r="CG109" s="100"/>
      <c r="CH109" s="100"/>
      <c r="CI109" s="100"/>
      <c r="CJ109" s="100"/>
      <c r="CK109" s="100"/>
      <c r="CL109" s="100"/>
      <c r="CM109" s="100"/>
      <c r="CN109" s="100"/>
      <c r="CO109" s="100"/>
      <c r="CP109" s="100"/>
      <c r="CQ109" s="407"/>
      <c r="CR109" s="408"/>
    </row>
    <row r="110" spans="2:96" x14ac:dyDescent="0.2">
      <c r="B110" t="s">
        <v>615</v>
      </c>
      <c r="BE110" s="243"/>
      <c r="BG110" s="39"/>
      <c r="BH110" s="40"/>
      <c r="BL110" s="25"/>
      <c r="BM110" s="25"/>
      <c r="BN110" s="25"/>
      <c r="BO110" s="26"/>
      <c r="BP110" s="25"/>
      <c r="BQ110" s="25"/>
      <c r="BR110" s="25"/>
      <c r="BS110" s="25"/>
      <c r="BW110" s="21">
        <v>43101</v>
      </c>
      <c r="BX110" s="82">
        <v>57.950001</v>
      </c>
      <c r="BY110" s="82">
        <v>2683.7299800000001</v>
      </c>
      <c r="BZ110" s="100"/>
      <c r="CA110" s="37">
        <f t="shared" si="8"/>
        <v>7.7956392387111629E-3</v>
      </c>
      <c r="CB110" s="37">
        <f t="shared" si="7"/>
        <v>1.4498701643212762E-2</v>
      </c>
      <c r="CC110" s="25"/>
      <c r="CD110" s="25"/>
      <c r="CE110" s="100"/>
      <c r="CF110" s="100"/>
      <c r="CG110" s="100"/>
      <c r="CH110" s="100"/>
      <c r="CI110" s="100"/>
      <c r="CJ110" s="100"/>
      <c r="CK110" s="100"/>
      <c r="CL110" s="100"/>
      <c r="CM110" s="100"/>
      <c r="CN110" s="100"/>
      <c r="CO110" s="100"/>
      <c r="CP110" s="100"/>
      <c r="CQ110" s="407"/>
      <c r="CR110" s="408"/>
    </row>
    <row r="111" spans="2:96" x14ac:dyDescent="0.2">
      <c r="C111" s="1" t="s">
        <v>0</v>
      </c>
      <c r="D111" s="12">
        <v>3.04</v>
      </c>
      <c r="E111" s="1" t="s">
        <v>16</v>
      </c>
      <c r="F111" s="1"/>
      <c r="G111" s="1"/>
      <c r="BE111" s="243"/>
      <c r="BG111" s="39"/>
      <c r="BH111" s="40"/>
      <c r="BL111" s="25"/>
      <c r="BM111" s="25"/>
      <c r="BN111" s="25"/>
      <c r="BO111" s="26"/>
      <c r="BP111" s="25"/>
      <c r="BQ111" s="25"/>
      <c r="BR111" s="25"/>
      <c r="BS111" s="25"/>
      <c r="BW111" s="21">
        <v>43132</v>
      </c>
      <c r="BX111" s="82">
        <v>56.279998999999997</v>
      </c>
      <c r="BY111" s="82">
        <v>2816.4499510000001</v>
      </c>
      <c r="BZ111" s="100"/>
      <c r="CA111" s="37">
        <f t="shared" si="8"/>
        <v>-2.9241372564129262E-2</v>
      </c>
      <c r="CB111" s="37">
        <f t="shared" si="7"/>
        <v>4.8269598795724997E-2</v>
      </c>
      <c r="CC111" s="25"/>
      <c r="CD111" s="25"/>
      <c r="CE111" s="100"/>
      <c r="CF111" s="100"/>
      <c r="CG111" s="100"/>
      <c r="CH111" s="100"/>
      <c r="CI111" s="100"/>
      <c r="CJ111" s="100"/>
      <c r="CK111" s="100"/>
      <c r="CL111" s="100"/>
      <c r="CM111" s="100"/>
      <c r="CN111" s="100"/>
      <c r="CO111" s="100"/>
      <c r="CP111" s="100"/>
      <c r="CQ111" s="407"/>
      <c r="CR111" s="408"/>
    </row>
    <row r="112" spans="2:96" ht="15" x14ac:dyDescent="0.2">
      <c r="C112" s="1" t="s">
        <v>15</v>
      </c>
      <c r="D112" s="12">
        <v>41.75</v>
      </c>
      <c r="E112" s="1"/>
      <c r="F112" s="1"/>
      <c r="G112" s="1"/>
      <c r="BE112" s="243"/>
      <c r="BG112" s="39"/>
      <c r="BH112" s="40"/>
      <c r="BL112" s="25"/>
      <c r="BM112" s="25"/>
      <c r="BN112" s="25"/>
      <c r="BO112" s="26"/>
      <c r="BP112" s="25"/>
      <c r="BQ112" s="25"/>
      <c r="BR112" s="25"/>
      <c r="BS112" s="25"/>
      <c r="BW112" s="21">
        <v>43160</v>
      </c>
      <c r="BX112" s="82">
        <v>57</v>
      </c>
      <c r="BY112" s="82">
        <v>2715.219971</v>
      </c>
      <c r="BZ112" s="100"/>
      <c r="CA112" s="37">
        <f t="shared" si="8"/>
        <v>1.2712053356663314E-2</v>
      </c>
      <c r="CB112" s="37">
        <f t="shared" si="7"/>
        <v>-3.6604238537473917E-2</v>
      </c>
      <c r="CC112" s="25"/>
      <c r="CD112" s="25"/>
      <c r="CE112" s="100"/>
      <c r="CF112" s="100"/>
      <c r="CG112" s="100"/>
      <c r="CH112" s="100"/>
      <c r="CI112" s="100"/>
      <c r="CJ112" s="100"/>
      <c r="CK112" s="100"/>
      <c r="CL112" s="100"/>
      <c r="CM112" s="100"/>
      <c r="CN112" s="100"/>
      <c r="CO112" s="100"/>
      <c r="CP112" s="100"/>
      <c r="CQ112" s="407"/>
      <c r="CR112" s="409"/>
    </row>
    <row r="113" spans="3:96" x14ac:dyDescent="0.2">
      <c r="C113" s="1" t="s">
        <v>1</v>
      </c>
      <c r="D113" s="12">
        <f>D111*D112</f>
        <v>126.92</v>
      </c>
      <c r="E113" s="1" t="e">
        <f ca="1">getformula(D113)</f>
        <v>#NAME?</v>
      </c>
      <c r="F113" s="1"/>
      <c r="G113" s="1"/>
      <c r="BE113" s="243"/>
      <c r="BG113" s="39"/>
      <c r="BH113" s="40"/>
      <c r="BL113" s="25"/>
      <c r="BM113" s="25"/>
      <c r="BN113" s="25"/>
      <c r="BO113" s="26"/>
      <c r="BP113" s="25"/>
      <c r="BQ113" s="25"/>
      <c r="BR113" s="25"/>
      <c r="BS113" s="25"/>
      <c r="BW113" s="21">
        <v>43191</v>
      </c>
      <c r="BX113" s="82">
        <v>57.52</v>
      </c>
      <c r="BY113" s="82">
        <v>2633.4499510000001</v>
      </c>
      <c r="BZ113" s="100"/>
      <c r="CA113" s="37">
        <f t="shared" si="8"/>
        <v>9.0814455782412141E-3</v>
      </c>
      <c r="CB113" s="37">
        <f t="shared" si="7"/>
        <v>-3.0578215715876586E-2</v>
      </c>
      <c r="CC113" s="25"/>
      <c r="CD113" s="25"/>
      <c r="CE113" s="100"/>
      <c r="CF113" s="100"/>
      <c r="CG113" s="100"/>
      <c r="CH113" s="100"/>
      <c r="CI113" s="100"/>
      <c r="CJ113" s="100"/>
      <c r="CK113" s="100"/>
      <c r="CL113" s="100"/>
      <c r="CM113" s="100"/>
      <c r="CN113" s="100"/>
      <c r="CO113" s="100"/>
      <c r="CP113" s="100"/>
      <c r="CQ113" s="407"/>
      <c r="CR113" s="408"/>
    </row>
    <row r="114" spans="3:96" x14ac:dyDescent="0.2">
      <c r="C114" s="1" t="s">
        <v>2</v>
      </c>
      <c r="D114" s="12">
        <v>2.59</v>
      </c>
      <c r="E114" s="1" t="s">
        <v>16</v>
      </c>
      <c r="F114" s="1"/>
      <c r="G114" s="1"/>
      <c r="BE114" s="243"/>
      <c r="BG114" s="39"/>
      <c r="BH114" s="40"/>
      <c r="BI114" s="44"/>
      <c r="BJ114" s="31"/>
      <c r="BK114" s="45"/>
      <c r="BL114" s="25"/>
      <c r="BM114" s="25"/>
      <c r="BN114" s="25"/>
      <c r="BO114" s="26"/>
      <c r="BP114" s="25"/>
      <c r="BQ114" s="25"/>
      <c r="BR114" s="25"/>
      <c r="BS114" s="25"/>
      <c r="BW114" s="21">
        <v>43221</v>
      </c>
      <c r="BX114" s="82">
        <v>57.669998</v>
      </c>
      <c r="BY114" s="82">
        <v>2642.959961</v>
      </c>
      <c r="BZ114" s="100"/>
      <c r="CA114" s="37">
        <f t="shared" si="8"/>
        <v>2.6043595344531446E-3</v>
      </c>
      <c r="CB114" s="37">
        <f t="shared" si="7"/>
        <v>3.6047314202012942E-3</v>
      </c>
      <c r="CC114" s="25"/>
      <c r="CD114" s="25"/>
      <c r="CE114" s="100"/>
      <c r="CF114" s="100"/>
      <c r="CG114" s="100"/>
      <c r="CH114" s="100"/>
      <c r="CI114" s="100"/>
      <c r="CJ114" s="100"/>
      <c r="CK114" s="100"/>
      <c r="CL114" s="100"/>
      <c r="CM114" s="100"/>
      <c r="CN114" s="100"/>
      <c r="CO114" s="100"/>
      <c r="CP114" s="100"/>
      <c r="CQ114" s="407"/>
      <c r="CR114" s="408"/>
    </row>
    <row r="115" spans="3:96" ht="15.75" x14ac:dyDescent="0.3">
      <c r="C115" s="1" t="s">
        <v>5</v>
      </c>
      <c r="D115" s="4">
        <f>'Tax adjusted CAPM'!D112</f>
        <v>0</v>
      </c>
      <c r="E115" s="1" t="e">
        <f ca="1">getformula(D115)</f>
        <v>#NAME?</v>
      </c>
      <c r="F115" s="1"/>
      <c r="G115" s="1"/>
      <c r="BE115" s="243"/>
      <c r="BG115" s="39"/>
      <c r="BH115" s="40"/>
      <c r="BI115" s="44"/>
      <c r="BJ115" s="31"/>
      <c r="BK115" s="45"/>
      <c r="BL115" s="25"/>
      <c r="BM115" s="25"/>
      <c r="BN115" s="25"/>
      <c r="BO115" s="26"/>
      <c r="BP115" s="25"/>
      <c r="BQ115" s="25"/>
      <c r="BR115" s="25"/>
      <c r="BS115" s="25"/>
      <c r="BW115" s="21">
        <v>43252</v>
      </c>
      <c r="BX115" s="82">
        <v>56.84</v>
      </c>
      <c r="BY115" s="82">
        <v>2718.6999510000001</v>
      </c>
      <c r="BZ115" s="100"/>
      <c r="CA115" s="37">
        <f t="shared" si="8"/>
        <v>-1.4496769718344347E-2</v>
      </c>
      <c r="CB115" s="37">
        <f t="shared" si="7"/>
        <v>2.8254320423445695E-2</v>
      </c>
      <c r="CC115" s="25"/>
      <c r="CD115" s="25"/>
      <c r="CE115" s="100"/>
      <c r="CF115" s="100"/>
      <c r="CG115" s="100"/>
      <c r="CH115" s="100"/>
      <c r="CI115" s="100"/>
      <c r="CJ115" s="100"/>
      <c r="CK115" s="100"/>
      <c r="CL115" s="100"/>
      <c r="CM115" s="100"/>
      <c r="CN115" s="100"/>
      <c r="CO115" s="100"/>
      <c r="CP115" s="100"/>
      <c r="CQ115" s="407"/>
      <c r="CR115" s="408"/>
    </row>
    <row r="116" spans="3:96" ht="15.75" x14ac:dyDescent="0.3">
      <c r="C116" s="1" t="s">
        <v>4</v>
      </c>
      <c r="D116" s="4">
        <v>4.2299999999999997E-2</v>
      </c>
      <c r="E116" s="1" t="e">
        <f ca="1">getformula(D116)</f>
        <v>#NAME?</v>
      </c>
      <c r="F116" s="1"/>
      <c r="G116" s="1"/>
      <c r="BE116" s="243"/>
      <c r="BG116" s="39"/>
      <c r="BH116" s="40"/>
      <c r="BI116" s="44"/>
      <c r="BJ116" s="31"/>
      <c r="BK116" s="45"/>
      <c r="BL116" s="25"/>
      <c r="BM116" s="25"/>
      <c r="BN116" s="25"/>
      <c r="BO116" s="26"/>
      <c r="BP116" s="25"/>
      <c r="BQ116" s="25"/>
      <c r="BR116" s="25"/>
      <c r="BS116" s="25"/>
      <c r="BW116" s="21">
        <v>43282</v>
      </c>
      <c r="BX116" s="82">
        <v>48.639999000000003</v>
      </c>
      <c r="BY116" s="82">
        <v>2704.9499510000001</v>
      </c>
      <c r="BZ116" s="100"/>
      <c r="CA116" s="37">
        <f>LN(BX116/BX115)</f>
        <v>-0.1557940861301991</v>
      </c>
      <c r="CB116" s="37">
        <f t="shared" si="7"/>
        <v>-5.0703971335106174E-3</v>
      </c>
      <c r="CC116" s="25"/>
      <c r="CD116" s="25"/>
      <c r="CE116" s="100"/>
      <c r="CF116" s="100"/>
      <c r="CG116" s="100"/>
      <c r="CH116" s="100"/>
      <c r="CI116" s="100"/>
      <c r="CJ116" s="100"/>
      <c r="CK116" s="100"/>
      <c r="CL116" s="100"/>
      <c r="CM116" s="100"/>
      <c r="CN116" s="100"/>
      <c r="CO116" s="100"/>
      <c r="CP116" s="100"/>
      <c r="CQ116" s="407"/>
      <c r="CR116" s="409"/>
    </row>
    <row r="117" spans="3:96" ht="15.75" x14ac:dyDescent="0.3">
      <c r="C117" s="1" t="s">
        <v>13</v>
      </c>
      <c r="D117" s="17">
        <f>'E(rm) via Market Multiple'!D114</f>
        <v>0</v>
      </c>
      <c r="E117" s="1" t="e">
        <f ca="1">getformula(D117)</f>
        <v>#NAME?</v>
      </c>
      <c r="F117" s="1"/>
      <c r="G117" s="1"/>
      <c r="BG117" s="39"/>
      <c r="BH117" s="40"/>
      <c r="BI117" s="44"/>
      <c r="BJ117" s="31"/>
      <c r="BK117" s="45"/>
      <c r="BL117" s="25"/>
      <c r="BM117" s="25"/>
      <c r="BN117" s="25"/>
      <c r="BO117" s="26"/>
      <c r="BP117" s="25"/>
      <c r="BQ117" s="25"/>
      <c r="BR117" s="25"/>
      <c r="BS117" s="25"/>
      <c r="BW117" s="38"/>
      <c r="BX117" s="82"/>
      <c r="BY117" s="82"/>
      <c r="BZ117" s="100"/>
      <c r="CA117" s="37"/>
      <c r="CB117" s="37"/>
      <c r="CC117" s="25"/>
      <c r="CD117" s="25"/>
      <c r="CE117" s="100"/>
      <c r="CF117" s="100"/>
      <c r="CG117" s="100"/>
      <c r="CH117" s="100"/>
      <c r="CI117" s="100"/>
      <c r="CJ117" s="100"/>
      <c r="CK117" s="100"/>
      <c r="CL117" s="100"/>
      <c r="CM117" s="100"/>
      <c r="CN117" s="100"/>
      <c r="CO117" s="100"/>
      <c r="CP117" s="100"/>
      <c r="CQ117" s="407"/>
      <c r="CR117" s="408"/>
    </row>
    <row r="118" spans="3:96" ht="15.75" x14ac:dyDescent="0.3">
      <c r="C118" s="1" t="s">
        <v>539</v>
      </c>
      <c r="D118" s="17">
        <f>'CAPM less assumptions'!D114</f>
        <v>0</v>
      </c>
      <c r="E118" s="1"/>
      <c r="F118" s="1"/>
      <c r="G118" s="1"/>
      <c r="BG118" s="39"/>
      <c r="BH118" s="40"/>
      <c r="BI118" s="44"/>
      <c r="BJ118" s="31"/>
      <c r="BK118" s="45"/>
      <c r="BL118" s="25"/>
      <c r="BM118" s="25"/>
      <c r="BN118" s="25"/>
      <c r="BO118" s="26"/>
      <c r="BP118" s="25"/>
      <c r="BQ118" s="25"/>
      <c r="BR118" s="25"/>
      <c r="BS118" s="25"/>
      <c r="BW118" s="38"/>
      <c r="BX118" s="82"/>
      <c r="BY118" s="82"/>
      <c r="BZ118" s="100"/>
      <c r="CA118" s="37"/>
      <c r="CB118" s="37"/>
      <c r="CC118" s="25"/>
      <c r="CD118" s="25"/>
      <c r="CE118" s="100"/>
      <c r="CF118" s="100"/>
      <c r="CG118" s="100"/>
      <c r="CH118" s="100"/>
      <c r="CI118" s="100"/>
      <c r="CJ118" s="100"/>
      <c r="CK118" s="100"/>
      <c r="CL118" s="100"/>
      <c r="CM118" s="100"/>
      <c r="CN118" s="100"/>
      <c r="CO118" s="100"/>
      <c r="CP118" s="100"/>
      <c r="CQ118" s="407"/>
      <c r="CR118" s="409"/>
    </row>
    <row r="119" spans="3:96" x14ac:dyDescent="0.2">
      <c r="C119" s="1" t="s">
        <v>14</v>
      </c>
      <c r="D119" s="116">
        <f>'Beta via S&amp;P 500'!D112</f>
        <v>0</v>
      </c>
      <c r="E119" s="1" t="e">
        <f ca="1">getformula(D119)</f>
        <v>#NAME?</v>
      </c>
      <c r="F119" s="1"/>
      <c r="G119" s="1"/>
      <c r="BG119" s="39"/>
      <c r="BH119" s="40"/>
      <c r="BI119" s="44"/>
      <c r="BJ119" s="31"/>
      <c r="BK119" s="45"/>
      <c r="BL119" s="25"/>
      <c r="BM119" s="25"/>
      <c r="BN119" s="25"/>
      <c r="BO119" s="26"/>
      <c r="BP119" s="25"/>
      <c r="BQ119" s="25"/>
      <c r="BR119" s="25"/>
      <c r="BS119" s="25"/>
      <c r="BW119" s="38"/>
      <c r="BX119" s="82"/>
      <c r="BY119" s="82"/>
      <c r="BZ119" s="100"/>
      <c r="CA119" s="37"/>
      <c r="CB119" s="37"/>
      <c r="CC119" s="25"/>
      <c r="CD119" s="25"/>
      <c r="CE119" s="100"/>
      <c r="CF119" s="100"/>
      <c r="CG119" s="100"/>
      <c r="CH119" s="100"/>
      <c r="CI119" s="100"/>
      <c r="CJ119" s="100"/>
      <c r="CK119" s="100"/>
      <c r="CL119" s="100"/>
      <c r="CM119" s="100"/>
      <c r="CN119" s="100"/>
      <c r="CO119" s="100"/>
      <c r="CP119" s="100"/>
      <c r="CQ119" s="407"/>
      <c r="CR119" s="408"/>
    </row>
    <row r="120" spans="3:96" x14ac:dyDescent="0.2">
      <c r="C120" s="1"/>
      <c r="D120" s="1"/>
      <c r="E120" s="1"/>
      <c r="F120" s="1"/>
      <c r="G120" s="1"/>
      <c r="BG120" s="39"/>
      <c r="BH120" s="40"/>
      <c r="BI120" s="44"/>
      <c r="BJ120" s="31"/>
      <c r="BK120" s="45"/>
      <c r="BL120" s="25"/>
      <c r="BM120" s="25"/>
      <c r="BN120" s="25"/>
      <c r="BO120" s="26"/>
      <c r="BP120" s="25"/>
      <c r="BQ120" s="25"/>
      <c r="BR120" s="25"/>
      <c r="BS120" s="25"/>
      <c r="BW120" s="38"/>
      <c r="BX120" s="82"/>
      <c r="BY120" s="82"/>
      <c r="BZ120" s="100"/>
      <c r="CA120" s="37"/>
      <c r="CB120" s="37"/>
      <c r="CC120" s="25"/>
      <c r="CD120" s="25"/>
      <c r="CE120" s="100"/>
      <c r="CF120" s="100"/>
      <c r="CG120" s="100"/>
      <c r="CH120" s="100"/>
      <c r="CI120" s="100"/>
      <c r="CJ120" s="100"/>
      <c r="CK120" s="100"/>
      <c r="CL120" s="100"/>
      <c r="CM120" s="100"/>
      <c r="CN120" s="100"/>
      <c r="CO120" s="100"/>
      <c r="CP120" s="100"/>
      <c r="CQ120" s="407"/>
      <c r="CR120" s="408"/>
    </row>
    <row r="121" spans="3:96" ht="15" x14ac:dyDescent="0.2">
      <c r="C121" s="3" t="s">
        <v>8</v>
      </c>
      <c r="D121" s="1"/>
      <c r="E121" s="1"/>
      <c r="F121" s="1"/>
      <c r="G121" s="1"/>
      <c r="BG121" s="39"/>
      <c r="BH121" s="40"/>
      <c r="BI121" s="44"/>
      <c r="BJ121" s="31"/>
      <c r="BK121" s="45"/>
      <c r="BL121" s="25"/>
      <c r="BM121" s="25"/>
      <c r="BN121" s="25"/>
      <c r="BO121" s="26"/>
      <c r="BP121" s="25"/>
      <c r="BQ121" s="25"/>
      <c r="BR121" s="25"/>
      <c r="BS121" s="25"/>
      <c r="BW121" s="38"/>
      <c r="BX121" s="82"/>
      <c r="BY121" s="82"/>
      <c r="BZ121" s="100"/>
      <c r="CA121" s="37"/>
      <c r="CB121" s="37"/>
      <c r="CC121" s="25"/>
      <c r="CD121" s="25"/>
      <c r="CE121" s="100"/>
      <c r="CF121" s="100"/>
      <c r="CG121" s="100"/>
      <c r="CH121" s="100"/>
      <c r="CI121" s="100"/>
      <c r="CJ121" s="100"/>
      <c r="CK121" s="100"/>
      <c r="CL121" s="100"/>
      <c r="CM121" s="100"/>
      <c r="CN121" s="100"/>
      <c r="CO121" s="100"/>
      <c r="CP121" s="100"/>
      <c r="CQ121" s="407"/>
      <c r="CR121" s="409"/>
    </row>
    <row r="122" spans="3:96" x14ac:dyDescent="0.2">
      <c r="C122" s="11" t="s">
        <v>29</v>
      </c>
      <c r="D122" s="75">
        <f>4*'Growth Rate via Dividends'!D152</f>
        <v>0</v>
      </c>
      <c r="E122" s="1" t="e">
        <f ca="1">getformula(D122)</f>
        <v>#NAME?</v>
      </c>
      <c r="F122" s="1"/>
      <c r="G122" s="1"/>
      <c r="BG122" s="39"/>
      <c r="BH122" s="40"/>
      <c r="BI122" s="44"/>
      <c r="BJ122" s="31"/>
      <c r="BK122" s="45"/>
      <c r="BL122" s="25"/>
      <c r="BM122" s="25"/>
      <c r="BN122" s="25"/>
      <c r="BO122" s="26"/>
      <c r="BP122" s="25"/>
      <c r="BQ122" s="25"/>
      <c r="BR122" s="25"/>
      <c r="BS122" s="25"/>
      <c r="BW122" s="38"/>
      <c r="BX122" s="82"/>
      <c r="BY122" s="82"/>
      <c r="BZ122" s="100"/>
      <c r="CA122" s="37"/>
      <c r="CB122" s="37"/>
      <c r="CC122" s="25"/>
      <c r="CD122" s="25"/>
      <c r="CE122" s="100"/>
      <c r="CF122" s="100"/>
      <c r="CG122" s="100"/>
      <c r="CH122" s="100"/>
      <c r="CI122" s="100"/>
      <c r="CJ122" s="100"/>
      <c r="CK122" s="100"/>
      <c r="CL122" s="100"/>
      <c r="CM122" s="100"/>
      <c r="CN122" s="100"/>
      <c r="CO122" s="100"/>
      <c r="CP122" s="100"/>
      <c r="CQ122" s="407"/>
      <c r="CR122" s="408"/>
    </row>
    <row r="123" spans="3:96" x14ac:dyDescent="0.2">
      <c r="C123" s="11" t="s">
        <v>30</v>
      </c>
      <c r="D123" s="24">
        <f>'Growth Rate via Dividends'!G118</f>
        <v>0</v>
      </c>
      <c r="E123" s="1" t="e">
        <f ca="1">getformula(D123)</f>
        <v>#NAME?</v>
      </c>
      <c r="F123" s="1"/>
      <c r="G123" s="1"/>
      <c r="BG123" s="39"/>
      <c r="BH123" s="40"/>
      <c r="BI123" s="44"/>
      <c r="BJ123" s="31"/>
      <c r="BK123" s="45"/>
      <c r="BL123" s="25"/>
      <c r="BM123" s="25"/>
      <c r="BN123" s="25"/>
      <c r="BO123" s="26"/>
      <c r="BP123" s="25"/>
      <c r="BQ123" s="25"/>
      <c r="BR123" s="25"/>
      <c r="BS123" s="25"/>
      <c r="BW123" s="38"/>
      <c r="BX123" s="82"/>
      <c r="BY123" s="82"/>
      <c r="BZ123" s="100"/>
      <c r="CA123" s="37"/>
      <c r="CB123" s="37"/>
      <c r="CC123" s="25"/>
      <c r="CD123" s="25"/>
      <c r="CE123" s="100"/>
      <c r="CF123" s="100"/>
      <c r="CG123" s="100"/>
      <c r="CH123" s="100"/>
      <c r="CI123" s="100"/>
      <c r="CJ123" s="100"/>
      <c r="CK123" s="100"/>
      <c r="CL123" s="100"/>
      <c r="CM123" s="100"/>
      <c r="CN123" s="100"/>
      <c r="CO123" s="100"/>
      <c r="CP123" s="100"/>
      <c r="CQ123" s="407"/>
      <c r="CR123" s="408"/>
    </row>
    <row r="124" spans="3:96" ht="15.75" x14ac:dyDescent="0.3">
      <c r="C124" s="1" t="s">
        <v>3</v>
      </c>
      <c r="D124" s="4">
        <f>D122*(1+D123)/D112+D123</f>
        <v>0</v>
      </c>
      <c r="E124" s="1" t="e">
        <f ca="1">getformula(D124)</f>
        <v>#NAME?</v>
      </c>
      <c r="F124" s="1"/>
      <c r="G124" s="1"/>
      <c r="BG124" s="39"/>
      <c r="BH124" s="40"/>
      <c r="BI124" s="44"/>
      <c r="BJ124" s="31"/>
      <c r="BK124" s="45"/>
      <c r="BL124" s="25"/>
      <c r="BM124" s="25"/>
      <c r="BN124" s="25"/>
      <c r="BO124" s="26"/>
      <c r="BP124" s="25"/>
      <c r="BQ124" s="25"/>
      <c r="BR124" s="25"/>
      <c r="BS124" s="25"/>
      <c r="BW124" s="38"/>
      <c r="BX124" s="82"/>
      <c r="BY124" s="82"/>
      <c r="BZ124" s="100"/>
      <c r="CA124" s="37"/>
      <c r="CB124" s="37"/>
      <c r="CC124" s="25"/>
      <c r="CD124" s="25"/>
      <c r="CE124" s="100"/>
      <c r="CF124" s="100"/>
      <c r="CG124" s="100"/>
      <c r="CH124" s="100"/>
      <c r="CI124" s="100"/>
      <c r="CJ124" s="100"/>
      <c r="CK124" s="100"/>
      <c r="CL124" s="100"/>
      <c r="CM124" s="100"/>
      <c r="CN124" s="100"/>
      <c r="CO124" s="100"/>
      <c r="CP124" s="100"/>
      <c r="CQ124" s="407"/>
      <c r="CR124" s="408"/>
    </row>
    <row r="125" spans="3:96" ht="15" x14ac:dyDescent="0.2">
      <c r="C125" s="5" t="s">
        <v>6</v>
      </c>
      <c r="D125" s="6" t="e">
        <f>D124*$B$4/($B$4+$B$5)+D116*(1-$B$6)*$B$5/($B$4+$B$5)</f>
        <v>#DIV/0!</v>
      </c>
      <c r="E125" s="1" t="e">
        <f ca="1">getformula(D125)</f>
        <v>#NAME?</v>
      </c>
      <c r="F125" s="1"/>
      <c r="G125" s="1"/>
      <c r="BG125" s="39"/>
      <c r="BH125" s="40"/>
      <c r="BI125" s="44"/>
      <c r="BJ125" s="31"/>
      <c r="BK125" s="45"/>
      <c r="BL125" s="25"/>
      <c r="BM125" s="25"/>
      <c r="BN125" s="25"/>
      <c r="BO125" s="26"/>
      <c r="BP125" s="25"/>
      <c r="BQ125" s="25"/>
      <c r="BR125" s="25"/>
      <c r="BS125" s="25"/>
      <c r="BW125" s="38"/>
      <c r="BX125" s="82"/>
      <c r="BY125" s="82"/>
      <c r="BZ125" s="100"/>
      <c r="CA125" s="37"/>
      <c r="CB125" s="37"/>
      <c r="CC125" s="25"/>
      <c r="CD125" s="25"/>
      <c r="CE125" s="100"/>
      <c r="CF125" s="100"/>
      <c r="CG125" s="100"/>
      <c r="CH125" s="100"/>
      <c r="CI125" s="100"/>
      <c r="CJ125" s="100"/>
      <c r="CK125" s="100"/>
      <c r="CL125" s="100"/>
      <c r="CM125" s="100"/>
      <c r="CN125" s="100"/>
      <c r="CO125" s="100"/>
      <c r="CP125" s="100"/>
      <c r="CQ125" s="407"/>
      <c r="CR125" s="409"/>
    </row>
    <row r="126" spans="3:96" x14ac:dyDescent="0.2">
      <c r="C126" s="7"/>
      <c r="D126" s="8"/>
      <c r="E126" s="1"/>
      <c r="F126" s="1"/>
      <c r="G126" s="1"/>
      <c r="BG126" s="39"/>
      <c r="BH126" s="40"/>
      <c r="BI126" s="44"/>
      <c r="BJ126" s="31"/>
      <c r="BK126" s="45"/>
      <c r="BL126" s="25"/>
      <c r="BM126" s="25"/>
      <c r="BN126" s="25"/>
      <c r="BO126" s="26"/>
      <c r="BP126" s="25"/>
      <c r="BQ126" s="25"/>
      <c r="BR126" s="25"/>
      <c r="BS126" s="25"/>
      <c r="BW126" s="38"/>
      <c r="BX126" s="82"/>
      <c r="BY126" s="82"/>
      <c r="BZ126" s="100"/>
      <c r="CA126" s="37"/>
      <c r="CB126" s="37"/>
      <c r="CC126" s="25"/>
      <c r="CD126" s="25"/>
      <c r="CE126" s="100"/>
      <c r="CF126" s="100"/>
      <c r="CG126" s="100"/>
      <c r="CH126" s="100"/>
      <c r="CI126" s="100"/>
      <c r="CJ126" s="100"/>
      <c r="CK126" s="100"/>
      <c r="CL126" s="100"/>
      <c r="CM126" s="100"/>
      <c r="CN126" s="100"/>
      <c r="CO126" s="100"/>
      <c r="CP126" s="100"/>
      <c r="CQ126" s="407"/>
      <c r="CR126" s="408"/>
    </row>
    <row r="127" spans="3:96" x14ac:dyDescent="0.2">
      <c r="C127" s="3" t="s">
        <v>9</v>
      </c>
      <c r="D127" s="1"/>
      <c r="E127" s="1"/>
      <c r="F127" s="1"/>
      <c r="G127" s="1"/>
      <c r="BG127" s="39"/>
      <c r="BH127" s="40"/>
      <c r="BI127" s="44"/>
      <c r="BJ127" s="31"/>
      <c r="BK127" s="45"/>
      <c r="BL127" s="25"/>
      <c r="BM127" s="25"/>
      <c r="BN127" s="25"/>
      <c r="BO127" s="26"/>
      <c r="BP127" s="25"/>
      <c r="BQ127" s="25"/>
      <c r="BR127" s="25"/>
      <c r="BS127" s="25"/>
      <c r="BW127" s="38"/>
      <c r="BX127" s="82"/>
      <c r="BY127" s="82"/>
      <c r="BZ127" s="100"/>
      <c r="CA127" s="37"/>
      <c r="CB127" s="37"/>
      <c r="CC127" s="25"/>
      <c r="CD127" s="25"/>
      <c r="CE127" s="100"/>
      <c r="CF127" s="100"/>
      <c r="CG127" s="100"/>
      <c r="CH127" s="100"/>
      <c r="CI127" s="100"/>
      <c r="CJ127" s="100"/>
      <c r="CK127" s="100"/>
      <c r="CL127" s="100"/>
      <c r="CM127" s="100"/>
      <c r="CN127" s="100"/>
      <c r="CO127" s="100"/>
      <c r="CP127" s="100"/>
      <c r="CQ127" s="407"/>
      <c r="CR127" s="408"/>
    </row>
    <row r="128" spans="3:96" x14ac:dyDescent="0.2">
      <c r="C128" s="11" t="s">
        <v>31</v>
      </c>
      <c r="D128" s="2">
        <f>'Cost of Equity via Payouts'!G116</f>
        <v>0</v>
      </c>
      <c r="E128" s="1" t="e">
        <f ca="1">getformula(D128)</f>
        <v>#NAME?</v>
      </c>
      <c r="F128" s="1"/>
      <c r="G128" s="1"/>
      <c r="BG128" s="39"/>
      <c r="BH128" s="40"/>
      <c r="BI128" s="44"/>
      <c r="BJ128" s="31"/>
      <c r="BK128" s="45"/>
      <c r="BL128" s="25"/>
      <c r="BM128" s="25"/>
      <c r="BN128" s="25"/>
      <c r="BO128" s="26"/>
      <c r="BP128" s="25"/>
      <c r="BQ128" s="25"/>
      <c r="BR128" s="25"/>
      <c r="BS128" s="25"/>
      <c r="BW128" s="38"/>
      <c r="BX128" s="82"/>
      <c r="BY128" s="82"/>
      <c r="BZ128" s="100"/>
      <c r="CA128" s="37"/>
      <c r="CB128" s="37"/>
      <c r="CC128" s="25"/>
      <c r="CD128" s="25"/>
      <c r="CE128" s="100"/>
      <c r="CF128" s="100"/>
      <c r="CG128" s="100"/>
      <c r="CH128" s="100"/>
      <c r="CI128" s="100"/>
      <c r="CJ128" s="100"/>
      <c r="CK128" s="100"/>
      <c r="CL128" s="100"/>
      <c r="CM128" s="100"/>
      <c r="CN128" s="100"/>
      <c r="CO128" s="100"/>
      <c r="CP128" s="100"/>
      <c r="CQ128" s="407"/>
      <c r="CR128" s="408"/>
    </row>
    <row r="129" spans="3:96" ht="15" x14ac:dyDescent="0.2">
      <c r="C129" s="11" t="s">
        <v>30</v>
      </c>
      <c r="D129" s="4">
        <f>'Cost of Equity via Payouts'!D118</f>
        <v>0</v>
      </c>
      <c r="E129" s="1" t="e">
        <f ca="1">getformula(D129)</f>
        <v>#NAME?</v>
      </c>
      <c r="F129" s="1"/>
      <c r="G129" s="1"/>
      <c r="BG129" s="39"/>
      <c r="BH129" s="40"/>
      <c r="BI129" s="44"/>
      <c r="BJ129" s="31"/>
      <c r="BK129" s="45"/>
      <c r="BL129" s="25"/>
      <c r="BX129" s="82"/>
      <c r="BY129" s="82"/>
      <c r="BZ129" s="82"/>
      <c r="CQ129" s="407"/>
      <c r="CR129" s="409"/>
    </row>
    <row r="130" spans="3:96" ht="15.75" x14ac:dyDescent="0.3">
      <c r="C130" s="1" t="s">
        <v>3</v>
      </c>
      <c r="D130" s="4">
        <f>'Gordon Two Stage'!H129</f>
        <v>0</v>
      </c>
      <c r="E130" s="1" t="e">
        <f ca="1">getformula(D130)</f>
        <v>#NAME?</v>
      </c>
      <c r="F130" s="1" t="s">
        <v>570</v>
      </c>
      <c r="G130" s="1"/>
      <c r="BG130" s="39"/>
      <c r="BH130" s="40"/>
      <c r="BI130" s="44"/>
      <c r="BJ130" s="31"/>
      <c r="BK130" s="45"/>
      <c r="BL130" s="25"/>
      <c r="BX130" s="82"/>
      <c r="BY130" s="82"/>
      <c r="BZ130" s="82"/>
      <c r="CQ130" s="407"/>
      <c r="CR130" s="408"/>
    </row>
    <row r="131" spans="3:96" x14ac:dyDescent="0.2">
      <c r="C131" s="5" t="s">
        <v>6</v>
      </c>
      <c r="D131" s="6" t="e">
        <f>D130*$B$4/($B$4+$B$5)+D122*(1-$B$6)*$B$5/($B$4+$B$5)</f>
        <v>#DIV/0!</v>
      </c>
      <c r="E131" s="1" t="e">
        <f ca="1">getformula(D131)</f>
        <v>#NAME?</v>
      </c>
      <c r="F131" s="1"/>
      <c r="G131" s="1"/>
      <c r="BG131" s="39"/>
      <c r="BH131" s="40"/>
      <c r="BI131" s="44"/>
      <c r="BJ131" s="31"/>
      <c r="BK131" s="45"/>
      <c r="BL131" s="25"/>
      <c r="BX131" s="82"/>
      <c r="BY131" s="82"/>
      <c r="BZ131" s="82"/>
      <c r="CQ131" s="407"/>
      <c r="CR131" s="408"/>
    </row>
    <row r="132" spans="3:96" x14ac:dyDescent="0.2">
      <c r="C132" s="7"/>
      <c r="D132" s="8"/>
      <c r="E132" s="1"/>
      <c r="F132" s="1"/>
      <c r="G132" s="1"/>
      <c r="BG132" s="39"/>
      <c r="BH132" s="40"/>
      <c r="BI132" s="44"/>
      <c r="BJ132" s="31"/>
      <c r="BK132" s="45"/>
      <c r="BL132" s="25"/>
      <c r="BX132" s="82"/>
      <c r="BY132" s="82"/>
      <c r="BZ132" s="82"/>
    </row>
    <row r="133" spans="3:96" x14ac:dyDescent="0.2">
      <c r="C133" s="3" t="s">
        <v>10</v>
      </c>
      <c r="D133" s="1"/>
      <c r="E133" s="1"/>
      <c r="F133" s="1"/>
      <c r="G133" s="1"/>
      <c r="BG133" s="39"/>
      <c r="BH133" s="40"/>
      <c r="BI133" s="44"/>
      <c r="BJ133" s="31"/>
      <c r="BK133" s="45"/>
      <c r="BL133" s="25"/>
      <c r="BX133" s="82"/>
      <c r="BY133" s="82"/>
      <c r="BZ133" s="82"/>
    </row>
    <row r="134" spans="3:96" ht="15.75" x14ac:dyDescent="0.3">
      <c r="C134" s="1" t="s">
        <v>3</v>
      </c>
      <c r="D134" s="4">
        <f>D118+D119*(D117-D118)</f>
        <v>0</v>
      </c>
      <c r="E134" s="1" t="e">
        <f ca="1">getformula(D134)</f>
        <v>#NAME?</v>
      </c>
      <c r="F134" s="1"/>
      <c r="G134" s="1"/>
      <c r="BG134" s="39"/>
      <c r="BH134" s="40"/>
      <c r="BI134" s="44"/>
      <c r="BJ134" s="31"/>
      <c r="BK134" s="45"/>
      <c r="BL134" s="25"/>
      <c r="BX134" s="82"/>
      <c r="BY134" s="82"/>
      <c r="BZ134" s="82"/>
    </row>
    <row r="135" spans="3:96" x14ac:dyDescent="0.2">
      <c r="C135" s="5" t="s">
        <v>6</v>
      </c>
      <c r="D135" s="6" t="e">
        <f>D134*$B$4/($B$4+$B$5)+D126*(1-$B$6)*$B$5/($B$4+$B$5)</f>
        <v>#DIV/0!</v>
      </c>
      <c r="E135" s="1" t="e">
        <f ca="1">getformula(D135)</f>
        <v>#NAME?</v>
      </c>
      <c r="F135" s="1"/>
      <c r="G135" s="1"/>
      <c r="BG135" s="39"/>
      <c r="BH135" s="40"/>
      <c r="BI135" s="44"/>
      <c r="BJ135" s="31"/>
      <c r="BK135" s="45"/>
      <c r="BL135" s="25"/>
      <c r="BX135" s="82"/>
      <c r="BY135" s="82"/>
      <c r="BZ135" s="82"/>
    </row>
    <row r="136" spans="3:96" x14ac:dyDescent="0.2">
      <c r="C136" s="1"/>
      <c r="D136" s="1"/>
      <c r="E136" s="1"/>
      <c r="F136" s="1"/>
      <c r="G136" s="1"/>
      <c r="BG136" s="39"/>
      <c r="BH136" s="40"/>
      <c r="BI136" s="44"/>
      <c r="BJ136" s="31"/>
      <c r="BK136" s="45"/>
      <c r="BL136" s="25"/>
      <c r="BX136" s="82"/>
      <c r="BY136" s="82"/>
      <c r="BZ136" s="82"/>
    </row>
    <row r="137" spans="3:96" x14ac:dyDescent="0.2">
      <c r="C137" s="3" t="s">
        <v>11</v>
      </c>
      <c r="D137" s="1"/>
      <c r="E137" s="1"/>
      <c r="F137" s="1"/>
      <c r="G137" s="1"/>
      <c r="BG137" s="39"/>
      <c r="BH137" s="40"/>
      <c r="BI137" s="44"/>
      <c r="BJ137" s="31"/>
      <c r="BK137" s="45"/>
      <c r="BL137" s="25"/>
      <c r="BX137" s="82"/>
      <c r="BY137" s="82"/>
      <c r="BZ137" s="82"/>
    </row>
    <row r="138" spans="3:96" ht="15.75" x14ac:dyDescent="0.3">
      <c r="C138" s="1" t="s">
        <v>3</v>
      </c>
      <c r="D138" s="164">
        <f>D118*(1-D115)+D119*(D117-D118*(1-D115))</f>
        <v>0</v>
      </c>
      <c r="E138" s="1" t="e">
        <f ca="1">getformula(D138)</f>
        <v>#NAME?</v>
      </c>
      <c r="F138" s="1"/>
      <c r="G138" s="1"/>
      <c r="BG138" s="39"/>
      <c r="BH138" s="40"/>
      <c r="BI138" s="44"/>
      <c r="BJ138" s="31"/>
      <c r="BK138" s="45"/>
      <c r="BL138" s="25"/>
      <c r="BX138" s="82"/>
      <c r="BY138" s="82"/>
      <c r="BZ138" s="82"/>
    </row>
    <row r="139" spans="3:96" x14ac:dyDescent="0.2">
      <c r="C139" s="5" t="s">
        <v>6</v>
      </c>
      <c r="D139" s="6" t="e">
        <f>D138*$B$4/($B$4+$B$5)+D130*(1-$B$6)*$B$5/($B$4+$B$5)</f>
        <v>#DIV/0!</v>
      </c>
      <c r="E139" s="1" t="e">
        <f ca="1">getformula(D139)</f>
        <v>#NAME?</v>
      </c>
      <c r="F139" s="1"/>
      <c r="G139" s="1"/>
      <c r="BG139" s="39"/>
      <c r="BH139" s="40"/>
      <c r="BI139" s="44"/>
      <c r="BJ139" s="31"/>
      <c r="BK139" s="45"/>
      <c r="BL139" s="25"/>
      <c r="BX139" s="82"/>
      <c r="BY139" s="82"/>
      <c r="BZ139" s="82"/>
    </row>
    <row r="140" spans="3:96" x14ac:dyDescent="0.2">
      <c r="C140" s="1"/>
      <c r="D140" s="1"/>
      <c r="E140" s="1"/>
      <c r="F140" s="1"/>
      <c r="G140" s="1"/>
      <c r="BG140" s="39"/>
      <c r="BH140" s="40"/>
      <c r="BI140" s="44"/>
      <c r="BJ140" s="31"/>
      <c r="BK140" s="45"/>
      <c r="BL140" s="25"/>
      <c r="BX140" s="82"/>
      <c r="BY140" s="82"/>
      <c r="BZ140" s="82"/>
    </row>
    <row r="141" spans="3:96" x14ac:dyDescent="0.2">
      <c r="C141" s="9" t="s">
        <v>7</v>
      </c>
      <c r="D141" s="10" t="e">
        <f>AVERAGE(D125,D135,D139)</f>
        <v>#DIV/0!</v>
      </c>
      <c r="E141" s="1" t="e">
        <f ca="1">getformula(D141)</f>
        <v>#NAME?</v>
      </c>
      <c r="F141" s="1"/>
      <c r="G141" s="1"/>
      <c r="BG141" s="39"/>
      <c r="BH141" s="40"/>
      <c r="BI141" s="44"/>
      <c r="BJ141" s="31"/>
      <c r="BK141" s="45"/>
      <c r="BL141" s="25"/>
      <c r="BX141" s="82"/>
      <c r="BY141" s="82"/>
      <c r="BZ141" s="82"/>
    </row>
    <row r="142" spans="3:96" x14ac:dyDescent="0.2">
      <c r="BG142" s="39"/>
      <c r="BH142" s="40"/>
      <c r="BI142" s="44"/>
      <c r="BJ142" s="31"/>
      <c r="BK142" s="45"/>
      <c r="BL142" s="25"/>
      <c r="BX142" s="82"/>
      <c r="BY142" s="82"/>
      <c r="BZ142" s="82"/>
    </row>
    <row r="143" spans="3:96" x14ac:dyDescent="0.2">
      <c r="BG143" s="39"/>
      <c r="BH143" s="40"/>
      <c r="BI143" s="44"/>
      <c r="BJ143" s="31"/>
      <c r="BK143" s="45"/>
      <c r="BL143" s="25"/>
      <c r="BX143" s="82"/>
      <c r="BY143" s="82"/>
      <c r="BZ143" s="82"/>
    </row>
    <row r="144" spans="3:96" x14ac:dyDescent="0.2">
      <c r="BG144" s="39"/>
      <c r="BH144" s="40"/>
      <c r="BI144" s="44"/>
      <c r="BJ144" s="31"/>
      <c r="BK144" s="45"/>
      <c r="BL144" s="25"/>
      <c r="BX144" s="82"/>
      <c r="BY144" s="82"/>
      <c r="BZ144" s="82"/>
    </row>
    <row r="145" spans="59:78" x14ac:dyDescent="0.2">
      <c r="BG145" s="39"/>
      <c r="BH145" s="40"/>
      <c r="BI145" s="44"/>
      <c r="BJ145" s="31"/>
      <c r="BK145" s="45"/>
      <c r="BL145" s="25"/>
      <c r="BX145" s="82"/>
      <c r="BY145" s="82"/>
      <c r="BZ145" s="82"/>
    </row>
    <row r="146" spans="59:78" x14ac:dyDescent="0.2">
      <c r="BG146" s="39"/>
      <c r="BH146" s="40"/>
      <c r="BI146" s="44"/>
      <c r="BJ146" s="31"/>
      <c r="BK146" s="45"/>
      <c r="BL146" s="25"/>
      <c r="BX146" s="82"/>
      <c r="BY146" s="82"/>
      <c r="BZ146" s="82"/>
    </row>
    <row r="147" spans="59:78" x14ac:dyDescent="0.2">
      <c r="BG147" s="39"/>
      <c r="BH147" s="40"/>
      <c r="BI147" s="44"/>
      <c r="BJ147" s="31"/>
      <c r="BK147" s="45"/>
      <c r="BL147" s="25"/>
      <c r="BX147" s="82"/>
      <c r="BY147" s="82"/>
      <c r="BZ147" s="82"/>
    </row>
    <row r="148" spans="59:78" x14ac:dyDescent="0.2">
      <c r="BG148" s="39"/>
      <c r="BH148" s="40"/>
      <c r="BI148" s="44"/>
      <c r="BJ148" s="31"/>
      <c r="BK148" s="45"/>
      <c r="BL148" s="25"/>
      <c r="BX148" s="82"/>
      <c r="BY148" s="82"/>
      <c r="BZ148" s="82"/>
    </row>
    <row r="149" spans="59:78" x14ac:dyDescent="0.2">
      <c r="BG149" s="39"/>
      <c r="BH149" s="40"/>
      <c r="BI149" s="44"/>
      <c r="BJ149" s="31"/>
      <c r="BK149" s="45"/>
      <c r="BL149" s="25"/>
      <c r="BX149" s="82"/>
      <c r="BY149" s="82"/>
      <c r="BZ149" s="82"/>
    </row>
    <row r="150" spans="59:78" x14ac:dyDescent="0.2">
      <c r="BG150" s="39"/>
      <c r="BH150" s="40"/>
      <c r="BI150" s="44"/>
      <c r="BJ150" s="31"/>
      <c r="BK150" s="45"/>
      <c r="BL150" s="25"/>
      <c r="BX150" s="82"/>
      <c r="BY150" s="82"/>
      <c r="BZ150" s="82"/>
    </row>
    <row r="151" spans="59:78" x14ac:dyDescent="0.2">
      <c r="BG151" s="39"/>
      <c r="BH151" s="40"/>
      <c r="BI151" s="44"/>
      <c r="BJ151" s="31"/>
      <c r="BK151" s="45"/>
      <c r="BL151" s="25"/>
      <c r="BX151" s="82"/>
      <c r="BY151" s="82"/>
      <c r="BZ151" s="82"/>
    </row>
    <row r="152" spans="59:78" x14ac:dyDescent="0.2">
      <c r="BG152" s="39"/>
      <c r="BH152" s="40"/>
      <c r="BI152" s="44"/>
      <c r="BJ152" s="31"/>
      <c r="BK152" s="45"/>
      <c r="BL152" s="25"/>
      <c r="BX152" s="82"/>
      <c r="BY152" s="82"/>
      <c r="BZ152" s="82"/>
    </row>
    <row r="153" spans="59:78" x14ac:dyDescent="0.2">
      <c r="BG153" s="39"/>
      <c r="BH153" s="40"/>
      <c r="BI153" s="44"/>
      <c r="BJ153" s="31"/>
      <c r="BK153" s="45"/>
      <c r="BL153" s="25"/>
      <c r="BX153" s="82"/>
      <c r="BY153" s="82"/>
      <c r="BZ153" s="82"/>
    </row>
    <row r="154" spans="59:78" x14ac:dyDescent="0.2">
      <c r="BG154" s="39"/>
      <c r="BH154" s="40"/>
      <c r="BI154" s="44"/>
      <c r="BJ154" s="31"/>
      <c r="BK154" s="45"/>
      <c r="BL154" s="25"/>
      <c r="BX154" s="82"/>
      <c r="BY154" s="82"/>
      <c r="BZ154" s="82"/>
    </row>
    <row r="155" spans="59:78" x14ac:dyDescent="0.2">
      <c r="BG155" s="39"/>
      <c r="BH155" s="40"/>
      <c r="BI155" s="44"/>
      <c r="BJ155" s="31"/>
      <c r="BK155" s="45"/>
      <c r="BL155" s="25"/>
      <c r="BX155" s="82"/>
      <c r="BY155" s="82"/>
      <c r="BZ155" s="82"/>
    </row>
    <row r="156" spans="59:78" x14ac:dyDescent="0.2">
      <c r="BG156" s="39"/>
      <c r="BH156" s="40"/>
      <c r="BI156" s="44"/>
      <c r="BJ156" s="31"/>
      <c r="BK156" s="45"/>
      <c r="BL156" s="25"/>
      <c r="BX156" s="82"/>
      <c r="BY156" s="82"/>
      <c r="BZ156" s="82"/>
    </row>
    <row r="157" spans="59:78" x14ac:dyDescent="0.2">
      <c r="BG157" s="39"/>
      <c r="BH157" s="40"/>
      <c r="BI157" s="44"/>
      <c r="BJ157" s="31"/>
      <c r="BK157" s="45"/>
      <c r="BL157" s="25"/>
      <c r="BX157" s="82"/>
      <c r="BY157" s="82"/>
      <c r="BZ157" s="82"/>
    </row>
    <row r="158" spans="59:78" x14ac:dyDescent="0.2">
      <c r="BG158" s="39"/>
      <c r="BH158" s="40"/>
      <c r="BI158" s="44"/>
      <c r="BJ158" s="31"/>
      <c r="BK158" s="45"/>
      <c r="BL158" s="25"/>
      <c r="BX158" s="82"/>
      <c r="BY158" s="82"/>
      <c r="BZ158" s="82"/>
    </row>
    <row r="159" spans="59:78" x14ac:dyDescent="0.2">
      <c r="BG159" s="39"/>
      <c r="BH159" s="40"/>
      <c r="BI159" s="44"/>
      <c r="BJ159" s="31"/>
      <c r="BK159" s="45"/>
      <c r="BL159" s="25"/>
      <c r="BX159" s="82"/>
      <c r="BY159" s="82"/>
      <c r="BZ159" s="82"/>
    </row>
    <row r="160" spans="59:78" x14ac:dyDescent="0.2">
      <c r="BG160" s="39"/>
      <c r="BH160" s="40"/>
      <c r="BI160" s="44"/>
      <c r="BJ160" s="31"/>
      <c r="BK160" s="45"/>
      <c r="BL160" s="25"/>
      <c r="BX160" s="82"/>
      <c r="BY160" s="82"/>
      <c r="BZ160" s="82"/>
    </row>
    <row r="161" spans="59:78" x14ac:dyDescent="0.2">
      <c r="BG161" s="39"/>
      <c r="BH161" s="40"/>
      <c r="BI161" s="44"/>
      <c r="BJ161" s="31"/>
      <c r="BK161" s="45"/>
      <c r="BL161" s="25"/>
      <c r="BX161" s="82"/>
      <c r="BY161" s="82"/>
      <c r="BZ161" s="82"/>
    </row>
    <row r="162" spans="59:78" x14ac:dyDescent="0.2">
      <c r="BG162" s="39"/>
      <c r="BH162" s="40"/>
      <c r="BI162" s="44"/>
      <c r="BJ162" s="31"/>
      <c r="BK162" s="45"/>
      <c r="BL162" s="25"/>
      <c r="BX162" s="82"/>
      <c r="BY162" s="82"/>
      <c r="BZ162" s="82"/>
    </row>
    <row r="163" spans="59:78" x14ac:dyDescent="0.2">
      <c r="BG163" s="39"/>
      <c r="BH163" s="40"/>
      <c r="BI163" s="44"/>
      <c r="BJ163" s="31"/>
      <c r="BK163" s="45"/>
      <c r="BL163" s="25"/>
      <c r="BX163" s="82"/>
      <c r="BY163" s="82"/>
      <c r="BZ163" s="82"/>
    </row>
    <row r="164" spans="59:78" x14ac:dyDescent="0.2">
      <c r="BG164" s="39"/>
      <c r="BH164" s="40"/>
      <c r="BI164" s="44"/>
      <c r="BJ164" s="31"/>
      <c r="BK164" s="45"/>
      <c r="BL164" s="25"/>
      <c r="BX164" s="82"/>
      <c r="BY164" s="82"/>
      <c r="BZ164" s="82"/>
    </row>
    <row r="165" spans="59:78" x14ac:dyDescent="0.2">
      <c r="BG165" s="39"/>
      <c r="BH165" s="40"/>
      <c r="BI165" s="44"/>
      <c r="BJ165" s="31"/>
      <c r="BK165" s="45"/>
      <c r="BL165" s="25"/>
      <c r="BX165" s="82"/>
      <c r="BY165" s="82"/>
      <c r="BZ165" s="82"/>
    </row>
    <row r="166" spans="59:78" x14ac:dyDescent="0.2">
      <c r="BG166" s="39"/>
      <c r="BH166" s="40"/>
      <c r="BI166" s="44"/>
      <c r="BJ166" s="31"/>
      <c r="BK166" s="45"/>
      <c r="BL166" s="25"/>
      <c r="BX166" s="82"/>
      <c r="BY166" s="82"/>
      <c r="BZ166" s="82"/>
    </row>
    <row r="167" spans="59:78" x14ac:dyDescent="0.2">
      <c r="BG167" s="39"/>
      <c r="BH167" s="40"/>
      <c r="BI167" s="44"/>
      <c r="BJ167" s="31"/>
      <c r="BK167" s="45"/>
      <c r="BL167" s="25"/>
      <c r="BX167" s="82"/>
      <c r="BY167" s="82"/>
      <c r="BZ167" s="82"/>
    </row>
    <row r="168" spans="59:78" x14ac:dyDescent="0.2">
      <c r="BG168" s="39"/>
      <c r="BH168" s="40"/>
      <c r="BI168" s="44"/>
      <c r="BJ168" s="31"/>
      <c r="BK168" s="45"/>
      <c r="BL168" s="25"/>
      <c r="BX168" s="82"/>
      <c r="BY168" s="82"/>
      <c r="BZ168" s="82"/>
    </row>
    <row r="169" spans="59:78" x14ac:dyDescent="0.2">
      <c r="BG169" s="39"/>
      <c r="BH169" s="40"/>
      <c r="BI169" s="44"/>
      <c r="BJ169" s="31"/>
      <c r="BK169" s="45"/>
      <c r="BL169" s="25"/>
      <c r="BX169" s="82"/>
      <c r="BY169" s="82"/>
      <c r="BZ169" s="82"/>
    </row>
    <row r="170" spans="59:78" x14ac:dyDescent="0.2">
      <c r="BG170" s="39"/>
      <c r="BH170" s="40"/>
      <c r="BI170" s="44"/>
      <c r="BJ170" s="31"/>
      <c r="BK170" s="45"/>
      <c r="BL170" s="25"/>
      <c r="BX170" s="82"/>
      <c r="BY170" s="82"/>
      <c r="BZ170" s="82"/>
    </row>
    <row r="171" spans="59:78" x14ac:dyDescent="0.2">
      <c r="BG171" s="39"/>
      <c r="BH171" s="40"/>
      <c r="BI171" s="44"/>
      <c r="BJ171" s="31"/>
      <c r="BK171" s="45"/>
      <c r="BL171" s="25"/>
      <c r="BX171" s="82"/>
      <c r="BY171" s="82"/>
      <c r="BZ171" s="82"/>
    </row>
    <row r="172" spans="59:78" x14ac:dyDescent="0.2">
      <c r="BG172" s="39"/>
      <c r="BH172" s="40"/>
      <c r="BI172" s="44"/>
      <c r="BJ172" s="31"/>
      <c r="BK172" s="45"/>
      <c r="BL172" s="25"/>
      <c r="BX172" s="82"/>
      <c r="BY172" s="82"/>
      <c r="BZ172" s="82"/>
    </row>
    <row r="173" spans="59:78" x14ac:dyDescent="0.2">
      <c r="BG173" s="39"/>
      <c r="BH173" s="40"/>
      <c r="BI173" s="44"/>
      <c r="BJ173" s="31"/>
      <c r="BK173" s="45"/>
      <c r="BL173" s="25"/>
      <c r="BX173" s="82"/>
      <c r="BY173" s="82"/>
      <c r="BZ173" s="82"/>
    </row>
    <row r="174" spans="59:78" x14ac:dyDescent="0.2">
      <c r="BG174" s="39"/>
      <c r="BH174" s="40"/>
      <c r="BI174" s="44"/>
      <c r="BJ174" s="31"/>
      <c r="BK174" s="45"/>
      <c r="BL174" s="25"/>
      <c r="BX174" s="82"/>
      <c r="BY174" s="82"/>
      <c r="BZ174" s="82"/>
    </row>
    <row r="175" spans="59:78" x14ac:dyDescent="0.2">
      <c r="BG175" s="39"/>
      <c r="BH175" s="40"/>
      <c r="BI175" s="44"/>
      <c r="BJ175" s="31"/>
      <c r="BK175" s="45"/>
      <c r="BL175" s="25"/>
      <c r="BX175" s="82"/>
      <c r="BY175" s="82"/>
      <c r="BZ175" s="82"/>
    </row>
    <row r="176" spans="59:78" x14ac:dyDescent="0.2">
      <c r="BG176" s="39"/>
      <c r="BH176" s="40"/>
      <c r="BI176" s="44"/>
      <c r="BJ176" s="31"/>
      <c r="BK176" s="45"/>
      <c r="BL176" s="25"/>
      <c r="BX176" s="82"/>
      <c r="BY176" s="82"/>
      <c r="BZ176" s="82"/>
    </row>
    <row r="177" spans="59:78" x14ac:dyDescent="0.2">
      <c r="BG177" s="39"/>
      <c r="BH177" s="40"/>
      <c r="BI177" s="44"/>
      <c r="BJ177" s="31"/>
      <c r="BK177" s="45"/>
      <c r="BL177" s="25"/>
      <c r="BX177" s="82"/>
      <c r="BY177" s="82"/>
      <c r="BZ177" s="82"/>
    </row>
    <row r="178" spans="59:78" x14ac:dyDescent="0.2">
      <c r="BG178" s="39"/>
      <c r="BH178" s="40"/>
      <c r="BI178" s="44"/>
      <c r="BJ178" s="31"/>
      <c r="BK178" s="45"/>
      <c r="BL178" s="25"/>
      <c r="BX178" s="82"/>
      <c r="BY178" s="82"/>
      <c r="BZ178" s="82"/>
    </row>
    <row r="179" spans="59:78" x14ac:dyDescent="0.2">
      <c r="BG179" s="39"/>
      <c r="BH179" s="40"/>
      <c r="BI179" s="44"/>
      <c r="BJ179" s="31"/>
      <c r="BK179" s="45"/>
      <c r="BL179" s="25"/>
      <c r="BX179" s="82"/>
      <c r="BY179" s="82"/>
      <c r="BZ179" s="82"/>
    </row>
    <row r="180" spans="59:78" x14ac:dyDescent="0.2">
      <c r="BG180" s="39"/>
      <c r="BH180" s="40"/>
      <c r="BI180" s="44"/>
      <c r="BJ180" s="31"/>
      <c r="BK180" s="45"/>
      <c r="BL180" s="25"/>
      <c r="BX180" s="82"/>
      <c r="BY180" s="82"/>
      <c r="BZ180" s="82"/>
    </row>
    <row r="181" spans="59:78" x14ac:dyDescent="0.2">
      <c r="BG181" s="39"/>
      <c r="BH181" s="40"/>
      <c r="BI181" s="44"/>
      <c r="BJ181" s="31"/>
      <c r="BK181" s="45"/>
      <c r="BL181" s="25"/>
      <c r="BX181" s="82"/>
      <c r="BY181" s="82"/>
      <c r="BZ181" s="82"/>
    </row>
    <row r="182" spans="59:78" x14ac:dyDescent="0.2">
      <c r="BG182" s="39"/>
      <c r="BH182" s="40"/>
      <c r="BI182" s="44"/>
      <c r="BJ182" s="31"/>
      <c r="BK182" s="45"/>
      <c r="BL182" s="25"/>
      <c r="BX182" s="82"/>
      <c r="BY182" s="82"/>
      <c r="BZ182" s="82"/>
    </row>
    <row r="183" spans="59:78" x14ac:dyDescent="0.2">
      <c r="BG183" s="39"/>
      <c r="BH183" s="40"/>
      <c r="BI183" s="44"/>
      <c r="BJ183" s="31"/>
      <c r="BK183" s="45"/>
      <c r="BL183" s="25"/>
      <c r="BX183" s="82"/>
      <c r="BY183" s="82"/>
      <c r="BZ183" s="82"/>
    </row>
    <row r="184" spans="59:78" x14ac:dyDescent="0.2">
      <c r="BG184" s="39"/>
      <c r="BH184" s="40"/>
      <c r="BI184" s="44"/>
      <c r="BJ184" s="31"/>
      <c r="BK184" s="45"/>
      <c r="BL184" s="25"/>
      <c r="BX184" s="82"/>
      <c r="BY184" s="82"/>
      <c r="BZ184" s="82"/>
    </row>
    <row r="185" spans="59:78" x14ac:dyDescent="0.2">
      <c r="BG185" s="39"/>
      <c r="BH185" s="40"/>
      <c r="BI185" s="44"/>
      <c r="BJ185" s="31"/>
      <c r="BK185" s="45"/>
      <c r="BL185" s="25"/>
      <c r="BX185" s="82"/>
      <c r="BY185" s="82"/>
      <c r="BZ185" s="82"/>
    </row>
    <row r="186" spans="59:78" x14ac:dyDescent="0.2">
      <c r="BG186" s="39"/>
      <c r="BH186" s="40"/>
      <c r="BI186" s="44"/>
      <c r="BJ186" s="31"/>
      <c r="BK186" s="45"/>
      <c r="BL186" s="25"/>
      <c r="BX186" s="82"/>
      <c r="BY186" s="82"/>
      <c r="BZ186" s="82"/>
    </row>
    <row r="187" spans="59:78" x14ac:dyDescent="0.2">
      <c r="BG187" s="39"/>
      <c r="BH187" s="40"/>
      <c r="BI187" s="44"/>
      <c r="BJ187" s="31"/>
      <c r="BK187" s="45"/>
      <c r="BL187" s="25"/>
      <c r="BX187" s="82"/>
      <c r="BY187" s="82"/>
      <c r="BZ187" s="82"/>
    </row>
    <row r="188" spans="59:78" x14ac:dyDescent="0.2">
      <c r="BG188" s="39"/>
      <c r="BH188" s="40"/>
      <c r="BI188" s="44"/>
      <c r="BJ188" s="31"/>
      <c r="BK188" s="45"/>
      <c r="BL188" s="25"/>
      <c r="BX188" s="82"/>
      <c r="BY188" s="82"/>
      <c r="BZ188" s="82"/>
    </row>
    <row r="189" spans="59:78" x14ac:dyDescent="0.2">
      <c r="BG189" s="39"/>
      <c r="BH189" s="40"/>
      <c r="BI189" s="44"/>
      <c r="BJ189" s="31"/>
      <c r="BK189" s="45"/>
      <c r="BL189" s="25"/>
      <c r="BX189" s="82"/>
      <c r="BY189" s="82"/>
      <c r="BZ189" s="82"/>
    </row>
    <row r="190" spans="59:78" x14ac:dyDescent="0.2">
      <c r="BG190" s="39"/>
      <c r="BH190" s="40"/>
      <c r="BI190" s="44"/>
      <c r="BJ190" s="31"/>
      <c r="BK190" s="45"/>
      <c r="BL190" s="25"/>
      <c r="BX190" s="82"/>
      <c r="BY190" s="82"/>
      <c r="BZ190" s="82"/>
    </row>
    <row r="191" spans="59:78" x14ac:dyDescent="0.2">
      <c r="BG191" s="39"/>
      <c r="BH191" s="40"/>
      <c r="BI191" s="44"/>
      <c r="BJ191" s="31"/>
      <c r="BK191" s="45"/>
      <c r="BL191" s="25"/>
      <c r="BX191" s="82"/>
      <c r="BY191" s="82"/>
      <c r="BZ191" s="82"/>
    </row>
    <row r="192" spans="59:78" x14ac:dyDescent="0.2">
      <c r="BG192" s="39"/>
      <c r="BH192" s="40"/>
      <c r="BI192" s="44"/>
      <c r="BJ192" s="31"/>
      <c r="BK192" s="45"/>
      <c r="BL192" s="25"/>
      <c r="BX192" s="82"/>
      <c r="BY192" s="82"/>
      <c r="BZ192" s="82"/>
    </row>
    <row r="193" spans="59:78" x14ac:dyDescent="0.2">
      <c r="BG193" s="39"/>
      <c r="BH193" s="40"/>
      <c r="BI193" s="44"/>
      <c r="BJ193" s="31"/>
      <c r="BK193" s="45"/>
      <c r="BL193" s="25"/>
      <c r="BX193" s="82"/>
      <c r="BY193" s="82"/>
      <c r="BZ193" s="82"/>
    </row>
    <row r="194" spans="59:78" x14ac:dyDescent="0.2">
      <c r="BG194" s="39"/>
      <c r="BH194" s="40"/>
      <c r="BI194" s="44"/>
      <c r="BJ194" s="31"/>
      <c r="BK194" s="45"/>
      <c r="BL194" s="25"/>
      <c r="BX194" s="82"/>
      <c r="BY194" s="82"/>
      <c r="BZ194" s="82"/>
    </row>
    <row r="195" spans="59:78" x14ac:dyDescent="0.2">
      <c r="BG195" s="39"/>
      <c r="BH195" s="40"/>
      <c r="BI195" s="44"/>
      <c r="BJ195" s="31"/>
      <c r="BK195" s="45"/>
      <c r="BL195" s="25"/>
      <c r="BX195" s="82"/>
      <c r="BY195" s="82"/>
      <c r="BZ195" s="82"/>
    </row>
    <row r="196" spans="59:78" x14ac:dyDescent="0.2">
      <c r="BG196" s="39"/>
      <c r="BH196" s="40"/>
      <c r="BI196" s="44"/>
      <c r="BJ196" s="31"/>
      <c r="BK196" s="45"/>
      <c r="BL196" s="25"/>
      <c r="BX196" s="82"/>
      <c r="BY196" s="82"/>
      <c r="BZ196" s="82"/>
    </row>
    <row r="197" spans="59:78" x14ac:dyDescent="0.2">
      <c r="BG197" s="39"/>
      <c r="BH197" s="40"/>
      <c r="BI197" s="44"/>
      <c r="BJ197" s="31"/>
      <c r="BK197" s="45"/>
      <c r="BL197" s="25"/>
      <c r="BX197" s="82"/>
      <c r="BY197" s="82"/>
      <c r="BZ197" s="82"/>
    </row>
    <row r="198" spans="59:78" x14ac:dyDescent="0.2">
      <c r="BG198" s="39"/>
      <c r="BH198" s="40"/>
      <c r="BI198" s="44"/>
      <c r="BJ198" s="31"/>
      <c r="BK198" s="45"/>
      <c r="BL198" s="25"/>
      <c r="BX198" s="82"/>
      <c r="BY198" s="82"/>
      <c r="BZ198" s="82"/>
    </row>
    <row r="199" spans="59:78" x14ac:dyDescent="0.2">
      <c r="BG199" s="39"/>
      <c r="BH199" s="40"/>
      <c r="BI199" s="44"/>
      <c r="BJ199" s="31"/>
      <c r="BK199" s="45"/>
      <c r="BL199" s="25"/>
      <c r="BX199" s="82"/>
      <c r="BY199" s="82"/>
      <c r="BZ199" s="82"/>
    </row>
    <row r="200" spans="59:78" x14ac:dyDescent="0.2">
      <c r="BG200" s="39"/>
      <c r="BH200" s="40"/>
      <c r="BI200" s="44"/>
      <c r="BJ200" s="31"/>
      <c r="BK200" s="45"/>
      <c r="BL200" s="25"/>
      <c r="BX200" s="82"/>
      <c r="BY200" s="82"/>
      <c r="BZ200" s="82"/>
    </row>
    <row r="201" spans="59:78" x14ac:dyDescent="0.2">
      <c r="BG201" s="39"/>
      <c r="BH201" s="40"/>
      <c r="BI201" s="44"/>
      <c r="BJ201" s="31"/>
      <c r="BK201" s="45"/>
      <c r="BL201" s="25"/>
      <c r="BX201" s="82"/>
      <c r="BY201" s="82"/>
      <c r="BZ201" s="82"/>
    </row>
    <row r="202" spans="59:78" x14ac:dyDescent="0.2">
      <c r="BG202" s="39"/>
      <c r="BH202" s="40"/>
      <c r="BI202" s="44"/>
      <c r="BJ202" s="31"/>
      <c r="BK202" s="45"/>
      <c r="BL202" s="25"/>
      <c r="BX202" s="82"/>
      <c r="BY202" s="82"/>
      <c r="BZ202" s="82"/>
    </row>
    <row r="203" spans="59:78" x14ac:dyDescent="0.2">
      <c r="BG203" s="39"/>
      <c r="BH203" s="40"/>
      <c r="BI203" s="44"/>
      <c r="BJ203" s="31"/>
      <c r="BK203" s="45"/>
      <c r="BL203" s="25"/>
      <c r="BX203" s="82"/>
      <c r="BY203" s="82"/>
      <c r="BZ203" s="82"/>
    </row>
    <row r="204" spans="59:78" x14ac:dyDescent="0.2">
      <c r="BG204" s="39"/>
      <c r="BH204" s="40"/>
      <c r="BI204" s="44"/>
      <c r="BJ204" s="31"/>
      <c r="BK204" s="45"/>
      <c r="BL204" s="25"/>
      <c r="BX204" s="82"/>
      <c r="BY204" s="82"/>
      <c r="BZ204" s="82"/>
    </row>
    <row r="205" spans="59:78" x14ac:dyDescent="0.2">
      <c r="BG205" s="39"/>
      <c r="BH205" s="40"/>
      <c r="BI205" s="44"/>
      <c r="BJ205" s="31"/>
      <c r="BK205" s="45"/>
      <c r="BL205" s="25"/>
      <c r="BX205" s="82"/>
      <c r="BY205" s="82"/>
      <c r="BZ205" s="82"/>
    </row>
    <row r="206" spans="59:78" x14ac:dyDescent="0.2">
      <c r="BG206" s="39"/>
      <c r="BH206" s="40"/>
      <c r="BI206" s="44"/>
      <c r="BJ206" s="31"/>
      <c r="BK206" s="45"/>
      <c r="BL206" s="25"/>
      <c r="BX206" s="82"/>
      <c r="BY206" s="82"/>
      <c r="BZ206" s="82"/>
    </row>
    <row r="207" spans="59:78" x14ac:dyDescent="0.2">
      <c r="BG207" s="39"/>
      <c r="BH207" s="40"/>
      <c r="BI207" s="44"/>
      <c r="BJ207" s="31"/>
      <c r="BK207" s="45"/>
      <c r="BL207" s="25"/>
      <c r="BX207" s="82"/>
      <c r="BY207" s="82"/>
      <c r="BZ207" s="82"/>
    </row>
    <row r="208" spans="59:78" x14ac:dyDescent="0.2">
      <c r="BG208" s="39"/>
      <c r="BH208" s="40"/>
      <c r="BI208" s="44"/>
      <c r="BJ208" s="31"/>
      <c r="BK208" s="45"/>
      <c r="BL208" s="25"/>
      <c r="BX208" s="82"/>
      <c r="BY208" s="82"/>
      <c r="BZ208" s="82"/>
    </row>
    <row r="209" spans="59:78" x14ac:dyDescent="0.2">
      <c r="BG209" s="39"/>
      <c r="BH209" s="40"/>
      <c r="BI209" s="44"/>
      <c r="BJ209" s="31"/>
      <c r="BK209" s="45"/>
      <c r="BL209" s="25"/>
      <c r="BX209" s="82"/>
      <c r="BY209" s="82"/>
      <c r="BZ209" s="82"/>
    </row>
    <row r="210" spans="59:78" x14ac:dyDescent="0.2">
      <c r="BG210" s="39"/>
      <c r="BH210" s="40"/>
      <c r="BI210" s="44"/>
      <c r="BJ210" s="31"/>
      <c r="BK210" s="45"/>
      <c r="BL210" s="25"/>
      <c r="BX210" s="82"/>
      <c r="BY210" s="82"/>
      <c r="BZ210" s="82"/>
    </row>
    <row r="211" spans="59:78" x14ac:dyDescent="0.2">
      <c r="BG211" s="39"/>
      <c r="BH211" s="40"/>
      <c r="BI211" s="44"/>
      <c r="BJ211" s="31"/>
      <c r="BK211" s="45"/>
      <c r="BL211" s="25"/>
      <c r="BX211" s="82"/>
      <c r="BY211" s="82"/>
      <c r="BZ211" s="82"/>
    </row>
    <row r="212" spans="59:78" x14ac:dyDescent="0.2">
      <c r="BG212" s="39"/>
      <c r="BH212" s="40"/>
      <c r="BI212" s="44"/>
      <c r="BJ212" s="31"/>
      <c r="BK212" s="45"/>
      <c r="BL212" s="25"/>
      <c r="BX212" s="82"/>
      <c r="BY212" s="82"/>
      <c r="BZ212" s="82"/>
    </row>
    <row r="213" spans="59:78" x14ac:dyDescent="0.2">
      <c r="BG213" s="39"/>
      <c r="BH213" s="40"/>
      <c r="BI213" s="44"/>
      <c r="BJ213" s="31"/>
      <c r="BK213" s="45"/>
      <c r="BL213" s="25"/>
      <c r="BX213" s="82"/>
      <c r="BY213" s="82"/>
      <c r="BZ213" s="82"/>
    </row>
    <row r="214" spans="59:78" x14ac:dyDescent="0.2">
      <c r="BG214" s="39"/>
      <c r="BH214" s="40"/>
      <c r="BI214" s="44"/>
      <c r="BJ214" s="31"/>
      <c r="BK214" s="45"/>
      <c r="BL214" s="25"/>
      <c r="BX214" s="82"/>
      <c r="BY214" s="82"/>
      <c r="BZ214" s="82"/>
    </row>
    <row r="215" spans="59:78" x14ac:dyDescent="0.2">
      <c r="BG215" s="39"/>
      <c r="BH215" s="40"/>
      <c r="BI215" s="44"/>
      <c r="BJ215" s="31"/>
      <c r="BK215" s="45"/>
      <c r="BL215" s="25"/>
      <c r="BX215" s="82"/>
      <c r="BY215" s="82"/>
      <c r="BZ215" s="82"/>
    </row>
    <row r="216" spans="59:78" x14ac:dyDescent="0.2">
      <c r="BG216" s="39"/>
      <c r="BH216" s="40"/>
      <c r="BI216" s="44"/>
      <c r="BJ216" s="31"/>
      <c r="BK216" s="45"/>
      <c r="BL216" s="25"/>
    </row>
    <row r="217" spans="59:78" x14ac:dyDescent="0.2">
      <c r="BG217" s="39"/>
      <c r="BH217" s="40"/>
      <c r="BI217" s="44"/>
      <c r="BJ217" s="31"/>
      <c r="BK217" s="45"/>
      <c r="BL217" s="25"/>
    </row>
    <row r="218" spans="59:78" x14ac:dyDescent="0.2">
      <c r="BG218" s="39"/>
      <c r="BH218" s="40"/>
      <c r="BI218" s="44"/>
      <c r="BJ218" s="31"/>
      <c r="BK218" s="45"/>
      <c r="BL218" s="25"/>
    </row>
    <row r="219" spans="59:78" x14ac:dyDescent="0.2">
      <c r="BG219" s="39"/>
      <c r="BH219" s="40"/>
      <c r="BI219" s="44"/>
      <c r="BJ219" s="31"/>
      <c r="BK219" s="45"/>
      <c r="BL219" s="25"/>
    </row>
    <row r="220" spans="59:78" x14ac:dyDescent="0.2">
      <c r="BG220" s="39"/>
      <c r="BH220" s="40"/>
      <c r="BI220" s="44"/>
      <c r="BJ220" s="31"/>
      <c r="BK220" s="45"/>
      <c r="BL220" s="25"/>
    </row>
    <row r="221" spans="59:78" x14ac:dyDescent="0.2">
      <c r="BG221" s="39"/>
      <c r="BH221" s="40"/>
      <c r="BI221" s="44"/>
      <c r="BJ221" s="31"/>
      <c r="BK221" s="45"/>
      <c r="BL221" s="25"/>
    </row>
    <row r="222" spans="59:78" x14ac:dyDescent="0.2">
      <c r="BG222" s="39"/>
      <c r="BH222" s="40"/>
      <c r="BI222" s="44"/>
      <c r="BJ222" s="31"/>
      <c r="BK222" s="45"/>
      <c r="BL222" s="25"/>
    </row>
    <row r="223" spans="59:78" x14ac:dyDescent="0.2">
      <c r="BG223" s="39"/>
      <c r="BH223" s="40"/>
      <c r="BI223" s="44"/>
      <c r="BJ223" s="31"/>
      <c r="BK223" s="45"/>
      <c r="BL223" s="25"/>
    </row>
    <row r="224" spans="59:78" x14ac:dyDescent="0.2">
      <c r="BG224" s="39"/>
      <c r="BH224" s="40"/>
      <c r="BI224" s="44"/>
      <c r="BJ224" s="31"/>
      <c r="BK224" s="45"/>
      <c r="BL224" s="25"/>
    </row>
    <row r="225" spans="59:64" x14ac:dyDescent="0.2">
      <c r="BG225" s="39"/>
      <c r="BH225" s="40"/>
      <c r="BI225" s="44"/>
      <c r="BJ225" s="31"/>
      <c r="BK225" s="45"/>
      <c r="BL225" s="25"/>
    </row>
    <row r="226" spans="59:64" x14ac:dyDescent="0.2">
      <c r="BG226" s="39"/>
      <c r="BH226" s="40"/>
      <c r="BI226" s="44"/>
      <c r="BJ226" s="31"/>
      <c r="BK226" s="45"/>
      <c r="BL226" s="25"/>
    </row>
    <row r="227" spans="59:64" x14ac:dyDescent="0.2">
      <c r="BG227" s="39"/>
      <c r="BH227" s="40"/>
      <c r="BI227" s="44"/>
      <c r="BJ227" s="31"/>
      <c r="BK227" s="45"/>
      <c r="BL227" s="25"/>
    </row>
    <row r="228" spans="59:64" x14ac:dyDescent="0.2">
      <c r="BG228" s="39"/>
      <c r="BH228" s="40"/>
      <c r="BI228" s="44"/>
      <c r="BJ228" s="31"/>
      <c r="BK228" s="45"/>
      <c r="BL228" s="25"/>
    </row>
    <row r="229" spans="59:64" x14ac:dyDescent="0.2">
      <c r="BG229" s="39"/>
      <c r="BH229" s="40"/>
      <c r="BI229" s="44"/>
      <c r="BJ229" s="31"/>
      <c r="BK229" s="45"/>
      <c r="BL229" s="25"/>
    </row>
    <row r="230" spans="59:64" x14ac:dyDescent="0.2">
      <c r="BG230" s="39"/>
      <c r="BH230" s="40"/>
      <c r="BI230" s="44"/>
      <c r="BJ230" s="31"/>
      <c r="BK230" s="45"/>
      <c r="BL230" s="25"/>
    </row>
    <row r="231" spans="59:64" x14ac:dyDescent="0.2">
      <c r="BG231" s="39"/>
      <c r="BH231" s="40"/>
      <c r="BI231" s="44"/>
      <c r="BJ231" s="31"/>
      <c r="BK231" s="45"/>
      <c r="BL231" s="25"/>
    </row>
    <row r="232" spans="59:64" x14ac:dyDescent="0.2">
      <c r="BG232" s="39"/>
      <c r="BH232" s="40"/>
      <c r="BI232" s="44"/>
      <c r="BJ232" s="31"/>
      <c r="BK232" s="45"/>
      <c r="BL232" s="25"/>
    </row>
    <row r="233" spans="59:64" x14ac:dyDescent="0.2">
      <c r="BG233" s="39"/>
      <c r="BH233" s="40"/>
      <c r="BI233" s="44"/>
      <c r="BJ233" s="31"/>
      <c r="BK233" s="45"/>
      <c r="BL233" s="25"/>
    </row>
    <row r="234" spans="59:64" x14ac:dyDescent="0.2">
      <c r="BG234" s="39"/>
      <c r="BH234" s="40"/>
      <c r="BI234" s="44"/>
      <c r="BJ234" s="31"/>
      <c r="BK234" s="45"/>
      <c r="BL234" s="25"/>
    </row>
    <row r="235" spans="59:64" x14ac:dyDescent="0.2">
      <c r="BG235" s="39"/>
      <c r="BH235" s="40"/>
      <c r="BI235" s="44"/>
      <c r="BJ235" s="31"/>
      <c r="BK235" s="45"/>
      <c r="BL235" s="25"/>
    </row>
    <row r="236" spans="59:64" x14ac:dyDescent="0.2">
      <c r="BG236" s="39"/>
      <c r="BH236" s="40"/>
      <c r="BI236" s="44"/>
      <c r="BJ236" s="31"/>
      <c r="BK236" s="45"/>
      <c r="BL236" s="25"/>
    </row>
    <row r="237" spans="59:64" x14ac:dyDescent="0.2">
      <c r="BG237" s="39"/>
      <c r="BH237" s="40"/>
      <c r="BI237" s="44"/>
      <c r="BJ237" s="31"/>
      <c r="BK237" s="45"/>
      <c r="BL237" s="25"/>
    </row>
    <row r="238" spans="59:64" x14ac:dyDescent="0.2">
      <c r="BG238" s="39"/>
      <c r="BH238" s="40"/>
      <c r="BI238" s="44"/>
      <c r="BJ238" s="31"/>
      <c r="BK238" s="45"/>
      <c r="BL238" s="25"/>
    </row>
    <row r="239" spans="59:64" x14ac:dyDescent="0.2">
      <c r="BG239" s="39"/>
      <c r="BH239" s="40"/>
      <c r="BI239" s="44"/>
      <c r="BJ239" s="31"/>
      <c r="BK239" s="45"/>
      <c r="BL239" s="25"/>
    </row>
    <row r="240" spans="59:64" x14ac:dyDescent="0.2">
      <c r="BG240" s="39"/>
      <c r="BH240" s="40"/>
      <c r="BI240" s="44"/>
      <c r="BJ240" s="31"/>
      <c r="BK240" s="45"/>
      <c r="BL240" s="25"/>
    </row>
    <row r="241" spans="59:64" x14ac:dyDescent="0.2">
      <c r="BG241" s="39"/>
      <c r="BH241" s="40"/>
      <c r="BI241" s="44"/>
      <c r="BJ241" s="31"/>
      <c r="BK241" s="45"/>
      <c r="BL241" s="25"/>
    </row>
    <row r="242" spans="59:64" x14ac:dyDescent="0.2">
      <c r="BG242" s="39"/>
      <c r="BH242" s="40"/>
      <c r="BI242" s="44"/>
      <c r="BJ242" s="31"/>
      <c r="BK242" s="45"/>
      <c r="BL242" s="25"/>
    </row>
    <row r="243" spans="59:64" x14ac:dyDescent="0.2">
      <c r="BG243" s="39"/>
      <c r="BH243" s="40"/>
      <c r="BI243" s="44"/>
      <c r="BJ243" s="31"/>
      <c r="BK243" s="45"/>
      <c r="BL243" s="25"/>
    </row>
    <row r="244" spans="59:64" x14ac:dyDescent="0.2">
      <c r="BG244" s="39"/>
      <c r="BH244" s="40"/>
      <c r="BI244" s="44"/>
      <c r="BJ244" s="31"/>
      <c r="BK244" s="45"/>
      <c r="BL244" s="25"/>
    </row>
    <row r="245" spans="59:64" x14ac:dyDescent="0.2">
      <c r="BG245" s="39"/>
      <c r="BH245" s="40"/>
      <c r="BI245" s="44"/>
      <c r="BJ245" s="31"/>
      <c r="BK245" s="45"/>
      <c r="BL245" s="25"/>
    </row>
    <row r="246" spans="59:64" x14ac:dyDescent="0.2">
      <c r="BG246" s="39"/>
      <c r="BH246" s="40"/>
      <c r="BI246" s="44"/>
      <c r="BJ246" s="31"/>
      <c r="BK246" s="45"/>
      <c r="BL246" s="25"/>
    </row>
    <row r="247" spans="59:64" x14ac:dyDescent="0.2">
      <c r="BG247" s="39"/>
      <c r="BH247" s="40"/>
      <c r="BI247" s="44"/>
      <c r="BJ247" s="31"/>
      <c r="BK247" s="45"/>
      <c r="BL247" s="25"/>
    </row>
    <row r="248" spans="59:64" x14ac:dyDescent="0.2">
      <c r="BG248" s="39"/>
      <c r="BH248" s="40"/>
      <c r="BI248" s="44"/>
      <c r="BJ248" s="31"/>
      <c r="BK248" s="45"/>
      <c r="BL248" s="25"/>
    </row>
    <row r="249" spans="59:64" x14ac:dyDescent="0.2">
      <c r="BG249" s="39"/>
      <c r="BH249" s="40"/>
      <c r="BI249" s="44"/>
      <c r="BJ249" s="31"/>
      <c r="BK249" s="45"/>
      <c r="BL249" s="25"/>
    </row>
    <row r="250" spans="59:64" x14ac:dyDescent="0.2">
      <c r="BG250" s="39"/>
      <c r="BH250" s="40"/>
      <c r="BI250" s="44"/>
      <c r="BJ250" s="31"/>
      <c r="BK250" s="45"/>
      <c r="BL250" s="25"/>
    </row>
    <row r="251" spans="59:64" x14ac:dyDescent="0.2">
      <c r="BG251" s="39"/>
      <c r="BH251" s="40"/>
      <c r="BI251" s="44"/>
      <c r="BJ251" s="31"/>
      <c r="BK251" s="45"/>
      <c r="BL251" s="25"/>
    </row>
    <row r="252" spans="59:64" x14ac:dyDescent="0.2">
      <c r="BG252" s="39"/>
      <c r="BH252" s="40"/>
      <c r="BI252" s="44"/>
      <c r="BJ252" s="31"/>
      <c r="BK252" s="45"/>
      <c r="BL252" s="25"/>
    </row>
    <row r="253" spans="59:64" x14ac:dyDescent="0.2">
      <c r="BG253" s="39"/>
      <c r="BH253" s="40"/>
      <c r="BI253" s="44"/>
      <c r="BJ253" s="31"/>
      <c r="BK253" s="45"/>
      <c r="BL253" s="25"/>
    </row>
    <row r="254" spans="59:64" x14ac:dyDescent="0.2">
      <c r="BG254" s="39"/>
      <c r="BH254" s="40"/>
      <c r="BI254" s="44"/>
      <c r="BJ254" s="31"/>
      <c r="BK254" s="45"/>
      <c r="BL254" s="25"/>
    </row>
    <row r="255" spans="59:64" x14ac:dyDescent="0.2">
      <c r="BG255" s="39"/>
      <c r="BH255" s="40"/>
      <c r="BI255" s="44"/>
      <c r="BJ255" s="31"/>
      <c r="BK255" s="45"/>
      <c r="BL255" s="25"/>
    </row>
    <row r="256" spans="59:64" x14ac:dyDescent="0.2">
      <c r="BG256" s="39"/>
      <c r="BH256" s="40"/>
      <c r="BI256" s="44"/>
      <c r="BJ256" s="31"/>
      <c r="BK256" s="45"/>
      <c r="BL256" s="25"/>
    </row>
    <row r="257" spans="59:64" x14ac:dyDescent="0.2">
      <c r="BG257" s="39"/>
      <c r="BH257" s="40"/>
      <c r="BI257" s="44"/>
      <c r="BJ257" s="31"/>
      <c r="BK257" s="45"/>
      <c r="BL257" s="25"/>
    </row>
    <row r="258" spans="59:64" x14ac:dyDescent="0.2">
      <c r="BG258" s="39"/>
      <c r="BH258" s="40"/>
      <c r="BI258" s="44"/>
      <c r="BJ258" s="31"/>
      <c r="BK258" s="45"/>
      <c r="BL258" s="25"/>
    </row>
    <row r="259" spans="59:64" x14ac:dyDescent="0.2">
      <c r="BG259" s="39"/>
      <c r="BH259" s="40"/>
      <c r="BI259" s="44"/>
      <c r="BJ259" s="31"/>
      <c r="BK259" s="45"/>
      <c r="BL259" s="25"/>
    </row>
    <row r="260" spans="59:64" x14ac:dyDescent="0.2">
      <c r="BG260" s="39"/>
      <c r="BH260" s="40"/>
      <c r="BI260" s="44"/>
      <c r="BJ260" s="31"/>
      <c r="BK260" s="45"/>
      <c r="BL260" s="25"/>
    </row>
    <row r="261" spans="59:64" x14ac:dyDescent="0.2">
      <c r="BG261" s="39"/>
      <c r="BH261" s="40"/>
      <c r="BI261" s="44"/>
      <c r="BJ261" s="31"/>
      <c r="BK261" s="45"/>
      <c r="BL261" s="25"/>
    </row>
    <row r="262" spans="59:64" x14ac:dyDescent="0.2">
      <c r="BG262" s="39"/>
      <c r="BH262" s="40"/>
      <c r="BI262" s="44"/>
      <c r="BJ262" s="31"/>
      <c r="BK262" s="45"/>
      <c r="BL262" s="25"/>
    </row>
    <row r="263" spans="59:64" x14ac:dyDescent="0.2">
      <c r="BG263" s="39"/>
      <c r="BH263" s="40"/>
      <c r="BI263" s="44"/>
      <c r="BJ263" s="31"/>
      <c r="BK263" s="45"/>
      <c r="BL263" s="25"/>
    </row>
    <row r="264" spans="59:64" x14ac:dyDescent="0.2">
      <c r="BG264" s="39"/>
      <c r="BH264" s="40"/>
      <c r="BI264" s="44"/>
      <c r="BJ264" s="31"/>
      <c r="BK264" s="45"/>
      <c r="BL264" s="25"/>
    </row>
    <row r="265" spans="59:64" x14ac:dyDescent="0.2">
      <c r="BG265" s="39"/>
      <c r="BH265" s="40"/>
      <c r="BI265" s="44"/>
      <c r="BJ265" s="31"/>
      <c r="BK265" s="45"/>
      <c r="BL265" s="25"/>
    </row>
    <row r="266" spans="59:64" x14ac:dyDescent="0.2">
      <c r="BG266" s="39"/>
      <c r="BH266" s="40"/>
      <c r="BI266" s="44"/>
      <c r="BJ266" s="31"/>
      <c r="BK266" s="45"/>
      <c r="BL266" s="25"/>
    </row>
    <row r="267" spans="59:64" x14ac:dyDescent="0.2">
      <c r="BG267" s="39"/>
      <c r="BH267" s="40"/>
      <c r="BI267" s="44"/>
      <c r="BJ267" s="31"/>
      <c r="BK267" s="45"/>
      <c r="BL267" s="25"/>
    </row>
    <row r="268" spans="59:64" x14ac:dyDescent="0.2">
      <c r="BG268" s="39"/>
      <c r="BH268" s="40"/>
      <c r="BI268" s="44"/>
      <c r="BJ268" s="31"/>
      <c r="BK268" s="45"/>
      <c r="BL268" s="25"/>
    </row>
    <row r="269" spans="59:64" x14ac:dyDescent="0.2">
      <c r="BG269" s="39"/>
      <c r="BH269" s="40"/>
      <c r="BI269" s="44"/>
      <c r="BJ269" s="31"/>
      <c r="BK269" s="45"/>
      <c r="BL269" s="25"/>
    </row>
    <row r="270" spans="59:64" x14ac:dyDescent="0.2">
      <c r="BG270" s="39"/>
      <c r="BH270" s="40"/>
      <c r="BI270" s="44"/>
      <c r="BJ270" s="31"/>
      <c r="BK270" s="45"/>
      <c r="BL270" s="25"/>
    </row>
    <row r="271" spans="59:64" x14ac:dyDescent="0.2">
      <c r="BG271" s="39"/>
      <c r="BH271" s="40"/>
      <c r="BI271" s="44"/>
      <c r="BJ271" s="31"/>
      <c r="BK271" s="45"/>
      <c r="BL271" s="25"/>
    </row>
    <row r="272" spans="59:64" x14ac:dyDescent="0.2">
      <c r="BG272" s="39"/>
      <c r="BH272" s="40"/>
      <c r="BI272" s="44"/>
      <c r="BJ272" s="31"/>
      <c r="BK272" s="45"/>
      <c r="BL272" s="25"/>
    </row>
    <row r="273" spans="59:64" x14ac:dyDescent="0.2">
      <c r="BG273" s="39"/>
      <c r="BH273" s="40"/>
      <c r="BI273" s="44"/>
      <c r="BJ273" s="31"/>
      <c r="BK273" s="45"/>
      <c r="BL273" s="25"/>
    </row>
    <row r="274" spans="59:64" x14ac:dyDescent="0.2">
      <c r="BG274" s="39"/>
      <c r="BH274" s="40"/>
      <c r="BI274" s="44"/>
      <c r="BJ274" s="31"/>
      <c r="BK274" s="45"/>
      <c r="BL274" s="25"/>
    </row>
    <row r="275" spans="59:64" x14ac:dyDescent="0.2">
      <c r="BG275" s="39"/>
      <c r="BH275" s="40"/>
      <c r="BI275" s="44"/>
      <c r="BJ275" s="31"/>
      <c r="BK275" s="45"/>
      <c r="BL275" s="25"/>
    </row>
    <row r="276" spans="59:64" x14ac:dyDescent="0.2">
      <c r="BG276" s="39"/>
      <c r="BH276" s="40"/>
      <c r="BI276" s="44"/>
      <c r="BJ276" s="31"/>
      <c r="BK276" s="45"/>
      <c r="BL276" s="25"/>
    </row>
    <row r="277" spans="59:64" x14ac:dyDescent="0.2">
      <c r="BG277" s="39"/>
      <c r="BH277" s="40"/>
      <c r="BI277" s="44"/>
      <c r="BJ277" s="31"/>
      <c r="BK277" s="45"/>
      <c r="BL277" s="25"/>
    </row>
    <row r="278" spans="59:64" x14ac:dyDescent="0.2">
      <c r="BG278" s="39"/>
      <c r="BH278" s="40"/>
      <c r="BI278" s="44"/>
      <c r="BJ278" s="31"/>
      <c r="BK278" s="45"/>
      <c r="BL278" s="25"/>
    </row>
    <row r="279" spans="59:64" x14ac:dyDescent="0.2">
      <c r="BG279" s="39"/>
      <c r="BH279" s="40"/>
      <c r="BI279" s="44"/>
      <c r="BJ279" s="31"/>
      <c r="BK279" s="45"/>
      <c r="BL279" s="25"/>
    </row>
    <row r="280" spans="59:64" x14ac:dyDescent="0.2">
      <c r="BG280" s="39"/>
      <c r="BH280" s="40"/>
      <c r="BI280" s="44"/>
      <c r="BJ280" s="31"/>
      <c r="BK280" s="45"/>
      <c r="BL280" s="25"/>
    </row>
    <row r="281" spans="59:64" x14ac:dyDescent="0.2">
      <c r="BG281" s="39"/>
      <c r="BH281" s="40"/>
      <c r="BI281" s="44"/>
      <c r="BJ281" s="31"/>
      <c r="BK281" s="45"/>
      <c r="BL281" s="25"/>
    </row>
    <row r="282" spans="59:64" x14ac:dyDescent="0.2">
      <c r="BG282" s="39"/>
      <c r="BH282" s="40"/>
      <c r="BI282" s="44"/>
      <c r="BJ282" s="31"/>
      <c r="BK282" s="45"/>
      <c r="BL282" s="25"/>
    </row>
    <row r="283" spans="59:64" x14ac:dyDescent="0.2">
      <c r="BG283" s="39"/>
      <c r="BH283" s="40"/>
      <c r="BI283" s="44"/>
      <c r="BJ283" s="31"/>
      <c r="BK283" s="45"/>
      <c r="BL283" s="25"/>
    </row>
    <row r="284" spans="59:64" x14ac:dyDescent="0.2">
      <c r="BG284" s="39"/>
      <c r="BH284" s="40"/>
      <c r="BI284" s="44"/>
      <c r="BJ284" s="31"/>
      <c r="BK284" s="45"/>
      <c r="BL284" s="25"/>
    </row>
    <row r="285" spans="59:64" x14ac:dyDescent="0.2">
      <c r="BG285" s="39"/>
      <c r="BH285" s="40"/>
      <c r="BI285" s="44"/>
      <c r="BJ285" s="31"/>
      <c r="BK285" s="45"/>
      <c r="BL285" s="25"/>
    </row>
    <row r="286" spans="59:64" x14ac:dyDescent="0.2">
      <c r="BG286" s="39"/>
      <c r="BH286" s="40"/>
      <c r="BI286" s="44"/>
      <c r="BJ286" s="31"/>
      <c r="BK286" s="45"/>
      <c r="BL286" s="25"/>
    </row>
    <row r="287" spans="59:64" x14ac:dyDescent="0.2">
      <c r="BG287" s="39"/>
      <c r="BH287" s="40"/>
      <c r="BI287" s="44"/>
      <c r="BJ287" s="31"/>
      <c r="BK287" s="45"/>
      <c r="BL287" s="25"/>
    </row>
    <row r="288" spans="59:64" x14ac:dyDescent="0.2">
      <c r="BG288" s="39"/>
      <c r="BH288" s="40"/>
      <c r="BI288" s="44"/>
      <c r="BJ288" s="31"/>
      <c r="BK288" s="45"/>
      <c r="BL288" s="25"/>
    </row>
    <row r="289" spans="59:64" x14ac:dyDescent="0.2">
      <c r="BG289" s="39"/>
      <c r="BH289" s="40"/>
      <c r="BI289" s="44"/>
      <c r="BJ289" s="31"/>
      <c r="BK289" s="45"/>
      <c r="BL289" s="25"/>
    </row>
    <row r="290" spans="59:64" x14ac:dyDescent="0.2">
      <c r="BG290" s="39"/>
      <c r="BH290" s="40"/>
      <c r="BI290" s="44"/>
      <c r="BJ290" s="31"/>
      <c r="BK290" s="45"/>
      <c r="BL290" s="25"/>
    </row>
    <row r="291" spans="59:64" x14ac:dyDescent="0.2">
      <c r="BG291" s="39"/>
      <c r="BH291" s="40"/>
      <c r="BI291" s="44"/>
      <c r="BJ291" s="31"/>
      <c r="BK291" s="45"/>
      <c r="BL291" s="25"/>
    </row>
    <row r="292" spans="59:64" x14ac:dyDescent="0.2">
      <c r="BG292" s="39"/>
      <c r="BH292" s="40"/>
      <c r="BI292" s="44"/>
      <c r="BJ292" s="31"/>
      <c r="BK292" s="45"/>
      <c r="BL292" s="25"/>
    </row>
    <row r="293" spans="59:64" x14ac:dyDescent="0.2">
      <c r="BG293" s="39"/>
      <c r="BH293" s="40"/>
      <c r="BI293" s="44"/>
      <c r="BJ293" s="31"/>
      <c r="BK293" s="45"/>
      <c r="BL293" s="25"/>
    </row>
    <row r="294" spans="59:64" x14ac:dyDescent="0.2">
      <c r="BG294" s="39"/>
      <c r="BH294" s="40"/>
      <c r="BI294" s="44"/>
      <c r="BJ294" s="31"/>
      <c r="BK294" s="45"/>
      <c r="BL294" s="25"/>
    </row>
    <row r="295" spans="59:64" x14ac:dyDescent="0.2">
      <c r="BG295" s="39"/>
      <c r="BH295" s="40"/>
      <c r="BI295" s="44"/>
      <c r="BJ295" s="31"/>
      <c r="BK295" s="45"/>
      <c r="BL295" s="25"/>
    </row>
    <row r="296" spans="59:64" x14ac:dyDescent="0.2">
      <c r="BG296" s="39"/>
      <c r="BH296" s="40"/>
      <c r="BI296" s="44"/>
      <c r="BJ296" s="31"/>
      <c r="BK296" s="45"/>
      <c r="BL296" s="25"/>
    </row>
    <row r="297" spans="59:64" x14ac:dyDescent="0.2">
      <c r="BG297" s="39"/>
      <c r="BH297" s="40"/>
      <c r="BI297" s="44"/>
      <c r="BJ297" s="31"/>
      <c r="BK297" s="45"/>
      <c r="BL297" s="25"/>
    </row>
    <row r="298" spans="59:64" x14ac:dyDescent="0.2">
      <c r="BG298" s="39"/>
      <c r="BH298" s="40"/>
      <c r="BI298" s="44"/>
      <c r="BJ298" s="31"/>
      <c r="BK298" s="45"/>
      <c r="BL298" s="25"/>
    </row>
    <row r="299" spans="59:64" x14ac:dyDescent="0.2">
      <c r="BG299" s="39"/>
      <c r="BH299" s="40"/>
      <c r="BI299" s="44"/>
      <c r="BJ299" s="31"/>
      <c r="BK299" s="45"/>
      <c r="BL299" s="25"/>
    </row>
    <row r="300" spans="59:64" x14ac:dyDescent="0.2">
      <c r="BG300" s="39"/>
      <c r="BH300" s="40"/>
      <c r="BI300" s="44"/>
      <c r="BJ300" s="31"/>
      <c r="BK300" s="45"/>
      <c r="BL300" s="25"/>
    </row>
    <row r="301" spans="59:64" x14ac:dyDescent="0.2">
      <c r="BG301" s="39"/>
      <c r="BH301" s="40"/>
      <c r="BI301" s="44"/>
      <c r="BJ301" s="31"/>
      <c r="BK301" s="45"/>
      <c r="BL301" s="25"/>
    </row>
    <row r="302" spans="59:64" x14ac:dyDescent="0.2">
      <c r="BG302" s="39"/>
      <c r="BH302" s="40"/>
      <c r="BI302" s="44"/>
      <c r="BJ302" s="31"/>
      <c r="BK302" s="45"/>
      <c r="BL302" s="25"/>
    </row>
    <row r="303" spans="59:64" x14ac:dyDescent="0.2">
      <c r="BG303" s="39"/>
      <c r="BH303" s="40"/>
      <c r="BI303" s="44"/>
      <c r="BJ303" s="31"/>
      <c r="BK303" s="45"/>
      <c r="BL303" s="25"/>
    </row>
    <row r="304" spans="59:64" x14ac:dyDescent="0.2">
      <c r="BG304" s="39"/>
      <c r="BH304" s="40"/>
      <c r="BI304" s="44"/>
      <c r="BJ304" s="31"/>
      <c r="BK304" s="45"/>
      <c r="BL304" s="25"/>
    </row>
    <row r="305" spans="59:64" x14ac:dyDescent="0.2">
      <c r="BG305" s="39"/>
      <c r="BH305" s="40"/>
      <c r="BI305" s="44"/>
      <c r="BJ305" s="31"/>
      <c r="BK305" s="45"/>
      <c r="BL305" s="25"/>
    </row>
    <row r="306" spans="59:64" x14ac:dyDescent="0.2">
      <c r="BG306" s="39"/>
      <c r="BH306" s="40"/>
      <c r="BI306" s="44"/>
      <c r="BJ306" s="31"/>
      <c r="BK306" s="45"/>
      <c r="BL306" s="25"/>
    </row>
    <row r="307" spans="59:64" x14ac:dyDescent="0.2">
      <c r="BG307" s="39"/>
      <c r="BH307" s="40"/>
      <c r="BI307" s="44"/>
      <c r="BJ307" s="31"/>
      <c r="BK307" s="45"/>
      <c r="BL307" s="25"/>
    </row>
    <row r="308" spans="59:64" x14ac:dyDescent="0.2">
      <c r="BG308" s="39"/>
      <c r="BH308" s="40"/>
      <c r="BI308" s="44"/>
      <c r="BJ308" s="31"/>
      <c r="BK308" s="45"/>
      <c r="BL308" s="25"/>
    </row>
    <row r="309" spans="59:64" x14ac:dyDescent="0.2">
      <c r="BG309" s="39"/>
      <c r="BH309" s="40"/>
      <c r="BI309" s="44"/>
      <c r="BJ309" s="31"/>
      <c r="BK309" s="45"/>
      <c r="BL309" s="25"/>
    </row>
    <row r="310" spans="59:64" x14ac:dyDescent="0.2">
      <c r="BG310" s="39"/>
      <c r="BH310" s="40"/>
      <c r="BI310" s="44"/>
      <c r="BJ310" s="31"/>
      <c r="BK310" s="45"/>
      <c r="BL310" s="25"/>
    </row>
    <row r="311" spans="59:64" x14ac:dyDescent="0.2">
      <c r="BG311" s="39"/>
      <c r="BH311" s="40"/>
      <c r="BI311" s="44"/>
      <c r="BJ311" s="31"/>
      <c r="BK311" s="45"/>
      <c r="BL311" s="25"/>
    </row>
    <row r="312" spans="59:64" x14ac:dyDescent="0.2">
      <c r="BG312" s="39"/>
      <c r="BH312" s="40"/>
      <c r="BI312" s="44"/>
      <c r="BJ312" s="31"/>
      <c r="BK312" s="45"/>
      <c r="BL312" s="25"/>
    </row>
    <row r="313" spans="59:64" x14ac:dyDescent="0.2">
      <c r="BG313" s="39"/>
      <c r="BH313" s="40"/>
      <c r="BI313" s="44"/>
      <c r="BJ313" s="31"/>
      <c r="BK313" s="45"/>
      <c r="BL313" s="25"/>
    </row>
    <row r="314" spans="59:64" x14ac:dyDescent="0.2">
      <c r="BG314" s="39"/>
      <c r="BH314" s="40"/>
      <c r="BI314" s="44"/>
      <c r="BJ314" s="31"/>
      <c r="BK314" s="45"/>
      <c r="BL314" s="25"/>
    </row>
    <row r="315" spans="59:64" x14ac:dyDescent="0.2">
      <c r="BG315" s="39"/>
      <c r="BH315" s="40"/>
      <c r="BI315" s="44"/>
      <c r="BJ315" s="31"/>
      <c r="BK315" s="45"/>
      <c r="BL315" s="25"/>
    </row>
    <row r="316" spans="59:64" x14ac:dyDescent="0.2">
      <c r="BG316" s="39"/>
      <c r="BH316" s="40"/>
      <c r="BI316" s="44"/>
      <c r="BJ316" s="31"/>
      <c r="BK316" s="45"/>
      <c r="BL316" s="25"/>
    </row>
    <row r="317" spans="59:64" x14ac:dyDescent="0.2">
      <c r="BG317" s="39"/>
      <c r="BH317" s="40"/>
      <c r="BI317" s="44"/>
      <c r="BJ317" s="31"/>
      <c r="BK317" s="45"/>
      <c r="BL317" s="25"/>
    </row>
    <row r="318" spans="59:64" x14ac:dyDescent="0.2">
      <c r="BG318" s="39"/>
      <c r="BH318" s="40"/>
      <c r="BI318" s="44"/>
      <c r="BJ318" s="31"/>
      <c r="BK318" s="45"/>
      <c r="BL318" s="25"/>
    </row>
    <row r="319" spans="59:64" x14ac:dyDescent="0.2">
      <c r="BG319" s="39"/>
      <c r="BH319" s="40"/>
      <c r="BI319" s="44"/>
      <c r="BJ319" s="31"/>
      <c r="BK319" s="45"/>
      <c r="BL319" s="25"/>
    </row>
    <row r="320" spans="59:64" x14ac:dyDescent="0.2">
      <c r="BG320" s="39"/>
      <c r="BH320" s="40"/>
      <c r="BI320" s="44"/>
      <c r="BJ320" s="31"/>
      <c r="BK320" s="45"/>
      <c r="BL320" s="25"/>
    </row>
    <row r="321" spans="59:64" x14ac:dyDescent="0.2">
      <c r="BG321" s="39"/>
      <c r="BH321" s="40"/>
      <c r="BI321" s="44"/>
      <c r="BJ321" s="31"/>
      <c r="BK321" s="45"/>
      <c r="BL321" s="25"/>
    </row>
    <row r="322" spans="59:64" x14ac:dyDescent="0.2">
      <c r="BG322" s="39"/>
      <c r="BH322" s="40"/>
      <c r="BI322" s="44"/>
      <c r="BJ322" s="31"/>
      <c r="BK322" s="45"/>
      <c r="BL322" s="25"/>
    </row>
    <row r="323" spans="59:64" x14ac:dyDescent="0.2">
      <c r="BG323" s="39"/>
      <c r="BH323" s="40"/>
      <c r="BI323" s="44"/>
      <c r="BJ323" s="31"/>
      <c r="BK323" s="45"/>
      <c r="BL323" s="25"/>
    </row>
    <row r="324" spans="59:64" x14ac:dyDescent="0.2">
      <c r="BG324" s="39"/>
      <c r="BH324" s="40"/>
      <c r="BI324" s="44"/>
      <c r="BJ324" s="31"/>
      <c r="BK324" s="45"/>
      <c r="BL324" s="25"/>
    </row>
    <row r="325" spans="59:64" x14ac:dyDescent="0.2">
      <c r="BG325" s="39"/>
      <c r="BH325" s="40"/>
      <c r="BI325" s="44"/>
      <c r="BJ325" s="31"/>
      <c r="BK325" s="45"/>
      <c r="BL325" s="25"/>
    </row>
    <row r="326" spans="59:64" x14ac:dyDescent="0.2">
      <c r="BG326" s="39"/>
      <c r="BH326" s="40"/>
      <c r="BI326" s="44"/>
      <c r="BJ326" s="31"/>
      <c r="BK326" s="45"/>
      <c r="BL326" s="25"/>
    </row>
    <row r="327" spans="59:64" x14ac:dyDescent="0.2">
      <c r="BG327" s="39"/>
      <c r="BH327" s="40"/>
      <c r="BI327" s="44"/>
      <c r="BJ327" s="31"/>
      <c r="BK327" s="45"/>
      <c r="BL327" s="25"/>
    </row>
    <row r="328" spans="59:64" x14ac:dyDescent="0.2">
      <c r="BG328" s="39"/>
      <c r="BH328" s="40"/>
      <c r="BI328" s="44"/>
      <c r="BJ328" s="31"/>
      <c r="BK328" s="45"/>
      <c r="BL328" s="25"/>
    </row>
    <row r="329" spans="59:64" x14ac:dyDescent="0.2">
      <c r="BG329" s="39"/>
      <c r="BH329" s="40"/>
      <c r="BI329" s="44"/>
      <c r="BJ329" s="31"/>
      <c r="BK329" s="45"/>
      <c r="BL329" s="25"/>
    </row>
    <row r="330" spans="59:64" x14ac:dyDescent="0.2">
      <c r="BG330" s="39"/>
      <c r="BH330" s="40"/>
      <c r="BI330" s="44"/>
      <c r="BJ330" s="31"/>
      <c r="BK330" s="45"/>
      <c r="BL330" s="25"/>
    </row>
    <row r="331" spans="59:64" x14ac:dyDescent="0.2">
      <c r="BG331" s="39"/>
      <c r="BH331" s="40"/>
      <c r="BI331" s="44"/>
      <c r="BJ331" s="31"/>
      <c r="BK331" s="45"/>
      <c r="BL331" s="25"/>
    </row>
    <row r="332" spans="59:64" x14ac:dyDescent="0.2">
      <c r="BG332" s="39"/>
      <c r="BH332" s="40"/>
      <c r="BI332" s="44"/>
      <c r="BJ332" s="31"/>
      <c r="BK332" s="45"/>
      <c r="BL332" s="25"/>
    </row>
    <row r="333" spans="59:64" x14ac:dyDescent="0.2">
      <c r="BG333" s="39"/>
      <c r="BH333" s="40"/>
      <c r="BI333" s="44"/>
      <c r="BJ333" s="31"/>
      <c r="BK333" s="45"/>
      <c r="BL333" s="25"/>
    </row>
    <row r="334" spans="59:64" x14ac:dyDescent="0.2">
      <c r="BG334" s="39"/>
      <c r="BH334" s="40"/>
      <c r="BI334" s="44"/>
      <c r="BJ334" s="31"/>
      <c r="BK334" s="45"/>
      <c r="BL334" s="25"/>
    </row>
    <row r="335" spans="59:64" x14ac:dyDescent="0.2">
      <c r="BG335" s="39"/>
      <c r="BH335" s="40"/>
      <c r="BI335" s="44"/>
      <c r="BJ335" s="31"/>
      <c r="BK335" s="45"/>
      <c r="BL335" s="25"/>
    </row>
    <row r="336" spans="59:64" x14ac:dyDescent="0.2">
      <c r="BG336" s="39"/>
      <c r="BH336" s="40"/>
      <c r="BI336" s="44"/>
      <c r="BJ336" s="31"/>
      <c r="BK336" s="45"/>
      <c r="BL336" s="25"/>
    </row>
    <row r="337" spans="59:64" x14ac:dyDescent="0.2">
      <c r="BG337" s="39"/>
      <c r="BH337" s="40"/>
      <c r="BI337" s="44"/>
      <c r="BJ337" s="31"/>
      <c r="BK337" s="45"/>
      <c r="BL337" s="25"/>
    </row>
    <row r="338" spans="59:64" x14ac:dyDescent="0.2">
      <c r="BG338" s="39"/>
      <c r="BH338" s="40"/>
      <c r="BI338" s="44"/>
      <c r="BJ338" s="31"/>
      <c r="BK338" s="45"/>
      <c r="BL338" s="25"/>
    </row>
    <row r="339" spans="59:64" x14ac:dyDescent="0.2">
      <c r="BG339" s="39"/>
      <c r="BH339" s="40"/>
      <c r="BI339" s="44"/>
      <c r="BJ339" s="31"/>
      <c r="BK339" s="45"/>
      <c r="BL339" s="25"/>
    </row>
    <row r="340" spans="59:64" x14ac:dyDescent="0.2">
      <c r="BG340" s="39"/>
      <c r="BH340" s="40"/>
      <c r="BI340" s="44"/>
      <c r="BJ340" s="31"/>
      <c r="BK340" s="45"/>
      <c r="BL340" s="25"/>
    </row>
    <row r="341" spans="59:64" x14ac:dyDescent="0.2">
      <c r="BG341" s="39"/>
      <c r="BH341" s="40"/>
      <c r="BI341" s="44"/>
      <c r="BJ341" s="31"/>
      <c r="BK341" s="45"/>
      <c r="BL341" s="25"/>
    </row>
    <row r="342" spans="59:64" x14ac:dyDescent="0.2">
      <c r="BG342" s="39"/>
      <c r="BH342" s="40"/>
      <c r="BI342" s="44"/>
      <c r="BJ342" s="31"/>
      <c r="BK342" s="45"/>
      <c r="BL342" s="25"/>
    </row>
    <row r="343" spans="59:64" x14ac:dyDescent="0.2">
      <c r="BG343" s="39"/>
      <c r="BH343" s="40"/>
      <c r="BI343" s="44"/>
      <c r="BJ343" s="31"/>
      <c r="BK343" s="45"/>
      <c r="BL343" s="25"/>
    </row>
    <row r="344" spans="59:64" x14ac:dyDescent="0.2">
      <c r="BG344" s="39"/>
      <c r="BH344" s="40"/>
      <c r="BI344" s="44"/>
      <c r="BJ344" s="31"/>
      <c r="BK344" s="45"/>
      <c r="BL344" s="25"/>
    </row>
    <row r="345" spans="59:64" x14ac:dyDescent="0.2">
      <c r="BG345" s="39"/>
      <c r="BH345" s="40"/>
      <c r="BI345" s="44"/>
      <c r="BJ345" s="31"/>
      <c r="BK345" s="45"/>
      <c r="BL345" s="25"/>
    </row>
    <row r="346" spans="59:64" x14ac:dyDescent="0.2">
      <c r="BG346" s="39"/>
      <c r="BH346" s="40"/>
      <c r="BI346" s="44"/>
      <c r="BJ346" s="31"/>
      <c r="BK346" s="45"/>
      <c r="BL346" s="25"/>
    </row>
    <row r="347" spans="59:64" x14ac:dyDescent="0.2">
      <c r="BG347" s="39"/>
      <c r="BH347" s="40"/>
      <c r="BI347" s="44"/>
      <c r="BJ347" s="31"/>
      <c r="BK347" s="45"/>
      <c r="BL347" s="25"/>
    </row>
    <row r="348" spans="59:64" x14ac:dyDescent="0.2">
      <c r="BG348" s="39"/>
      <c r="BH348" s="40"/>
      <c r="BI348" s="44"/>
      <c r="BJ348" s="31"/>
      <c r="BK348" s="45"/>
      <c r="BL348" s="25"/>
    </row>
    <row r="349" spans="59:64" x14ac:dyDescent="0.2">
      <c r="BG349" s="39"/>
      <c r="BH349" s="40"/>
      <c r="BI349" s="44"/>
      <c r="BJ349" s="31"/>
      <c r="BK349" s="45"/>
      <c r="BL349" s="25"/>
    </row>
    <row r="350" spans="59:64" x14ac:dyDescent="0.2">
      <c r="BG350" s="39"/>
      <c r="BH350" s="40"/>
      <c r="BI350" s="44"/>
      <c r="BJ350" s="31"/>
      <c r="BK350" s="45"/>
      <c r="BL350" s="25"/>
    </row>
    <row r="351" spans="59:64" x14ac:dyDescent="0.2">
      <c r="BG351" s="39"/>
      <c r="BH351" s="40"/>
      <c r="BI351" s="44"/>
      <c r="BJ351" s="31"/>
      <c r="BK351" s="45"/>
      <c r="BL351" s="25"/>
    </row>
    <row r="352" spans="59:64" x14ac:dyDescent="0.2">
      <c r="BG352" s="39"/>
      <c r="BH352" s="40"/>
      <c r="BI352" s="44"/>
      <c r="BJ352" s="31"/>
      <c r="BK352" s="45"/>
      <c r="BL352" s="25"/>
    </row>
    <row r="353" spans="59:64" x14ac:dyDescent="0.2">
      <c r="BG353" s="39"/>
      <c r="BH353" s="40"/>
      <c r="BI353" s="44"/>
      <c r="BJ353" s="31"/>
      <c r="BK353" s="45"/>
      <c r="BL353" s="25"/>
    </row>
    <row r="354" spans="59:64" x14ac:dyDescent="0.2">
      <c r="BG354" s="39"/>
      <c r="BH354" s="40"/>
      <c r="BI354" s="44"/>
      <c r="BJ354" s="31"/>
      <c r="BK354" s="45"/>
      <c r="BL354" s="25"/>
    </row>
    <row r="355" spans="59:64" x14ac:dyDescent="0.2">
      <c r="BG355" s="39"/>
      <c r="BH355" s="40"/>
      <c r="BI355" s="44"/>
      <c r="BJ355" s="31"/>
      <c r="BK355" s="45"/>
      <c r="BL355" s="25"/>
    </row>
    <row r="356" spans="59:64" x14ac:dyDescent="0.2">
      <c r="BG356" s="39"/>
      <c r="BH356" s="40"/>
      <c r="BI356" s="44"/>
      <c r="BJ356" s="31"/>
      <c r="BK356" s="45"/>
      <c r="BL356" s="25"/>
    </row>
    <row r="357" spans="59:64" x14ac:dyDescent="0.2">
      <c r="BG357" s="39"/>
      <c r="BH357" s="40"/>
      <c r="BI357" s="44"/>
      <c r="BJ357" s="31"/>
      <c r="BK357" s="45"/>
      <c r="BL357" s="25"/>
    </row>
    <row r="358" spans="59:64" x14ac:dyDescent="0.2">
      <c r="BG358" s="39"/>
      <c r="BH358" s="40"/>
      <c r="BI358" s="44"/>
      <c r="BJ358" s="31"/>
      <c r="BK358" s="45"/>
      <c r="BL358" s="25"/>
    </row>
    <row r="359" spans="59:64" x14ac:dyDescent="0.2">
      <c r="BG359" s="39"/>
      <c r="BH359" s="40"/>
      <c r="BI359" s="44"/>
      <c r="BJ359" s="31"/>
      <c r="BK359" s="45"/>
      <c r="BL359" s="25"/>
    </row>
    <row r="360" spans="59:64" x14ac:dyDescent="0.2">
      <c r="BG360" s="39"/>
      <c r="BH360" s="40"/>
      <c r="BI360" s="44"/>
      <c r="BJ360" s="31"/>
      <c r="BK360" s="45"/>
      <c r="BL360" s="25"/>
    </row>
    <row r="361" spans="59:64" x14ac:dyDescent="0.2">
      <c r="BG361" s="39"/>
      <c r="BH361" s="40"/>
      <c r="BI361" s="44"/>
      <c r="BJ361" s="31"/>
      <c r="BK361" s="45"/>
      <c r="BL361" s="25"/>
    </row>
    <row r="362" spans="59:64" x14ac:dyDescent="0.2">
      <c r="BG362" s="39"/>
      <c r="BH362" s="40"/>
      <c r="BI362" s="44"/>
      <c r="BJ362" s="31"/>
      <c r="BK362" s="45"/>
      <c r="BL362" s="25"/>
    </row>
    <row r="363" spans="59:64" x14ac:dyDescent="0.2">
      <c r="BG363" s="39"/>
      <c r="BH363" s="40"/>
      <c r="BI363" s="44"/>
      <c r="BJ363" s="31"/>
      <c r="BK363" s="45"/>
      <c r="BL363" s="25"/>
    </row>
    <row r="364" spans="59:64" x14ac:dyDescent="0.2">
      <c r="BG364" s="39"/>
      <c r="BH364" s="40"/>
      <c r="BI364" s="44"/>
      <c r="BJ364" s="31"/>
      <c r="BK364" s="45"/>
      <c r="BL364" s="25"/>
    </row>
    <row r="365" spans="59:64" x14ac:dyDescent="0.2">
      <c r="BG365" s="39"/>
      <c r="BH365" s="40"/>
      <c r="BI365" s="44"/>
      <c r="BJ365" s="31"/>
      <c r="BK365" s="45"/>
      <c r="BL365" s="25"/>
    </row>
    <row r="366" spans="59:64" x14ac:dyDescent="0.2">
      <c r="BG366" s="39"/>
      <c r="BH366" s="40"/>
      <c r="BI366" s="44"/>
      <c r="BJ366" s="31"/>
      <c r="BK366" s="45"/>
      <c r="BL366" s="25"/>
    </row>
    <row r="367" spans="59:64" x14ac:dyDescent="0.2">
      <c r="BG367" s="39"/>
      <c r="BH367" s="40"/>
      <c r="BI367" s="44"/>
      <c r="BJ367" s="31"/>
      <c r="BK367" s="45"/>
      <c r="BL367" s="25"/>
    </row>
    <row r="368" spans="59:64" x14ac:dyDescent="0.2">
      <c r="BG368" s="39"/>
      <c r="BH368" s="40"/>
      <c r="BI368" s="44"/>
      <c r="BJ368" s="31"/>
      <c r="BK368" s="45"/>
      <c r="BL368" s="25"/>
    </row>
    <row r="369" spans="59:64" x14ac:dyDescent="0.2">
      <c r="BG369" s="39"/>
      <c r="BH369" s="40"/>
      <c r="BI369" s="44"/>
      <c r="BJ369" s="31"/>
      <c r="BK369" s="45"/>
      <c r="BL369" s="25"/>
    </row>
    <row r="370" spans="59:64" x14ac:dyDescent="0.2">
      <c r="BG370" s="39"/>
      <c r="BH370" s="40"/>
      <c r="BI370" s="44"/>
      <c r="BJ370" s="31"/>
      <c r="BK370" s="45"/>
      <c r="BL370" s="25"/>
    </row>
    <row r="371" spans="59:64" x14ac:dyDescent="0.2">
      <c r="BG371" s="39"/>
      <c r="BH371" s="40"/>
      <c r="BI371" s="44"/>
      <c r="BJ371" s="31"/>
      <c r="BK371" s="45"/>
      <c r="BL371" s="25"/>
    </row>
    <row r="372" spans="59:64" x14ac:dyDescent="0.2">
      <c r="BG372" s="39"/>
      <c r="BH372" s="40"/>
      <c r="BI372" s="44"/>
      <c r="BJ372" s="31"/>
      <c r="BK372" s="45"/>
      <c r="BL372" s="25"/>
    </row>
    <row r="373" spans="59:64" x14ac:dyDescent="0.2">
      <c r="BG373" s="39"/>
      <c r="BH373" s="40"/>
      <c r="BI373" s="44"/>
      <c r="BJ373" s="31"/>
      <c r="BK373" s="45"/>
      <c r="BL373" s="25"/>
    </row>
    <row r="374" spans="59:64" x14ac:dyDescent="0.2">
      <c r="BG374" s="39"/>
      <c r="BH374" s="40"/>
      <c r="BI374" s="44"/>
      <c r="BJ374" s="31"/>
      <c r="BK374" s="45"/>
      <c r="BL374" s="25"/>
    </row>
    <row r="375" spans="59:64" x14ac:dyDescent="0.2">
      <c r="BG375" s="39"/>
      <c r="BH375" s="40"/>
      <c r="BI375" s="44"/>
      <c r="BJ375" s="31"/>
      <c r="BK375" s="45"/>
      <c r="BL375" s="25"/>
    </row>
    <row r="376" spans="59:64" x14ac:dyDescent="0.2">
      <c r="BG376" s="39"/>
      <c r="BH376" s="40"/>
      <c r="BI376" s="44"/>
      <c r="BJ376" s="31"/>
      <c r="BK376" s="45"/>
      <c r="BL376" s="25"/>
    </row>
    <row r="377" spans="59:64" x14ac:dyDescent="0.2">
      <c r="BG377" s="39"/>
      <c r="BH377" s="40"/>
      <c r="BI377" s="44"/>
      <c r="BJ377" s="31"/>
      <c r="BK377" s="45"/>
      <c r="BL377" s="25"/>
    </row>
    <row r="378" spans="59:64" x14ac:dyDescent="0.2">
      <c r="BG378" s="39"/>
      <c r="BH378" s="40"/>
      <c r="BI378" s="44"/>
      <c r="BJ378" s="31"/>
      <c r="BK378" s="45"/>
      <c r="BL378" s="25"/>
    </row>
    <row r="379" spans="59:64" x14ac:dyDescent="0.2">
      <c r="BG379" s="39"/>
      <c r="BH379" s="40"/>
      <c r="BI379" s="44"/>
      <c r="BJ379" s="31"/>
      <c r="BK379" s="45"/>
      <c r="BL379" s="25"/>
    </row>
    <row r="380" spans="59:64" x14ac:dyDescent="0.2">
      <c r="BG380" s="39"/>
      <c r="BH380" s="40"/>
      <c r="BI380" s="44"/>
      <c r="BJ380" s="31"/>
      <c r="BK380" s="45"/>
      <c r="BL380" s="25"/>
    </row>
    <row r="381" spans="59:64" x14ac:dyDescent="0.2">
      <c r="BG381" s="39"/>
      <c r="BH381" s="40"/>
      <c r="BI381" s="44"/>
      <c r="BJ381" s="31"/>
      <c r="BK381" s="45"/>
      <c r="BL381" s="25"/>
    </row>
    <row r="382" spans="59:64" x14ac:dyDescent="0.2">
      <c r="BG382" s="39"/>
      <c r="BH382" s="40"/>
      <c r="BI382" s="44"/>
      <c r="BJ382" s="31"/>
      <c r="BK382" s="45"/>
      <c r="BL382" s="25"/>
    </row>
    <row r="383" spans="59:64" x14ac:dyDescent="0.2">
      <c r="BG383" s="39"/>
      <c r="BH383" s="40"/>
      <c r="BI383" s="44"/>
      <c r="BJ383" s="31"/>
      <c r="BK383" s="45"/>
      <c r="BL383" s="25"/>
    </row>
    <row r="384" spans="59:64" x14ac:dyDescent="0.2">
      <c r="BG384" s="39"/>
      <c r="BH384" s="40"/>
      <c r="BI384" s="44"/>
      <c r="BJ384" s="31"/>
      <c r="BK384" s="45"/>
      <c r="BL384" s="25"/>
    </row>
    <row r="385" spans="59:64" x14ac:dyDescent="0.2">
      <c r="BG385" s="39"/>
      <c r="BH385" s="40"/>
      <c r="BI385" s="44"/>
      <c r="BJ385" s="31"/>
      <c r="BK385" s="45"/>
      <c r="BL385" s="25"/>
    </row>
    <row r="386" spans="59:64" x14ac:dyDescent="0.2">
      <c r="BG386" s="39"/>
      <c r="BH386" s="40"/>
      <c r="BI386" s="44"/>
      <c r="BJ386" s="31"/>
      <c r="BK386" s="45"/>
      <c r="BL386" s="25"/>
    </row>
    <row r="387" spans="59:64" x14ac:dyDescent="0.2">
      <c r="BG387" s="39"/>
      <c r="BH387" s="40"/>
      <c r="BI387" s="44"/>
      <c r="BJ387" s="31"/>
      <c r="BK387" s="45"/>
      <c r="BL387" s="25"/>
    </row>
    <row r="388" spans="59:64" x14ac:dyDescent="0.2">
      <c r="BG388" s="39"/>
      <c r="BH388" s="40"/>
      <c r="BI388" s="44"/>
      <c r="BJ388" s="31"/>
      <c r="BK388" s="45"/>
      <c r="BL388" s="25"/>
    </row>
    <row r="389" spans="59:64" x14ac:dyDescent="0.2">
      <c r="BG389" s="39"/>
      <c r="BH389" s="40"/>
      <c r="BI389" s="44"/>
      <c r="BJ389" s="31"/>
      <c r="BK389" s="45"/>
      <c r="BL389" s="25"/>
    </row>
    <row r="390" spans="59:64" x14ac:dyDescent="0.2">
      <c r="BG390" s="39"/>
      <c r="BH390" s="40"/>
      <c r="BI390" s="44"/>
      <c r="BJ390" s="31"/>
      <c r="BK390" s="45"/>
      <c r="BL390" s="25"/>
    </row>
    <row r="391" spans="59:64" x14ac:dyDescent="0.2">
      <c r="BG391" s="39"/>
      <c r="BH391" s="40"/>
      <c r="BI391" s="44"/>
      <c r="BJ391" s="31"/>
      <c r="BK391" s="45"/>
      <c r="BL391" s="25"/>
    </row>
    <row r="392" spans="59:64" x14ac:dyDescent="0.2">
      <c r="BG392" s="39"/>
      <c r="BH392" s="40"/>
      <c r="BI392" s="44"/>
      <c r="BJ392" s="31"/>
      <c r="BK392" s="45"/>
      <c r="BL392" s="25"/>
    </row>
    <row r="393" spans="59:64" x14ac:dyDescent="0.2">
      <c r="BG393" s="39"/>
      <c r="BH393" s="40"/>
      <c r="BI393" s="44"/>
      <c r="BJ393" s="31"/>
      <c r="BK393" s="45"/>
      <c r="BL393" s="25"/>
    </row>
    <row r="394" spans="59:64" x14ac:dyDescent="0.2">
      <c r="BG394" s="39"/>
      <c r="BH394" s="40"/>
      <c r="BI394" s="44"/>
      <c r="BJ394" s="31"/>
      <c r="BK394" s="45"/>
      <c r="BL394" s="25"/>
    </row>
    <row r="395" spans="59:64" x14ac:dyDescent="0.2">
      <c r="BG395" s="39"/>
      <c r="BH395" s="40"/>
      <c r="BI395" s="44"/>
      <c r="BJ395" s="31"/>
      <c r="BK395" s="45"/>
      <c r="BL395" s="25"/>
    </row>
    <row r="396" spans="59:64" x14ac:dyDescent="0.2">
      <c r="BG396" s="39"/>
      <c r="BH396" s="40"/>
      <c r="BI396" s="44"/>
      <c r="BJ396" s="31"/>
      <c r="BK396" s="45"/>
      <c r="BL396" s="25"/>
    </row>
    <row r="397" spans="59:64" x14ac:dyDescent="0.2">
      <c r="BG397" s="39"/>
      <c r="BH397" s="40"/>
      <c r="BI397" s="44"/>
      <c r="BJ397" s="31"/>
      <c r="BK397" s="45"/>
      <c r="BL397" s="25"/>
    </row>
    <row r="398" spans="59:64" x14ac:dyDescent="0.2">
      <c r="BG398" s="39"/>
      <c r="BH398" s="40"/>
      <c r="BI398" s="44"/>
      <c r="BJ398" s="31"/>
      <c r="BK398" s="45"/>
      <c r="BL398" s="25"/>
    </row>
  </sheetData>
  <mergeCells count="8">
    <mergeCell ref="CA66:CB66"/>
    <mergeCell ref="AY55:BD57"/>
    <mergeCell ref="A1:M5"/>
    <mergeCell ref="BO60:BQ60"/>
    <mergeCell ref="BH66:BI66"/>
    <mergeCell ref="BK66:BL66"/>
    <mergeCell ref="BP67:BQ69"/>
    <mergeCell ref="BX66:BY66"/>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5</vt:i4>
      </vt:variant>
    </vt:vector>
  </HeadingPairs>
  <TitlesOfParts>
    <vt:vector size="32" baseType="lpstr">
      <vt:lpstr>Income Statement</vt:lpstr>
      <vt:lpstr>Balance Sheet</vt:lpstr>
      <vt:lpstr>Cash Flow</vt:lpstr>
      <vt:lpstr>Key Stats</vt:lpstr>
      <vt:lpstr>Ratios</vt:lpstr>
      <vt:lpstr>Value of Equity via MC</vt:lpstr>
      <vt:lpstr>Net debt via BS</vt:lpstr>
      <vt:lpstr>Corporate Tax Rate via IS</vt:lpstr>
      <vt:lpstr>Cost of Debt via BS</vt:lpstr>
      <vt:lpstr>Cost of Debt via bonds</vt:lpstr>
      <vt:lpstr>Equity Rate via Gordon (DDM)</vt:lpstr>
      <vt:lpstr>Growth Rate via Dividends</vt:lpstr>
      <vt:lpstr>Cost of Equity via g via div &lt;-</vt:lpstr>
      <vt:lpstr>Cost of Equity via Payouts</vt:lpstr>
      <vt:lpstr>Gordon Two Stage</vt:lpstr>
      <vt:lpstr>Beta via S&amp;P 500</vt:lpstr>
      <vt:lpstr>Page 100</vt:lpstr>
      <vt:lpstr>Pretty Sure Regression Analysis</vt:lpstr>
      <vt:lpstr>CAPM</vt:lpstr>
      <vt:lpstr>Tax adjusted CAPM</vt:lpstr>
      <vt:lpstr>E(rm) via Historical Rates</vt:lpstr>
      <vt:lpstr>CAPM less assumptions</vt:lpstr>
      <vt:lpstr>E(rm) via Market Multiple</vt:lpstr>
      <vt:lpstr>WACC via AVG of 3</vt:lpstr>
      <vt:lpstr>3month_treasury_raw</vt:lpstr>
      <vt:lpstr>3month_treasury (2)</vt:lpstr>
      <vt:lpstr>Homework</vt:lpstr>
      <vt:lpstr>'Balance Sheet'!Print_Titles</vt:lpstr>
      <vt:lpstr>'Cash Flow'!Print_Titles</vt:lpstr>
      <vt:lpstr>'Income Statement'!Print_Titles</vt:lpstr>
      <vt:lpstr>'Key Stats'!Print_Titles</vt:lpstr>
      <vt:lpstr>Ratios!Print_Titles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blake</cp:lastModifiedBy>
  <dcterms:created xsi:type="dcterms:W3CDTF">2012-06-30T09:31:33Z</dcterms:created>
  <dcterms:modified xsi:type="dcterms:W3CDTF">2019-09-20T16:09:43Z</dcterms:modified>
</cp:coreProperties>
</file>